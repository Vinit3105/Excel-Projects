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7d85e51972369812/Desktop/Projects/"/>
    </mc:Choice>
  </mc:AlternateContent>
  <xr:revisionPtr revIDLastSave="469" documentId="13_ncr:1_{691D8D7C-A9D1-4A04-AE62-61398E0A7AEE}" xr6:coauthVersionLast="47" xr6:coauthVersionMax="47" xr10:uidLastSave="{E28D2C6A-0144-44B0-8BEE-2E87D7E36838}"/>
  <bookViews>
    <workbookView minimized="1" xWindow="4824" yWindow="3708" windowWidth="17280" windowHeight="8880" firstSheet="4" activeTab="10" xr2:uid="{33DC41A3-FE52-4BEF-B967-D085CA48CDFD}"/>
  </bookViews>
  <sheets>
    <sheet name="updated sheet" sheetId="1" r:id="rId1"/>
    <sheet name="pivot" sheetId="4" r:id="rId2"/>
    <sheet name="Dashboard" sheetId="5" r:id="rId3"/>
    <sheet name="Observations" sheetId="7" r:id="rId4"/>
    <sheet name="Assignment" sheetId="8" r:id="rId5"/>
    <sheet name="Filter_function" sheetId="10" r:id="rId6"/>
    <sheet name="index match" sheetId="12" r:id="rId7"/>
    <sheet name="Filter" sheetId="11" r:id="rId8"/>
    <sheet name="Index_Match" sheetId="13" r:id="rId9"/>
    <sheet name="Sheet1" sheetId="9" r:id="rId10"/>
    <sheet name="FILTER AND OR" sheetId="14" r:id="rId11"/>
  </sheets>
  <definedNames>
    <definedName name="_xlnm._FilterDatabase" localSheetId="10" hidden="1">'FILTER AND OR'!$D$1:$M$371</definedName>
    <definedName name="_xlnm._FilterDatabase" localSheetId="5" hidden="1">Filter_function!$D$2:$M$167</definedName>
    <definedName name="_xlnm._FilterDatabase" localSheetId="8" hidden="1">Index_Match!$E$1:$M$515</definedName>
    <definedName name="_xlnm._FilterDatabase" localSheetId="9" hidden="1">Sheet1!$A$1:$J$1001</definedName>
    <definedName name="_xlnm._FilterDatabase" localSheetId="0" hidden="1">'updated sheet'!$A$1:$J$1001</definedName>
    <definedName name="Slicer_Age_Bracket">#N/A</definedName>
    <definedName name="Slicer_Gender">#N/A</definedName>
    <definedName name="Slicer_Marital_Status">#N/A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9" l="1" a="1"/>
  <c r="N18" i="9" s="1"/>
  <c r="M10" i="9"/>
  <c r="M9" i="9"/>
  <c r="L9" i="9" a="1"/>
  <c r="L9" i="9" s="1"/>
  <c r="D2" i="14" a="1"/>
  <c r="D2" i="14" s="1"/>
  <c r="E2" i="13" a="1"/>
  <c r="D2" i="11" a="1"/>
  <c r="D2" i="11" s="1"/>
  <c r="D3" i="12" a="1"/>
  <c r="G36" i="12" s="1"/>
  <c r="D3" i="10" a="1"/>
  <c r="D3" i="10" s="1"/>
  <c r="F2" i="1"/>
  <c r="M5" i="9"/>
  <c r="M2" i="9"/>
  <c r="J2" i="11" a="1"/>
  <c r="J2" i="11" s="1"/>
  <c r="K3" i="12" a="1"/>
  <c r="G6" i="12"/>
  <c r="G17" i="12"/>
  <c r="G236" i="12"/>
  <c r="G273" i="12"/>
  <c r="G275" i="12"/>
  <c r="G292" i="12"/>
  <c r="G315" i="12"/>
  <c r="G332" i="12"/>
  <c r="G356" i="12"/>
  <c r="G373" i="12"/>
  <c r="G490" i="12"/>
  <c r="F6" i="12"/>
  <c r="E9" i="12"/>
  <c r="F20" i="12"/>
  <c r="E25" i="12"/>
  <c r="F26" i="12"/>
  <c r="E27" i="12"/>
  <c r="E39" i="12"/>
  <c r="E85" i="12"/>
  <c r="E93" i="12"/>
  <c r="E94" i="12"/>
  <c r="F102" i="12"/>
  <c r="E103" i="12"/>
  <c r="F103" i="12"/>
  <c r="F118" i="12"/>
  <c r="E119" i="12"/>
  <c r="E173" i="12"/>
  <c r="E174" i="12"/>
  <c r="E177" i="12"/>
  <c r="E186" i="12"/>
  <c r="E189" i="12"/>
  <c r="F191" i="12"/>
  <c r="F212" i="12"/>
  <c r="E213" i="12"/>
  <c r="E249" i="12"/>
  <c r="F249" i="12"/>
  <c r="E250" i="12"/>
  <c r="E265" i="12"/>
  <c r="E281" i="12"/>
  <c r="F281" i="12"/>
  <c r="F282" i="12"/>
  <c r="F286" i="12"/>
  <c r="E323" i="12"/>
  <c r="F329" i="12"/>
  <c r="E335" i="12"/>
  <c r="E340" i="12"/>
  <c r="F346" i="12"/>
  <c r="E347" i="12"/>
  <c r="E354" i="12"/>
  <c r="F354" i="12"/>
  <c r="E392" i="12"/>
  <c r="F393" i="12"/>
  <c r="E396" i="12"/>
  <c r="F398" i="12"/>
  <c r="E403" i="12"/>
  <c r="E404" i="12"/>
  <c r="F404" i="12"/>
  <c r="E410" i="12"/>
  <c r="E436" i="12"/>
  <c r="E440" i="12"/>
  <c r="F442" i="12"/>
  <c r="E444" i="12"/>
  <c r="F447" i="12"/>
  <c r="E452" i="12"/>
  <c r="F452" i="12"/>
  <c r="F455" i="12"/>
  <c r="F479" i="12"/>
  <c r="F485" i="12"/>
  <c r="E486" i="12"/>
  <c r="E487" i="12"/>
  <c r="E488" i="12"/>
  <c r="F491" i="12"/>
  <c r="E492" i="12"/>
  <c r="E496" i="12"/>
  <c r="F513" i="12" l="1"/>
  <c r="F475" i="12"/>
  <c r="E432" i="12"/>
  <c r="E382" i="12"/>
  <c r="E304" i="12"/>
  <c r="F243" i="12"/>
  <c r="E157" i="12"/>
  <c r="E83" i="12"/>
  <c r="G484" i="12"/>
  <c r="G216" i="12"/>
  <c r="F509" i="12"/>
  <c r="E463" i="12"/>
  <c r="E421" i="12"/>
  <c r="E371" i="12"/>
  <c r="E301" i="12"/>
  <c r="E231" i="12"/>
  <c r="E153" i="12"/>
  <c r="E58" i="12"/>
  <c r="G416" i="12"/>
  <c r="G115" i="12"/>
  <c r="E502" i="12"/>
  <c r="F459" i="12"/>
  <c r="E363" i="12"/>
  <c r="F419" i="12"/>
  <c r="F218" i="12"/>
  <c r="E138" i="12"/>
  <c r="E43" i="12"/>
  <c r="G392" i="12"/>
  <c r="G64" i="12"/>
  <c r="F477" i="12"/>
  <c r="E434" i="12"/>
  <c r="F382" i="12"/>
  <c r="E318" i="12"/>
  <c r="F246" i="12"/>
  <c r="E171" i="12"/>
  <c r="E84" i="12"/>
  <c r="G489" i="12"/>
  <c r="G219" i="12"/>
  <c r="E512" i="12"/>
  <c r="E469" i="12"/>
  <c r="E423" i="12"/>
  <c r="E380" i="12"/>
  <c r="F303" i="12"/>
  <c r="F234" i="12"/>
  <c r="E156" i="12"/>
  <c r="E75" i="12"/>
  <c r="G452" i="12"/>
  <c r="G170" i="12"/>
  <c r="F511" i="12"/>
  <c r="E468" i="12"/>
  <c r="F422" i="12"/>
  <c r="E378" i="12"/>
  <c r="F302" i="12"/>
  <c r="F231" i="12"/>
  <c r="F155" i="12"/>
  <c r="E61" i="12"/>
  <c r="G451" i="12"/>
  <c r="G136" i="12"/>
  <c r="E420" i="12"/>
  <c r="F300" i="12"/>
  <c r="F222" i="12"/>
  <c r="E152" i="12"/>
  <c r="F57" i="12"/>
  <c r="G411" i="12"/>
  <c r="G111" i="12"/>
  <c r="E498" i="12"/>
  <c r="E459" i="12"/>
  <c r="F356" i="12"/>
  <c r="E290" i="12"/>
  <c r="F497" i="12"/>
  <c r="E456" i="12"/>
  <c r="E411" i="12"/>
  <c r="E356" i="12"/>
  <c r="F289" i="12"/>
  <c r="E217" i="12"/>
  <c r="E122" i="12"/>
  <c r="F39" i="12"/>
  <c r="G376" i="12"/>
  <c r="L7" i="12"/>
  <c r="M12" i="12"/>
  <c r="N17" i="12"/>
  <c r="L23" i="12"/>
  <c r="M28" i="12"/>
  <c r="N33" i="12"/>
  <c r="L39" i="12"/>
  <c r="M44" i="12"/>
  <c r="N49" i="12"/>
  <c r="L55" i="12"/>
  <c r="M60" i="12"/>
  <c r="N65" i="12"/>
  <c r="L71" i="12"/>
  <c r="M76" i="12"/>
  <c r="N81" i="12"/>
  <c r="L87" i="12"/>
  <c r="M92" i="12"/>
  <c r="N97" i="12"/>
  <c r="L103" i="12"/>
  <c r="M108" i="12"/>
  <c r="N113" i="12"/>
  <c r="L119" i="12"/>
  <c r="M124" i="12"/>
  <c r="N129" i="12"/>
  <c r="L135" i="12"/>
  <c r="M140" i="12"/>
  <c r="N145" i="12"/>
  <c r="L151" i="12"/>
  <c r="M156" i="12"/>
  <c r="N161" i="12"/>
  <c r="L167" i="12"/>
  <c r="M172" i="12"/>
  <c r="N177" i="12"/>
  <c r="L183" i="12"/>
  <c r="M188" i="12"/>
  <c r="N193" i="12"/>
  <c r="L199" i="12"/>
  <c r="M204" i="12"/>
  <c r="N209" i="12"/>
  <c r="L215" i="12"/>
  <c r="M220" i="12"/>
  <c r="N225" i="12"/>
  <c r="L231" i="12"/>
  <c r="M236" i="12"/>
  <c r="N241" i="12"/>
  <c r="L247" i="12"/>
  <c r="M252" i="12"/>
  <c r="N257" i="12"/>
  <c r="L263" i="12"/>
  <c r="M268" i="12"/>
  <c r="N273" i="12"/>
  <c r="L279" i="12"/>
  <c r="M284" i="12"/>
  <c r="N289" i="12"/>
  <c r="L295" i="12"/>
  <c r="M300" i="12"/>
  <c r="N305" i="12"/>
  <c r="L311" i="12"/>
  <c r="M316" i="12"/>
  <c r="N321" i="12"/>
  <c r="L327" i="12"/>
  <c r="M332" i="12"/>
  <c r="N337" i="12"/>
  <c r="L343" i="12"/>
  <c r="M348" i="12"/>
  <c r="N353" i="12"/>
  <c r="L359" i="12"/>
  <c r="M364" i="12"/>
  <c r="N369" i="12"/>
  <c r="L375" i="12"/>
  <c r="M380" i="12"/>
  <c r="N385" i="12"/>
  <c r="L391" i="12"/>
  <c r="M396" i="12"/>
  <c r="N401" i="12"/>
  <c r="L407" i="12"/>
  <c r="M412" i="12"/>
  <c r="N417" i="12"/>
  <c r="L423" i="12"/>
  <c r="M428" i="12"/>
  <c r="N433" i="12"/>
  <c r="L439" i="12"/>
  <c r="M444" i="12"/>
  <c r="N449" i="12"/>
  <c r="L455" i="12"/>
  <c r="M7" i="12"/>
  <c r="N12" i="12"/>
  <c r="L18" i="12"/>
  <c r="M23" i="12"/>
  <c r="N28" i="12"/>
  <c r="L34" i="12"/>
  <c r="M39" i="12"/>
  <c r="N44" i="12"/>
  <c r="L50" i="12"/>
  <c r="M55" i="12"/>
  <c r="N60" i="12"/>
  <c r="L66" i="12"/>
  <c r="M71" i="12"/>
  <c r="N76" i="12"/>
  <c r="L82" i="12"/>
  <c r="M87" i="12"/>
  <c r="N92" i="12"/>
  <c r="L98" i="12"/>
  <c r="M103" i="12"/>
  <c r="N108" i="12"/>
  <c r="L114" i="12"/>
  <c r="M119" i="12"/>
  <c r="N124" i="12"/>
  <c r="L130" i="12"/>
  <c r="M135" i="12"/>
  <c r="N140" i="12"/>
  <c r="L146" i="12"/>
  <c r="M151" i="12"/>
  <c r="N156" i="12"/>
  <c r="L162" i="12"/>
  <c r="M167" i="12"/>
  <c r="N172" i="12"/>
  <c r="L178" i="12"/>
  <c r="M183" i="12"/>
  <c r="N188" i="12"/>
  <c r="L194" i="12"/>
  <c r="M199" i="12"/>
  <c r="N204" i="12"/>
  <c r="L210" i="12"/>
  <c r="M215" i="12"/>
  <c r="N220" i="12"/>
  <c r="L226" i="12"/>
  <c r="M231" i="12"/>
  <c r="N236" i="12"/>
  <c r="L242" i="12"/>
  <c r="M247" i="12"/>
  <c r="N252" i="12"/>
  <c r="L258" i="12"/>
  <c r="M263" i="12"/>
  <c r="N268" i="12"/>
  <c r="L274" i="12"/>
  <c r="M279" i="12"/>
  <c r="N284" i="12"/>
  <c r="L290" i="12"/>
  <c r="M295" i="12"/>
  <c r="N300" i="12"/>
  <c r="L306" i="12"/>
  <c r="M311" i="12"/>
  <c r="N316" i="12"/>
  <c r="L322" i="12"/>
  <c r="M327" i="12"/>
  <c r="N332" i="12"/>
  <c r="L338" i="12"/>
  <c r="M343" i="12"/>
  <c r="N348" i="12"/>
  <c r="L354" i="12"/>
  <c r="M359" i="12"/>
  <c r="N364" i="12"/>
  <c r="L370" i="12"/>
  <c r="M375" i="12"/>
  <c r="N380" i="12"/>
  <c r="L386" i="12"/>
  <c r="M391" i="12"/>
  <c r="N396" i="12"/>
  <c r="L402" i="12"/>
  <c r="M407" i="12"/>
  <c r="N412" i="12"/>
  <c r="L418" i="12"/>
  <c r="M423" i="12"/>
  <c r="N428" i="12"/>
  <c r="L434" i="12"/>
  <c r="M439" i="12"/>
  <c r="N444" i="12"/>
  <c r="L450" i="12"/>
  <c r="M455" i="12"/>
  <c r="N7" i="12"/>
  <c r="L13" i="12"/>
  <c r="M18" i="12"/>
  <c r="N23" i="12"/>
  <c r="L29" i="12"/>
  <c r="M34" i="12"/>
  <c r="N39" i="12"/>
  <c r="L45" i="12"/>
  <c r="M50" i="12"/>
  <c r="N55" i="12"/>
  <c r="L61" i="12"/>
  <c r="M66" i="12"/>
  <c r="N71" i="12"/>
  <c r="L77" i="12"/>
  <c r="M82" i="12"/>
  <c r="N87" i="12"/>
  <c r="L93" i="12"/>
  <c r="M98" i="12"/>
  <c r="N103" i="12"/>
  <c r="L109" i="12"/>
  <c r="M114" i="12"/>
  <c r="N119" i="12"/>
  <c r="L125" i="12"/>
  <c r="M130" i="12"/>
  <c r="N135" i="12"/>
  <c r="L141" i="12"/>
  <c r="M146" i="12"/>
  <c r="N151" i="12"/>
  <c r="L157" i="12"/>
  <c r="M162" i="12"/>
  <c r="N167" i="12"/>
  <c r="L173" i="12"/>
  <c r="M178" i="12"/>
  <c r="N183" i="12"/>
  <c r="L189" i="12"/>
  <c r="M194" i="12"/>
  <c r="N199" i="12"/>
  <c r="L205" i="12"/>
  <c r="M210" i="12"/>
  <c r="N215" i="12"/>
  <c r="L221" i="12"/>
  <c r="M226" i="12"/>
  <c r="N231" i="12"/>
  <c r="L237" i="12"/>
  <c r="M242" i="12"/>
  <c r="N247" i="12"/>
  <c r="L253" i="12"/>
  <c r="M258" i="12"/>
  <c r="N263" i="12"/>
  <c r="L269" i="12"/>
  <c r="M274" i="12"/>
  <c r="N279" i="12"/>
  <c r="L285" i="12"/>
  <c r="M290" i="12"/>
  <c r="N295" i="12"/>
  <c r="L301" i="12"/>
  <c r="M306" i="12"/>
  <c r="N311" i="12"/>
  <c r="L317" i="12"/>
  <c r="M322" i="12"/>
  <c r="N327" i="12"/>
  <c r="L333" i="12"/>
  <c r="M338" i="12"/>
  <c r="N343" i="12"/>
  <c r="L349" i="12"/>
  <c r="M354" i="12"/>
  <c r="N359" i="12"/>
  <c r="L8" i="12"/>
  <c r="M13" i="12"/>
  <c r="N18" i="12"/>
  <c r="L24" i="12"/>
  <c r="M29" i="12"/>
  <c r="N34" i="12"/>
  <c r="L40" i="12"/>
  <c r="M45" i="12"/>
  <c r="N50" i="12"/>
  <c r="L56" i="12"/>
  <c r="M61" i="12"/>
  <c r="N66" i="12"/>
  <c r="L72" i="12"/>
  <c r="M77" i="12"/>
  <c r="N82" i="12"/>
  <c r="L88" i="12"/>
  <c r="M93" i="12"/>
  <c r="N98" i="12"/>
  <c r="L104" i="12"/>
  <c r="M109" i="12"/>
  <c r="N114" i="12"/>
  <c r="L120" i="12"/>
  <c r="M125" i="12"/>
  <c r="N130" i="12"/>
  <c r="L136" i="12"/>
  <c r="M141" i="12"/>
  <c r="N146" i="12"/>
  <c r="L152" i="12"/>
  <c r="M157" i="12"/>
  <c r="N162" i="12"/>
  <c r="L168" i="12"/>
  <c r="M173" i="12"/>
  <c r="N178" i="12"/>
  <c r="L184" i="12"/>
  <c r="M189" i="12"/>
  <c r="N194" i="12"/>
  <c r="L200" i="12"/>
  <c r="M205" i="12"/>
  <c r="N210" i="12"/>
  <c r="L216" i="12"/>
  <c r="M221" i="12"/>
  <c r="N226" i="12"/>
  <c r="L232" i="12"/>
  <c r="M237" i="12"/>
  <c r="N242" i="12"/>
  <c r="L248" i="12"/>
  <c r="M253" i="12"/>
  <c r="N258" i="12"/>
  <c r="L264" i="12"/>
  <c r="M269" i="12"/>
  <c r="N274" i="12"/>
  <c r="L280" i="12"/>
  <c r="M285" i="12"/>
  <c r="N290" i="12"/>
  <c r="L296" i="12"/>
  <c r="M301" i="12"/>
  <c r="N306" i="12"/>
  <c r="L312" i="12"/>
  <c r="M317" i="12"/>
  <c r="N322" i="12"/>
  <c r="L328" i="12"/>
  <c r="M333" i="12"/>
  <c r="N338" i="12"/>
  <c r="L344" i="12"/>
  <c r="M349" i="12"/>
  <c r="N354" i="12"/>
  <c r="L360" i="12"/>
  <c r="M365" i="12"/>
  <c r="N370" i="12"/>
  <c r="L376" i="12"/>
  <c r="M381" i="12"/>
  <c r="N386" i="12"/>
  <c r="L392" i="12"/>
  <c r="M397" i="12"/>
  <c r="N402" i="12"/>
  <c r="L408" i="12"/>
  <c r="M413" i="12"/>
  <c r="N418" i="12"/>
  <c r="L424" i="12"/>
  <c r="M429" i="12"/>
  <c r="N434" i="12"/>
  <c r="L440" i="12"/>
  <c r="M445" i="12"/>
  <c r="N450" i="12"/>
  <c r="L456" i="12"/>
  <c r="M8" i="12"/>
  <c r="L15" i="12"/>
  <c r="N21" i="12"/>
  <c r="N29" i="12"/>
  <c r="M36" i="12"/>
  <c r="N8" i="12"/>
  <c r="M15" i="12"/>
  <c r="L22" i="12"/>
  <c r="L30" i="12"/>
  <c r="L9" i="12"/>
  <c r="M9" i="12"/>
  <c r="L16" i="12"/>
  <c r="N22" i="12"/>
  <c r="N30" i="12"/>
  <c r="M37" i="12"/>
  <c r="L44" i="12"/>
  <c r="N9" i="12"/>
  <c r="L10" i="12"/>
  <c r="N16" i="12"/>
  <c r="N24" i="12"/>
  <c r="M31" i="12"/>
  <c r="L38" i="12"/>
  <c r="L46" i="12"/>
  <c r="N52" i="12"/>
  <c r="M59" i="12"/>
  <c r="M67" i="12"/>
  <c r="L74" i="12"/>
  <c r="N80" i="12"/>
  <c r="N88" i="12"/>
  <c r="M95" i="12"/>
  <c r="L102" i="12"/>
  <c r="L110" i="12"/>
  <c r="N116" i="12"/>
  <c r="M123" i="12"/>
  <c r="M131" i="12"/>
  <c r="L138" i="12"/>
  <c r="N144" i="12"/>
  <c r="N152" i="12"/>
  <c r="M159" i="12"/>
  <c r="L166" i="12"/>
  <c r="L174" i="12"/>
  <c r="N180" i="12"/>
  <c r="M187" i="12"/>
  <c r="M195" i="12"/>
  <c r="L202" i="12"/>
  <c r="N208" i="12"/>
  <c r="N216" i="12"/>
  <c r="M223" i="12"/>
  <c r="L230" i="12"/>
  <c r="L238" i="12"/>
  <c r="N244" i="12"/>
  <c r="M251" i="12"/>
  <c r="M259" i="12"/>
  <c r="L266" i="12"/>
  <c r="N272" i="12"/>
  <c r="N280" i="12"/>
  <c r="M287" i="12"/>
  <c r="L294" i="12"/>
  <c r="L302" i="12"/>
  <c r="N308" i="12"/>
  <c r="M315" i="12"/>
  <c r="M323" i="12"/>
  <c r="L330" i="12"/>
  <c r="N336" i="12"/>
  <c r="N344" i="12"/>
  <c r="M351" i="12"/>
  <c r="L358" i="12"/>
  <c r="N365" i="12"/>
  <c r="L372" i="12"/>
  <c r="M378" i="12"/>
  <c r="N384" i="12"/>
  <c r="N391" i="12"/>
  <c r="M398" i="12"/>
  <c r="N404" i="12"/>
  <c r="L411" i="12"/>
  <c r="M417" i="12"/>
  <c r="N424" i="12"/>
  <c r="L431" i="12"/>
  <c r="M437" i="12"/>
  <c r="N443" i="12"/>
  <c r="L451" i="12"/>
  <c r="M457" i="12"/>
  <c r="N462" i="12"/>
  <c r="L468" i="12"/>
  <c r="M473" i="12"/>
  <c r="N478" i="12"/>
  <c r="L484" i="12"/>
  <c r="M489" i="12"/>
  <c r="M10" i="12"/>
  <c r="L17" i="12"/>
  <c r="L25" i="12"/>
  <c r="N31" i="12"/>
  <c r="M38" i="12"/>
  <c r="M46" i="12"/>
  <c r="L53" i="12"/>
  <c r="N59" i="12"/>
  <c r="N67" i="12"/>
  <c r="M74" i="12"/>
  <c r="L81" i="12"/>
  <c r="L89" i="12"/>
  <c r="N95" i="12"/>
  <c r="M102" i="12"/>
  <c r="M110" i="12"/>
  <c r="L117" i="12"/>
  <c r="N123" i="12"/>
  <c r="N131" i="12"/>
  <c r="M138" i="12"/>
  <c r="L145" i="12"/>
  <c r="L153" i="12"/>
  <c r="N159" i="12"/>
  <c r="M166" i="12"/>
  <c r="M174" i="12"/>
  <c r="L181" i="12"/>
  <c r="N187" i="12"/>
  <c r="N195" i="12"/>
  <c r="M202" i="12"/>
  <c r="L209" i="12"/>
  <c r="L217" i="12"/>
  <c r="N223" i="12"/>
  <c r="M230" i="12"/>
  <c r="M238" i="12"/>
  <c r="L245" i="12"/>
  <c r="N251" i="12"/>
  <c r="N259" i="12"/>
  <c r="M266" i="12"/>
  <c r="L273" i="12"/>
  <c r="L4" i="12"/>
  <c r="N10" i="12"/>
  <c r="M17" i="12"/>
  <c r="M25" i="12"/>
  <c r="L32" i="12"/>
  <c r="N38" i="12"/>
  <c r="N46" i="12"/>
  <c r="M53" i="12"/>
  <c r="L60" i="12"/>
  <c r="L68" i="12"/>
  <c r="N74" i="12"/>
  <c r="M81" i="12"/>
  <c r="M89" i="12"/>
  <c r="L96" i="12"/>
  <c r="N102" i="12"/>
  <c r="N110" i="12"/>
  <c r="M117" i="12"/>
  <c r="L124" i="12"/>
  <c r="L132" i="12"/>
  <c r="N138" i="12"/>
  <c r="M145" i="12"/>
  <c r="M153" i="12"/>
  <c r="L160" i="12"/>
  <c r="N166" i="12"/>
  <c r="N174" i="12"/>
  <c r="M181" i="12"/>
  <c r="L188" i="12"/>
  <c r="L196" i="12"/>
  <c r="N202" i="12"/>
  <c r="M209" i="12"/>
  <c r="M217" i="12"/>
  <c r="L224" i="12"/>
  <c r="N230" i="12"/>
  <c r="N238" i="12"/>
  <c r="M245" i="12"/>
  <c r="L252" i="12"/>
  <c r="L260" i="12"/>
  <c r="N266" i="12"/>
  <c r="M273" i="12"/>
  <c r="M281" i="12"/>
  <c r="L288" i="12"/>
  <c r="N294" i="12"/>
  <c r="N302" i="12"/>
  <c r="M309" i="12"/>
  <c r="L316" i="12"/>
  <c r="L324" i="12"/>
  <c r="N330" i="12"/>
  <c r="M337" i="12"/>
  <c r="M345" i="12"/>
  <c r="L352" i="12"/>
  <c r="N358" i="12"/>
  <c r="M366" i="12"/>
  <c r="N372" i="12"/>
  <c r="L379" i="12"/>
  <c r="M385" i="12"/>
  <c r="N392" i="12"/>
  <c r="L399" i="12"/>
  <c r="M405" i="12"/>
  <c r="N411" i="12"/>
  <c r="L419" i="12"/>
  <c r="M425" i="12"/>
  <c r="N431" i="12"/>
  <c r="L438" i="12"/>
  <c r="L445" i="12"/>
  <c r="N451" i="12"/>
  <c r="L458" i="12"/>
  <c r="M463" i="12"/>
  <c r="N468" i="12"/>
  <c r="L474" i="12"/>
  <c r="M479" i="12"/>
  <c r="N484" i="12"/>
  <c r="M11" i="12"/>
  <c r="M21" i="12"/>
  <c r="N11" i="12"/>
  <c r="L14" i="12"/>
  <c r="L26" i="12"/>
  <c r="L36" i="12"/>
  <c r="L47" i="12"/>
  <c r="N54" i="12"/>
  <c r="N63" i="12"/>
  <c r="N72" i="12"/>
  <c r="M80" i="12"/>
  <c r="M90" i="12"/>
  <c r="M99" i="12"/>
  <c r="L107" i="12"/>
  <c r="L116" i="12"/>
  <c r="L126" i="12"/>
  <c r="N133" i="12"/>
  <c r="N142" i="12"/>
  <c r="M150" i="12"/>
  <c r="M160" i="12"/>
  <c r="M169" i="12"/>
  <c r="L177" i="12"/>
  <c r="L186" i="12"/>
  <c r="L195" i="12"/>
  <c r="N203" i="12"/>
  <c r="N212" i="12"/>
  <c r="N221" i="12"/>
  <c r="M229" i="12"/>
  <c r="M239" i="12"/>
  <c r="M248" i="12"/>
  <c r="L256" i="12"/>
  <c r="L265" i="12"/>
  <c r="L275" i="12"/>
  <c r="M282" i="12"/>
  <c r="L291" i="12"/>
  <c r="M298" i="12"/>
  <c r="L307" i="12"/>
  <c r="M314" i="12"/>
  <c r="L323" i="12"/>
  <c r="L331" i="12"/>
  <c r="N339" i="12"/>
  <c r="L347" i="12"/>
  <c r="N355" i="12"/>
  <c r="L363" i="12"/>
  <c r="L371" i="12"/>
  <c r="L378" i="12"/>
  <c r="M386" i="12"/>
  <c r="N393" i="12"/>
  <c r="N400" i="12"/>
  <c r="N408" i="12"/>
  <c r="N415" i="12"/>
  <c r="N422" i="12"/>
  <c r="N430" i="12"/>
  <c r="M438" i="12"/>
  <c r="M446" i="12"/>
  <c r="M453" i="12"/>
  <c r="M460" i="12"/>
  <c r="M466" i="12"/>
  <c r="M472" i="12"/>
  <c r="M478" i="12"/>
  <c r="L485" i="12"/>
  <c r="N14" i="12"/>
  <c r="N26" i="12"/>
  <c r="L37" i="12"/>
  <c r="N47" i="12"/>
  <c r="M14" i="12"/>
  <c r="M26" i="12"/>
  <c r="N36" i="12"/>
  <c r="M47" i="12"/>
  <c r="M56" i="12"/>
  <c r="L64" i="12"/>
  <c r="L73" i="12"/>
  <c r="L83" i="12"/>
  <c r="N90" i="12"/>
  <c r="N99" i="12"/>
  <c r="M107" i="12"/>
  <c r="M116" i="12"/>
  <c r="M126" i="12"/>
  <c r="L134" i="12"/>
  <c r="L143" i="12"/>
  <c r="N150" i="12"/>
  <c r="N160" i="12"/>
  <c r="N169" i="12"/>
  <c r="M177" i="12"/>
  <c r="M186" i="12"/>
  <c r="M196" i="12"/>
  <c r="L204" i="12"/>
  <c r="L213" i="12"/>
  <c r="L222" i="12"/>
  <c r="N229" i="12"/>
  <c r="N239" i="12"/>
  <c r="N248" i="12"/>
  <c r="M256" i="12"/>
  <c r="M265" i="12"/>
  <c r="M275" i="12"/>
  <c r="N282" i="12"/>
  <c r="M291" i="12"/>
  <c r="N298" i="12"/>
  <c r="M307" i="12"/>
  <c r="N314" i="12"/>
  <c r="N323" i="12"/>
  <c r="M331" i="12"/>
  <c r="L340" i="12"/>
  <c r="M347" i="12"/>
  <c r="L356" i="12"/>
  <c r="M363" i="12"/>
  <c r="M371" i="12"/>
  <c r="N378" i="12"/>
  <c r="L387" i="12"/>
  <c r="L394" i="12"/>
  <c r="L401" i="12"/>
  <c r="L409" i="12"/>
  <c r="L416" i="12"/>
  <c r="N423" i="12"/>
  <c r="M431" i="12"/>
  <c r="N438" i="12"/>
  <c r="N446" i="12"/>
  <c r="N453" i="12"/>
  <c r="N460" i="12"/>
  <c r="N466" i="12"/>
  <c r="N472" i="12"/>
  <c r="L479" i="12"/>
  <c r="M485" i="12"/>
  <c r="L12" i="12"/>
  <c r="N27" i="12"/>
  <c r="N41" i="12"/>
  <c r="L52" i="12"/>
  <c r="N62" i="12"/>
  <c r="M72" i="12"/>
  <c r="N83" i="12"/>
  <c r="L92" i="12"/>
  <c r="N101" i="12"/>
  <c r="M112" i="12"/>
  <c r="L122" i="12"/>
  <c r="N132" i="12"/>
  <c r="M142" i="12"/>
  <c r="N153" i="12"/>
  <c r="M163" i="12"/>
  <c r="N171" i="12"/>
  <c r="M182" i="12"/>
  <c r="L192" i="12"/>
  <c r="N201" i="12"/>
  <c r="M212" i="12"/>
  <c r="N222" i="12"/>
  <c r="M233" i="12"/>
  <c r="L243" i="12"/>
  <c r="N253" i="12"/>
  <c r="L262" i="12"/>
  <c r="N271" i="12"/>
  <c r="L282" i="12"/>
  <c r="L292" i="12"/>
  <c r="L300" i="12"/>
  <c r="L310" i="12"/>
  <c r="M319" i="12"/>
  <c r="N328" i="12"/>
  <c r="L337" i="12"/>
  <c r="N346" i="12"/>
  <c r="N356" i="12"/>
  <c r="L366" i="12"/>
  <c r="L374" i="12"/>
  <c r="N382" i="12"/>
  <c r="M390" i="12"/>
  <c r="N399" i="12"/>
  <c r="M408" i="12"/>
  <c r="N416" i="12"/>
  <c r="L426" i="12"/>
  <c r="M434" i="12"/>
  <c r="M442" i="12"/>
  <c r="M451" i="12"/>
  <c r="M459" i="12"/>
  <c r="L466" i="12"/>
  <c r="N473" i="12"/>
  <c r="N480" i="12"/>
  <c r="M487" i="12"/>
  <c r="L20" i="12"/>
  <c r="N217" i="12"/>
  <c r="M296" i="12"/>
  <c r="M324" i="12"/>
  <c r="N341" i="12"/>
  <c r="M377" i="12"/>
  <c r="L395" i="12"/>
  <c r="N420" i="12"/>
  <c r="M462" i="12"/>
  <c r="M476" i="12"/>
  <c r="N13" i="12"/>
  <c r="L28" i="12"/>
  <c r="L42" i="12"/>
  <c r="M52" i="12"/>
  <c r="L63" i="12"/>
  <c r="M73" i="12"/>
  <c r="L84" i="12"/>
  <c r="N93" i="12"/>
  <c r="M104" i="12"/>
  <c r="N112" i="12"/>
  <c r="M122" i="12"/>
  <c r="L133" i="12"/>
  <c r="M143" i="12"/>
  <c r="L154" i="12"/>
  <c r="N163" i="12"/>
  <c r="L172" i="12"/>
  <c r="N182" i="12"/>
  <c r="M192" i="12"/>
  <c r="L203" i="12"/>
  <c r="M213" i="12"/>
  <c r="L223" i="12"/>
  <c r="N233" i="12"/>
  <c r="M243" i="12"/>
  <c r="L254" i="12"/>
  <c r="M262" i="12"/>
  <c r="L272" i="12"/>
  <c r="L283" i="12"/>
  <c r="M292" i="12"/>
  <c r="N301" i="12"/>
  <c r="M310" i="12"/>
  <c r="N319" i="12"/>
  <c r="L329" i="12"/>
  <c r="L339" i="12"/>
  <c r="N347" i="12"/>
  <c r="L357" i="12"/>
  <c r="N366" i="12"/>
  <c r="M374" i="12"/>
  <c r="L383" i="12"/>
  <c r="N390" i="12"/>
  <c r="L400" i="12"/>
  <c r="M409" i="12"/>
  <c r="L417" i="12"/>
  <c r="M426" i="12"/>
  <c r="L435" i="12"/>
  <c r="N442" i="12"/>
  <c r="L452" i="12"/>
  <c r="N459" i="12"/>
  <c r="L467" i="12"/>
  <c r="M474" i="12"/>
  <c r="L481" i="12"/>
  <c r="N487" i="12"/>
  <c r="M127" i="12"/>
  <c r="M176" i="12"/>
  <c r="N235" i="12"/>
  <c r="M267" i="12"/>
  <c r="M304" i="12"/>
  <c r="N333" i="12"/>
  <c r="N368" i="12"/>
  <c r="N403" i="12"/>
  <c r="L447" i="12"/>
  <c r="N15" i="12"/>
  <c r="M30" i="12"/>
  <c r="M42" i="12"/>
  <c r="N53" i="12"/>
  <c r="M63" i="12"/>
  <c r="N73" i="12"/>
  <c r="M84" i="12"/>
  <c r="L94" i="12"/>
  <c r="N104" i="12"/>
  <c r="L113" i="12"/>
  <c r="N122" i="12"/>
  <c r="M133" i="12"/>
  <c r="N143" i="12"/>
  <c r="M154" i="12"/>
  <c r="L164" i="12"/>
  <c r="N173" i="12"/>
  <c r="M184" i="12"/>
  <c r="N192" i="12"/>
  <c r="M203" i="12"/>
  <c r="N213" i="12"/>
  <c r="M224" i="12"/>
  <c r="L234" i="12"/>
  <c r="N243" i="12"/>
  <c r="M254" i="12"/>
  <c r="N262" i="12"/>
  <c r="M272" i="12"/>
  <c r="M283" i="12"/>
  <c r="N292" i="12"/>
  <c r="M302" i="12"/>
  <c r="N310" i="12"/>
  <c r="L320" i="12"/>
  <c r="M329" i="12"/>
  <c r="M339" i="12"/>
  <c r="L348" i="12"/>
  <c r="M357" i="12"/>
  <c r="L367" i="12"/>
  <c r="N374" i="12"/>
  <c r="M383" i="12"/>
  <c r="M392" i="12"/>
  <c r="M400" i="12"/>
  <c r="N409" i="12"/>
  <c r="M418" i="12"/>
  <c r="N426" i="12"/>
  <c r="M435" i="12"/>
  <c r="L443" i="12"/>
  <c r="M452" i="12"/>
  <c r="L460" i="12"/>
  <c r="M467" i="12"/>
  <c r="N474" i="12"/>
  <c r="M481" i="12"/>
  <c r="L488" i="12"/>
  <c r="M4" i="12"/>
  <c r="M33" i="12"/>
  <c r="N45" i="12"/>
  <c r="M57" i="12"/>
  <c r="L67" i="12"/>
  <c r="N77" i="12"/>
  <c r="L86" i="12"/>
  <c r="N96" i="12"/>
  <c r="M106" i="12"/>
  <c r="N117" i="12"/>
  <c r="L137" i="12"/>
  <c r="N147" i="12"/>
  <c r="L156" i="12"/>
  <c r="N165" i="12"/>
  <c r="N186" i="12"/>
  <c r="M197" i="12"/>
  <c r="M227" i="12"/>
  <c r="M246" i="12"/>
  <c r="N256" i="12"/>
  <c r="M286" i="12"/>
  <c r="N313" i="12"/>
  <c r="L351" i="12"/>
  <c r="M387" i="12"/>
  <c r="L412" i="12"/>
  <c r="L429" i="12"/>
  <c r="L437" i="12"/>
  <c r="N469" i="12"/>
  <c r="N4" i="12"/>
  <c r="L35" i="12"/>
  <c r="L48" i="12"/>
  <c r="N57" i="12"/>
  <c r="M68" i="12"/>
  <c r="L78" i="12"/>
  <c r="M86" i="12"/>
  <c r="M16" i="12"/>
  <c r="L31" i="12"/>
  <c r="N42" i="12"/>
  <c r="L54" i="12"/>
  <c r="M64" i="12"/>
  <c r="L75" i="12"/>
  <c r="N84" i="12"/>
  <c r="M94" i="12"/>
  <c r="L105" i="12"/>
  <c r="M113" i="12"/>
  <c r="L123" i="12"/>
  <c r="M134" i="12"/>
  <c r="L144" i="12"/>
  <c r="N154" i="12"/>
  <c r="M164" i="12"/>
  <c r="L175" i="12"/>
  <c r="N184" i="12"/>
  <c r="L193" i="12"/>
  <c r="N205" i="12"/>
  <c r="L214" i="12"/>
  <c r="N224" i="12"/>
  <c r="M234" i="12"/>
  <c r="L244" i="12"/>
  <c r="N254" i="12"/>
  <c r="M264" i="12"/>
  <c r="N275" i="12"/>
  <c r="N283" i="12"/>
  <c r="L293" i="12"/>
  <c r="L303" i="12"/>
  <c r="M312" i="12"/>
  <c r="M320" i="12"/>
  <c r="N329" i="12"/>
  <c r="M340" i="12"/>
  <c r="N349" i="12"/>
  <c r="N357" i="12"/>
  <c r="M367" i="12"/>
  <c r="N375" i="12"/>
  <c r="N383" i="12"/>
  <c r="L393" i="12"/>
  <c r="M401" i="12"/>
  <c r="L410" i="12"/>
  <c r="M419" i="12"/>
  <c r="L427" i="12"/>
  <c r="N435" i="12"/>
  <c r="M443" i="12"/>
  <c r="N452" i="12"/>
  <c r="L461" i="12"/>
  <c r="N467" i="12"/>
  <c r="L475" i="12"/>
  <c r="N481" i="12"/>
  <c r="M488" i="12"/>
  <c r="L207" i="12"/>
  <c r="N454" i="12"/>
  <c r="L19" i="12"/>
  <c r="M32" i="12"/>
  <c r="L43" i="12"/>
  <c r="M54" i="12"/>
  <c r="N64" i="12"/>
  <c r="M75" i="12"/>
  <c r="L85" i="12"/>
  <c r="N94" i="12"/>
  <c r="M105" i="12"/>
  <c r="L115" i="12"/>
  <c r="N125" i="12"/>
  <c r="N134" i="12"/>
  <c r="M144" i="12"/>
  <c r="L155" i="12"/>
  <c r="N164" i="12"/>
  <c r="M175" i="12"/>
  <c r="L185" i="12"/>
  <c r="M193" i="12"/>
  <c r="L206" i="12"/>
  <c r="M214" i="12"/>
  <c r="L225" i="12"/>
  <c r="N234" i="12"/>
  <c r="M244" i="12"/>
  <c r="L255" i="12"/>
  <c r="N264" i="12"/>
  <c r="L276" i="12"/>
  <c r="L284" i="12"/>
  <c r="M293" i="12"/>
  <c r="M303" i="12"/>
  <c r="N312" i="12"/>
  <c r="N320" i="12"/>
  <c r="M330" i="12"/>
  <c r="N340" i="12"/>
  <c r="L350" i="12"/>
  <c r="M358" i="12"/>
  <c r="N367" i="12"/>
  <c r="M376" i="12"/>
  <c r="L384" i="12"/>
  <c r="M393" i="12"/>
  <c r="M402" i="12"/>
  <c r="M410" i="12"/>
  <c r="N419" i="12"/>
  <c r="M427" i="12"/>
  <c r="L436" i="12"/>
  <c r="L444" i="12"/>
  <c r="L453" i="12"/>
  <c r="M461" i="12"/>
  <c r="M468" i="12"/>
  <c r="M475" i="12"/>
  <c r="L482" i="12"/>
  <c r="N488" i="12"/>
  <c r="N19" i="12"/>
  <c r="N43" i="12"/>
  <c r="L57" i="12"/>
  <c r="L76" i="12"/>
  <c r="L106" i="12"/>
  <c r="L127" i="12"/>
  <c r="M147" i="12"/>
  <c r="M165" i="12"/>
  <c r="N185" i="12"/>
  <c r="N206" i="12"/>
  <c r="L227" i="12"/>
  <c r="L246" i="12"/>
  <c r="L267" i="12"/>
  <c r="M294" i="12"/>
  <c r="M313" i="12"/>
  <c r="M341" i="12"/>
  <c r="M368" i="12"/>
  <c r="L385" i="12"/>
  <c r="M403" i="12"/>
  <c r="M411" i="12"/>
  <c r="M420" i="12"/>
  <c r="L428" i="12"/>
  <c r="L446" i="12"/>
  <c r="M454" i="12"/>
  <c r="L462" i="12"/>
  <c r="M469" i="12"/>
  <c r="L476" i="12"/>
  <c r="N482" i="12"/>
  <c r="N489" i="12"/>
  <c r="L361" i="12"/>
  <c r="M19" i="12"/>
  <c r="N32" i="12"/>
  <c r="M43" i="12"/>
  <c r="N56" i="12"/>
  <c r="L65" i="12"/>
  <c r="N75" i="12"/>
  <c r="M85" i="12"/>
  <c r="L95" i="12"/>
  <c r="N105" i="12"/>
  <c r="M115" i="12"/>
  <c r="N126" i="12"/>
  <c r="M136" i="12"/>
  <c r="L147" i="12"/>
  <c r="M155" i="12"/>
  <c r="L165" i="12"/>
  <c r="N175" i="12"/>
  <c r="M185" i="12"/>
  <c r="N196" i="12"/>
  <c r="M206" i="12"/>
  <c r="N214" i="12"/>
  <c r="M225" i="12"/>
  <c r="L235" i="12"/>
  <c r="N245" i="12"/>
  <c r="M255" i="12"/>
  <c r="N265" i="12"/>
  <c r="M276" i="12"/>
  <c r="N285" i="12"/>
  <c r="N293" i="12"/>
  <c r="N303" i="12"/>
  <c r="L313" i="12"/>
  <c r="L321" i="12"/>
  <c r="N331" i="12"/>
  <c r="L341" i="12"/>
  <c r="M350" i="12"/>
  <c r="M360" i="12"/>
  <c r="L368" i="12"/>
  <c r="N376" i="12"/>
  <c r="M384" i="12"/>
  <c r="M394" i="12"/>
  <c r="L403" i="12"/>
  <c r="N410" i="12"/>
  <c r="L420" i="12"/>
  <c r="N427" i="12"/>
  <c r="M436" i="12"/>
  <c r="N445" i="12"/>
  <c r="L454" i="12"/>
  <c r="N461" i="12"/>
  <c r="L469" i="12"/>
  <c r="N475" i="12"/>
  <c r="M482" i="12"/>
  <c r="L489" i="12"/>
  <c r="L33" i="12"/>
  <c r="M65" i="12"/>
  <c r="N85" i="12"/>
  <c r="M96" i="12"/>
  <c r="N115" i="12"/>
  <c r="N136" i="12"/>
  <c r="N155" i="12"/>
  <c r="L176" i="12"/>
  <c r="L197" i="12"/>
  <c r="M216" i="12"/>
  <c r="M235" i="12"/>
  <c r="N255" i="12"/>
  <c r="N276" i="12"/>
  <c r="L286" i="12"/>
  <c r="L304" i="12"/>
  <c r="M321" i="12"/>
  <c r="L332" i="12"/>
  <c r="N350" i="12"/>
  <c r="N360" i="12"/>
  <c r="L377" i="12"/>
  <c r="N394" i="12"/>
  <c r="N436" i="12"/>
  <c r="L277" i="12"/>
  <c r="L483" i="12"/>
  <c r="L21" i="12"/>
  <c r="M49" i="12"/>
  <c r="M70" i="12"/>
  <c r="L97" i="12"/>
  <c r="L118" i="12"/>
  <c r="M137" i="12"/>
  <c r="N157" i="12"/>
  <c r="N176" i="12"/>
  <c r="N197" i="12"/>
  <c r="L218" i="12"/>
  <c r="L236" i="12"/>
  <c r="L257" i="12"/>
  <c r="M277" i="12"/>
  <c r="N296" i="12"/>
  <c r="L314" i="12"/>
  <c r="L334" i="12"/>
  <c r="N351" i="12"/>
  <c r="L369" i="12"/>
  <c r="N387" i="12"/>
  <c r="L404" i="12"/>
  <c r="L421" i="12"/>
  <c r="N437" i="12"/>
  <c r="N455" i="12"/>
  <c r="L470" i="12"/>
  <c r="M483" i="12"/>
  <c r="M22" i="12"/>
  <c r="L51" i="12"/>
  <c r="N70" i="12"/>
  <c r="M97" i="12"/>
  <c r="M118" i="12"/>
  <c r="N137" i="12"/>
  <c r="L158" i="12"/>
  <c r="L179" i="12"/>
  <c r="L198" i="12"/>
  <c r="M218" i="12"/>
  <c r="N237" i="12"/>
  <c r="M257" i="12"/>
  <c r="N277" i="12"/>
  <c r="L297" i="12"/>
  <c r="L315" i="12"/>
  <c r="M334" i="12"/>
  <c r="M352" i="12"/>
  <c r="M369" i="12"/>
  <c r="L388" i="12"/>
  <c r="M404" i="12"/>
  <c r="M421" i="12"/>
  <c r="N439" i="12"/>
  <c r="M456" i="12"/>
  <c r="M470" i="12"/>
  <c r="N483" i="12"/>
  <c r="M24" i="12"/>
  <c r="M51" i="12"/>
  <c r="M78" i="12"/>
  <c r="L99" i="12"/>
  <c r="N118" i="12"/>
  <c r="L139" i="12"/>
  <c r="M158" i="12"/>
  <c r="M179" i="12"/>
  <c r="M198" i="12"/>
  <c r="N218" i="12"/>
  <c r="L239" i="12"/>
  <c r="L259" i="12"/>
  <c r="L278" i="12"/>
  <c r="M297" i="12"/>
  <c r="N315" i="12"/>
  <c r="N334" i="12"/>
  <c r="N352" i="12"/>
  <c r="M370" i="12"/>
  <c r="M388" i="12"/>
  <c r="L405" i="12"/>
  <c r="N421" i="12"/>
  <c r="M440" i="12"/>
  <c r="N456" i="12"/>
  <c r="N470" i="12"/>
  <c r="M484" i="12"/>
  <c r="N20" i="12"/>
  <c r="L49" i="12"/>
  <c r="L70" i="12"/>
  <c r="N91" i="12"/>
  <c r="L112" i="12"/>
  <c r="M132" i="12"/>
  <c r="M152" i="12"/>
  <c r="M171" i="12"/>
  <c r="N191" i="12"/>
  <c r="L212" i="12"/>
  <c r="L233" i="12"/>
  <c r="L251" i="12"/>
  <c r="M271" i="12"/>
  <c r="N291" i="12"/>
  <c r="N309" i="12"/>
  <c r="M328" i="12"/>
  <c r="M346" i="12"/>
  <c r="L365" i="12"/>
  <c r="M382" i="12"/>
  <c r="M399" i="12"/>
  <c r="M416" i="12"/>
  <c r="M433" i="12"/>
  <c r="M450" i="12"/>
  <c r="N465" i="12"/>
  <c r="M480" i="12"/>
  <c r="N476" i="12"/>
  <c r="M447" i="12"/>
  <c r="L413" i="12"/>
  <c r="N377" i="12"/>
  <c r="L342" i="12"/>
  <c r="N304" i="12"/>
  <c r="N267" i="12"/>
  <c r="N227" i="12"/>
  <c r="L187" i="12"/>
  <c r="L148" i="12"/>
  <c r="N106" i="12"/>
  <c r="N61" i="12"/>
  <c r="M5" i="12"/>
  <c r="L442" i="12"/>
  <c r="L390" i="12"/>
  <c r="M356" i="12"/>
  <c r="M336" i="12"/>
  <c r="N299" i="12"/>
  <c r="N281" i="12"/>
  <c r="N261" i="12"/>
  <c r="M241" i="12"/>
  <c r="M222" i="12"/>
  <c r="M201" i="12"/>
  <c r="L182" i="12"/>
  <c r="L163" i="12"/>
  <c r="L142" i="12"/>
  <c r="N121" i="12"/>
  <c r="M101" i="12"/>
  <c r="L80" i="12"/>
  <c r="L59" i="12"/>
  <c r="N35" i="12"/>
  <c r="L5" i="12"/>
  <c r="N486" i="12"/>
  <c r="L472" i="12"/>
  <c r="N458" i="12"/>
  <c r="N441" i="12"/>
  <c r="L425" i="12"/>
  <c r="N406" i="12"/>
  <c r="N389" i="12"/>
  <c r="M373" i="12"/>
  <c r="M355" i="12"/>
  <c r="L336" i="12"/>
  <c r="N318" i="12"/>
  <c r="M299" i="12"/>
  <c r="L281" i="12"/>
  <c r="M261" i="12"/>
  <c r="L241" i="12"/>
  <c r="L220" i="12"/>
  <c r="L201" i="12"/>
  <c r="N181" i="12"/>
  <c r="M161" i="12"/>
  <c r="N141" i="12"/>
  <c r="M121" i="12"/>
  <c r="L101" i="12"/>
  <c r="N79" i="12"/>
  <c r="N58" i="12"/>
  <c r="M35" i="12"/>
  <c r="M486" i="12"/>
  <c r="N471" i="12"/>
  <c r="M458" i="12"/>
  <c r="M441" i="12"/>
  <c r="M424" i="12"/>
  <c r="M406" i="12"/>
  <c r="M389" i="12"/>
  <c r="L373" i="12"/>
  <c r="L355" i="12"/>
  <c r="N335" i="12"/>
  <c r="M318" i="12"/>
  <c r="L299" i="12"/>
  <c r="M280" i="12"/>
  <c r="L261" i="12"/>
  <c r="N240" i="12"/>
  <c r="N219" i="12"/>
  <c r="N200" i="12"/>
  <c r="M180" i="12"/>
  <c r="L161" i="12"/>
  <c r="L140" i="12"/>
  <c r="L121" i="12"/>
  <c r="N100" i="12"/>
  <c r="M79" i="12"/>
  <c r="M58" i="12"/>
  <c r="M27" i="12"/>
  <c r="L480" i="12"/>
  <c r="M465" i="12"/>
  <c r="M449" i="12"/>
  <c r="L433" i="12"/>
  <c r="M415" i="12"/>
  <c r="N398" i="12"/>
  <c r="L382" i="12"/>
  <c r="L364" i="12"/>
  <c r="L346" i="12"/>
  <c r="N326" i="12"/>
  <c r="L309" i="12"/>
  <c r="M289" i="12"/>
  <c r="L271" i="12"/>
  <c r="N250" i="12"/>
  <c r="N232" i="12"/>
  <c r="N211" i="12"/>
  <c r="M191" i="12"/>
  <c r="L171" i="12"/>
  <c r="L150" i="12"/>
  <c r="L131" i="12"/>
  <c r="N111" i="12"/>
  <c r="M91" i="12"/>
  <c r="N69" i="12"/>
  <c r="N48" i="12"/>
  <c r="M20" i="12"/>
  <c r="N479" i="12"/>
  <c r="L465" i="12"/>
  <c r="L449" i="12"/>
  <c r="N432" i="12"/>
  <c r="L415" i="12"/>
  <c r="L398" i="12"/>
  <c r="N381" i="12"/>
  <c r="N363" i="12"/>
  <c r="N345" i="12"/>
  <c r="M326" i="12"/>
  <c r="M308" i="12"/>
  <c r="L289" i="12"/>
  <c r="N270" i="12"/>
  <c r="M250" i="12"/>
  <c r="M232" i="12"/>
  <c r="M211" i="12"/>
  <c r="L191" i="12"/>
  <c r="N170" i="12"/>
  <c r="N149" i="12"/>
  <c r="M129" i="12"/>
  <c r="M111" i="12"/>
  <c r="L91" i="12"/>
  <c r="M69" i="12"/>
  <c r="M48" i="12"/>
  <c r="L11" i="12"/>
  <c r="L478" i="12"/>
  <c r="N464" i="12"/>
  <c r="N448" i="12"/>
  <c r="M432" i="12"/>
  <c r="N414" i="12"/>
  <c r="N397" i="12"/>
  <c r="L381" i="12"/>
  <c r="N362" i="12"/>
  <c r="L345" i="12"/>
  <c r="L326" i="12"/>
  <c r="L308" i="12"/>
  <c r="N288" i="12"/>
  <c r="M270" i="12"/>
  <c r="L250" i="12"/>
  <c r="L229" i="12"/>
  <c r="L211" i="12"/>
  <c r="N190" i="12"/>
  <c r="M170" i="12"/>
  <c r="M149" i="12"/>
  <c r="L129" i="12"/>
  <c r="L111" i="12"/>
  <c r="L90" i="12"/>
  <c r="L69" i="12"/>
  <c r="M41" i="12"/>
  <c r="N6" i="12"/>
  <c r="M464" i="12"/>
  <c r="M448" i="12"/>
  <c r="L432" i="12"/>
  <c r="M414" i="12"/>
  <c r="L397" i="12"/>
  <c r="L380" i="12"/>
  <c r="M362" i="12"/>
  <c r="M344" i="12"/>
  <c r="N325" i="12"/>
  <c r="N307" i="12"/>
  <c r="M288" i="12"/>
  <c r="L270" i="12"/>
  <c r="N249" i="12"/>
  <c r="N228" i="12"/>
  <c r="M208" i="12"/>
  <c r="M190" i="12"/>
  <c r="L170" i="12"/>
  <c r="L149" i="12"/>
  <c r="N128" i="12"/>
  <c r="N109" i="12"/>
  <c r="N89" i="12"/>
  <c r="N68" i="12"/>
  <c r="L41" i="12"/>
  <c r="M6" i="12"/>
  <c r="M477" i="12"/>
  <c r="L448" i="12"/>
  <c r="N379" i="12"/>
  <c r="N342" i="12"/>
  <c r="M305" i="12"/>
  <c r="N269" i="12"/>
  <c r="M228" i="12"/>
  <c r="L190" i="12"/>
  <c r="L169" i="12"/>
  <c r="M128" i="12"/>
  <c r="L108" i="12"/>
  <c r="N40" i="12"/>
  <c r="L6" i="12"/>
  <c r="D3" i="12"/>
  <c r="E3" i="12" s="1"/>
  <c r="G62" i="12"/>
  <c r="G318" i="12"/>
  <c r="G491" i="12"/>
  <c r="E67" i="12"/>
  <c r="F137" i="12"/>
  <c r="E200" i="12"/>
  <c r="E264" i="12"/>
  <c r="E317" i="12"/>
  <c r="E369" i="12"/>
  <c r="F409" i="12"/>
  <c r="F443" i="12"/>
  <c r="E476" i="12"/>
  <c r="E503" i="12"/>
  <c r="G83" i="12"/>
  <c r="G354" i="12"/>
  <c r="E8" i="12"/>
  <c r="F75" i="12"/>
  <c r="E139" i="12"/>
  <c r="E207" i="12"/>
  <c r="E266" i="12"/>
  <c r="E319" i="12"/>
  <c r="F371" i="12"/>
  <c r="F410" i="12"/>
  <c r="E446" i="12"/>
  <c r="E478" i="12"/>
  <c r="E510" i="12"/>
  <c r="G176" i="12"/>
  <c r="G432" i="12"/>
  <c r="F46" i="12"/>
  <c r="E121" i="12"/>
  <c r="E192" i="12"/>
  <c r="E271" i="12"/>
  <c r="E331" i="12"/>
  <c r="E383" i="12"/>
  <c r="E430" i="12"/>
  <c r="E467" i="12"/>
  <c r="E501" i="12"/>
  <c r="G190" i="12"/>
  <c r="G450" i="12"/>
  <c r="F47" i="12"/>
  <c r="F121" i="12"/>
  <c r="E204" i="12"/>
  <c r="F271" i="12"/>
  <c r="E332" i="12"/>
  <c r="F391" i="12"/>
  <c r="F431" i="12"/>
  <c r="F467" i="12"/>
  <c r="F501" i="12"/>
  <c r="N447" i="12"/>
  <c r="N395" i="12"/>
  <c r="M342" i="12"/>
  <c r="L287" i="12"/>
  <c r="L268" i="12"/>
  <c r="L249" i="12"/>
  <c r="N189" i="12"/>
  <c r="N168" i="12"/>
  <c r="M148" i="12"/>
  <c r="L128" i="12"/>
  <c r="N107" i="12"/>
  <c r="N86" i="12"/>
  <c r="N5" i="12"/>
  <c r="L463" i="12"/>
  <c r="N429" i="12"/>
  <c r="M395" i="12"/>
  <c r="M361" i="12"/>
  <c r="N324" i="12"/>
  <c r="N286" i="12"/>
  <c r="N246" i="12"/>
  <c r="M207" i="12"/>
  <c r="M168" i="12"/>
  <c r="N127" i="12"/>
  <c r="M83" i="12"/>
  <c r="N37" i="12"/>
  <c r="L487" i="12"/>
  <c r="L473" i="12"/>
  <c r="L459" i="12"/>
  <c r="N425" i="12"/>
  <c r="N407" i="12"/>
  <c r="N373" i="12"/>
  <c r="L319" i="12"/>
  <c r="L486" i="12"/>
  <c r="M471" i="12"/>
  <c r="N457" i="12"/>
  <c r="L441" i="12"/>
  <c r="M422" i="12"/>
  <c r="L406" i="12"/>
  <c r="L389" i="12"/>
  <c r="M372" i="12"/>
  <c r="M353" i="12"/>
  <c r="M335" i="12"/>
  <c r="L318" i="12"/>
  <c r="L298" i="12"/>
  <c r="N278" i="12"/>
  <c r="N260" i="12"/>
  <c r="M240" i="12"/>
  <c r="M219" i="12"/>
  <c r="M200" i="12"/>
  <c r="L180" i="12"/>
  <c r="L159" i="12"/>
  <c r="N139" i="12"/>
  <c r="N120" i="12"/>
  <c r="M100" i="12"/>
  <c r="L79" i="12"/>
  <c r="L58" i="12"/>
  <c r="L27" i="12"/>
  <c r="N485" i="12"/>
  <c r="L471" i="12"/>
  <c r="L457" i="12"/>
  <c r="N440" i="12"/>
  <c r="L422" i="12"/>
  <c r="N405" i="12"/>
  <c r="N388" i="12"/>
  <c r="N371" i="12"/>
  <c r="L353" i="12"/>
  <c r="L335" i="12"/>
  <c r="N317" i="12"/>
  <c r="N297" i="12"/>
  <c r="M278" i="12"/>
  <c r="M260" i="12"/>
  <c r="L240" i="12"/>
  <c r="L219" i="12"/>
  <c r="N198" i="12"/>
  <c r="N179" i="12"/>
  <c r="N158" i="12"/>
  <c r="M139" i="12"/>
  <c r="M120" i="12"/>
  <c r="L100" i="12"/>
  <c r="N78" i="12"/>
  <c r="N51" i="12"/>
  <c r="N25" i="12"/>
  <c r="N477" i="12"/>
  <c r="L414" i="12"/>
  <c r="M62" i="12"/>
  <c r="N463" i="12"/>
  <c r="N413" i="12"/>
  <c r="N361" i="12"/>
  <c r="L305" i="12"/>
  <c r="N207" i="12"/>
  <c r="M40" i="12"/>
  <c r="L464" i="12"/>
  <c r="M430" i="12"/>
  <c r="L396" i="12"/>
  <c r="L362" i="12"/>
  <c r="M325" i="12"/>
  <c r="N287" i="12"/>
  <c r="M249" i="12"/>
  <c r="L208" i="12"/>
  <c r="N148" i="12"/>
  <c r="M88" i="12"/>
  <c r="L477" i="12"/>
  <c r="L430" i="12"/>
  <c r="M379" i="12"/>
  <c r="L325" i="12"/>
  <c r="L228" i="12"/>
  <c r="L62" i="12"/>
  <c r="M28" i="13"/>
  <c r="H86" i="13"/>
  <c r="G163" i="13"/>
  <c r="K232" i="13"/>
  <c r="G269" i="13"/>
  <c r="G300" i="13"/>
  <c r="H328" i="13"/>
  <c r="K356" i="13"/>
  <c r="I390" i="13"/>
  <c r="H416" i="13"/>
  <c r="I438" i="13"/>
  <c r="M456" i="13"/>
  <c r="M474" i="13"/>
  <c r="K488" i="13"/>
  <c r="K490" i="13"/>
  <c r="K492" i="13"/>
  <c r="K494" i="13"/>
  <c r="K496" i="13"/>
  <c r="K498" i="13"/>
  <c r="K500" i="13"/>
  <c r="K502" i="13"/>
  <c r="K504" i="13"/>
  <c r="K506" i="13"/>
  <c r="K508" i="13"/>
  <c r="K510" i="13"/>
  <c r="K512" i="13"/>
  <c r="K514" i="13"/>
  <c r="H105" i="13"/>
  <c r="F180" i="13"/>
  <c r="L232" i="13"/>
  <c r="H269" i="13"/>
  <c r="H300" i="13"/>
  <c r="I328" i="13"/>
  <c r="G364" i="13"/>
  <c r="L390" i="13"/>
  <c r="I416" i="13"/>
  <c r="K440" i="13"/>
  <c r="F457" i="13"/>
  <c r="F475" i="13"/>
  <c r="L488" i="13"/>
  <c r="L490" i="13"/>
  <c r="L492" i="13"/>
  <c r="L494" i="13"/>
  <c r="L496" i="13"/>
  <c r="L498" i="13"/>
  <c r="L500" i="13"/>
  <c r="L502" i="13"/>
  <c r="L504" i="13"/>
  <c r="L506" i="13"/>
  <c r="L510" i="13"/>
  <c r="L512" i="13"/>
  <c r="L514" i="13"/>
  <c r="I105" i="13"/>
  <c r="M502" i="13"/>
  <c r="M201" i="13"/>
  <c r="L423" i="13"/>
  <c r="G36" i="13"/>
  <c r="L508" i="13"/>
  <c r="G114" i="13"/>
  <c r="H311" i="13"/>
  <c r="K398" i="13"/>
  <c r="L447" i="13"/>
  <c r="I36" i="13"/>
  <c r="G180" i="13"/>
  <c r="M232" i="13"/>
  <c r="J272" i="13"/>
  <c r="L302" i="13"/>
  <c r="J336" i="13"/>
  <c r="H364" i="13"/>
  <c r="F391" i="13"/>
  <c r="K416" i="13"/>
  <c r="L440" i="13"/>
  <c r="F461" i="13"/>
  <c r="G475" i="13"/>
  <c r="M488" i="13"/>
  <c r="M490" i="13"/>
  <c r="M492" i="13"/>
  <c r="M494" i="13"/>
  <c r="M496" i="13"/>
  <c r="M498" i="13"/>
  <c r="M500" i="13"/>
  <c r="M504" i="13"/>
  <c r="M506" i="13"/>
  <c r="M508" i="13"/>
  <c r="M510" i="13"/>
  <c r="M512" i="13"/>
  <c r="M514" i="13"/>
  <c r="L36" i="13"/>
  <c r="K105" i="13"/>
  <c r="K184" i="13"/>
  <c r="F233" i="13"/>
  <c r="L272" i="13"/>
  <c r="G308" i="13"/>
  <c r="K336" i="13"/>
  <c r="I364" i="13"/>
  <c r="G391" i="13"/>
  <c r="L416" i="13"/>
  <c r="M440" i="13"/>
  <c r="G461" i="13"/>
  <c r="F477" i="13"/>
  <c r="F489" i="13"/>
  <c r="F491" i="13"/>
  <c r="F493" i="13"/>
  <c r="F495" i="13"/>
  <c r="F497" i="13"/>
  <c r="F499" i="13"/>
  <c r="F501" i="13"/>
  <c r="F503" i="13"/>
  <c r="F505" i="13"/>
  <c r="F507" i="13"/>
  <c r="F509" i="13"/>
  <c r="F511" i="13"/>
  <c r="F513" i="13"/>
  <c r="F515" i="13"/>
  <c r="M36" i="13"/>
  <c r="M113" i="13"/>
  <c r="K185" i="13"/>
  <c r="I237" i="13"/>
  <c r="M278" i="13"/>
  <c r="H308" i="13"/>
  <c r="L336" i="13"/>
  <c r="J364" i="13"/>
  <c r="I391" i="13"/>
  <c r="J423" i="13"/>
  <c r="F441" i="13"/>
  <c r="F463" i="13"/>
  <c r="H480" i="13"/>
  <c r="G489" i="13"/>
  <c r="G491" i="13"/>
  <c r="G493" i="13"/>
  <c r="G495" i="13"/>
  <c r="G497" i="13"/>
  <c r="G499" i="13"/>
  <c r="G501" i="13"/>
  <c r="G503" i="13"/>
  <c r="G505" i="13"/>
  <c r="G507" i="13"/>
  <c r="G509" i="13"/>
  <c r="G511" i="13"/>
  <c r="G513" i="13"/>
  <c r="G515" i="13"/>
  <c r="G56" i="13"/>
  <c r="F114" i="13"/>
  <c r="L185" i="13"/>
  <c r="I244" i="13"/>
  <c r="F281" i="13"/>
  <c r="G311" i="13"/>
  <c r="H339" i="13"/>
  <c r="M366" i="13"/>
  <c r="J398" i="13"/>
  <c r="K423" i="13"/>
  <c r="G441" i="13"/>
  <c r="G463" i="13"/>
  <c r="J480" i="13"/>
  <c r="H489" i="13"/>
  <c r="H491" i="13"/>
  <c r="H493" i="13"/>
  <c r="H495" i="13"/>
  <c r="H497" i="13"/>
  <c r="H499" i="13"/>
  <c r="H501" i="13"/>
  <c r="H503" i="13"/>
  <c r="H505" i="13"/>
  <c r="H507" i="13"/>
  <c r="H509" i="13"/>
  <c r="H511" i="13"/>
  <c r="H513" i="13"/>
  <c r="H515" i="13"/>
  <c r="H56" i="13"/>
  <c r="M281" i="13"/>
  <c r="I339" i="13"/>
  <c r="H372" i="13"/>
  <c r="I57" i="13"/>
  <c r="I162" i="13"/>
  <c r="F260" i="13"/>
  <c r="I319" i="13"/>
  <c r="L374" i="13"/>
  <c r="F416" i="13"/>
  <c r="K454" i="13"/>
  <c r="L482" i="13"/>
  <c r="J490" i="13"/>
  <c r="F494" i="13"/>
  <c r="J497" i="13"/>
  <c r="H500" i="13"/>
  <c r="L503" i="13"/>
  <c r="J506" i="13"/>
  <c r="F510" i="13"/>
  <c r="J513" i="13"/>
  <c r="G66" i="13"/>
  <c r="J202" i="13"/>
  <c r="H260" i="13"/>
  <c r="F320" i="13"/>
  <c r="F375" i="13"/>
  <c r="F424" i="13"/>
  <c r="M454" i="13"/>
  <c r="F488" i="13"/>
  <c r="J491" i="13"/>
  <c r="H494" i="13"/>
  <c r="L497" i="13"/>
  <c r="J500" i="13"/>
  <c r="F504" i="13"/>
  <c r="J507" i="13"/>
  <c r="H510" i="13"/>
  <c r="L513" i="13"/>
  <c r="J78" i="13"/>
  <c r="H203" i="13"/>
  <c r="G268" i="13"/>
  <c r="M327" i="13"/>
  <c r="K382" i="13"/>
  <c r="H426" i="13"/>
  <c r="H463" i="13"/>
  <c r="G488" i="13"/>
  <c r="K491" i="13"/>
  <c r="I494" i="13"/>
  <c r="M497" i="13"/>
  <c r="I501" i="13"/>
  <c r="G504" i="13"/>
  <c r="K507" i="13"/>
  <c r="I510" i="13"/>
  <c r="M513" i="13"/>
  <c r="K84" i="13"/>
  <c r="F208" i="13"/>
  <c r="F282" i="13"/>
  <c r="F328" i="13"/>
  <c r="L382" i="13"/>
  <c r="L430" i="13"/>
  <c r="I463" i="13"/>
  <c r="H488" i="13"/>
  <c r="L491" i="13"/>
  <c r="J494" i="13"/>
  <c r="F498" i="13"/>
  <c r="J501" i="13"/>
  <c r="H504" i="13"/>
  <c r="L507" i="13"/>
  <c r="J510" i="13"/>
  <c r="F514" i="13"/>
  <c r="L84" i="13"/>
  <c r="L216" i="13"/>
  <c r="H282" i="13"/>
  <c r="G328" i="13"/>
  <c r="M382" i="13"/>
  <c r="M430" i="13"/>
  <c r="J468" i="13"/>
  <c r="I488" i="13"/>
  <c r="M491" i="13"/>
  <c r="I495" i="13"/>
  <c r="G498" i="13"/>
  <c r="K501" i="13"/>
  <c r="I504" i="13"/>
  <c r="M507" i="13"/>
  <c r="I511" i="13"/>
  <c r="G514" i="13"/>
  <c r="M85" i="13"/>
  <c r="H220" i="13"/>
  <c r="M289" i="13"/>
  <c r="F345" i="13"/>
  <c r="F383" i="13"/>
  <c r="G431" i="13"/>
  <c r="K468" i="13"/>
  <c r="J488" i="13"/>
  <c r="F492" i="13"/>
  <c r="J495" i="13"/>
  <c r="H498" i="13"/>
  <c r="L501" i="13"/>
  <c r="J504" i="13"/>
  <c r="F508" i="13"/>
  <c r="J511" i="13"/>
  <c r="H514" i="13"/>
  <c r="G86" i="13"/>
  <c r="I220" i="13"/>
  <c r="H291" i="13"/>
  <c r="J347" i="13"/>
  <c r="G383" i="13"/>
  <c r="J433" i="13"/>
  <c r="L468" i="13"/>
  <c r="I489" i="13"/>
  <c r="G492" i="13"/>
  <c r="K495" i="13"/>
  <c r="I498" i="13"/>
  <c r="M501" i="13"/>
  <c r="I505" i="13"/>
  <c r="G508" i="13"/>
  <c r="K511" i="13"/>
  <c r="I514" i="13"/>
  <c r="L132" i="13"/>
  <c r="L220" i="13"/>
  <c r="I291" i="13"/>
  <c r="K347" i="13"/>
  <c r="L398" i="13"/>
  <c r="L433" i="13"/>
  <c r="M468" i="13"/>
  <c r="J489" i="13"/>
  <c r="H492" i="13"/>
  <c r="L495" i="13"/>
  <c r="J498" i="13"/>
  <c r="F502" i="13"/>
  <c r="J505" i="13"/>
  <c r="H508" i="13"/>
  <c r="L511" i="13"/>
  <c r="J514" i="13"/>
  <c r="G133" i="13"/>
  <c r="M220" i="13"/>
  <c r="J291" i="13"/>
  <c r="M347" i="13"/>
  <c r="J401" i="13"/>
  <c r="M433" i="13"/>
  <c r="F469" i="13"/>
  <c r="K489" i="13"/>
  <c r="I492" i="13"/>
  <c r="M495" i="13"/>
  <c r="I499" i="13"/>
  <c r="G502" i="13"/>
  <c r="K505" i="13"/>
  <c r="I508" i="13"/>
  <c r="M511" i="13"/>
  <c r="I515" i="13"/>
  <c r="H133" i="13"/>
  <c r="L247" i="13"/>
  <c r="K291" i="13"/>
  <c r="F348" i="13"/>
  <c r="L401" i="13"/>
  <c r="M447" i="13"/>
  <c r="H469" i="13"/>
  <c r="L489" i="13"/>
  <c r="J492" i="13"/>
  <c r="F496" i="13"/>
  <c r="J499" i="13"/>
  <c r="H502" i="13"/>
  <c r="L505" i="13"/>
  <c r="J508" i="13"/>
  <c r="F512" i="13"/>
  <c r="J515" i="13"/>
  <c r="I133" i="13"/>
  <c r="M299" i="13"/>
  <c r="K355" i="13"/>
  <c r="J406" i="13"/>
  <c r="G448" i="13"/>
  <c r="I509" i="13"/>
  <c r="M499" i="13"/>
  <c r="M423" i="13"/>
  <c r="I507" i="13"/>
  <c r="L499" i="13"/>
  <c r="H490" i="13"/>
  <c r="G258" i="13"/>
  <c r="M515" i="13"/>
  <c r="I506" i="13"/>
  <c r="K499" i="13"/>
  <c r="G490" i="13"/>
  <c r="F409" i="13"/>
  <c r="L249" i="13"/>
  <c r="L515" i="13"/>
  <c r="H506" i="13"/>
  <c r="K497" i="13"/>
  <c r="F490" i="13"/>
  <c r="M408" i="13"/>
  <c r="I249" i="13"/>
  <c r="K515" i="13"/>
  <c r="G506" i="13"/>
  <c r="I497" i="13"/>
  <c r="M489" i="13"/>
  <c r="L408" i="13"/>
  <c r="F248" i="13"/>
  <c r="K513" i="13"/>
  <c r="F506" i="13"/>
  <c r="J496" i="13"/>
  <c r="J486" i="13"/>
  <c r="M374" i="13"/>
  <c r="F202" i="13"/>
  <c r="I513" i="13"/>
  <c r="M505" i="13"/>
  <c r="I496" i="13"/>
  <c r="K482" i="13"/>
  <c r="I372" i="13"/>
  <c r="G162" i="13"/>
  <c r="J512" i="13"/>
  <c r="M503" i="13"/>
  <c r="H496" i="13"/>
  <c r="J482" i="13"/>
  <c r="I356" i="13"/>
  <c r="F162" i="13"/>
  <c r="J493" i="13"/>
  <c r="I493" i="13"/>
  <c r="H448" i="13"/>
  <c r="H258" i="13"/>
  <c r="I512" i="13"/>
  <c r="K503" i="13"/>
  <c r="G496" i="13"/>
  <c r="L480" i="13"/>
  <c r="F356" i="13"/>
  <c r="M161" i="13"/>
  <c r="I502" i="13"/>
  <c r="J454" i="13"/>
  <c r="L509" i="13"/>
  <c r="I311" i="13"/>
  <c r="K509" i="13"/>
  <c r="G500" i="13"/>
  <c r="J448" i="13"/>
  <c r="J509" i="13"/>
  <c r="F500" i="13"/>
  <c r="I491" i="13"/>
  <c r="G260" i="13"/>
  <c r="I490" i="13"/>
  <c r="G409" i="13"/>
  <c r="H512" i="13"/>
  <c r="J503" i="13"/>
  <c r="G494" i="13"/>
  <c r="L474" i="13"/>
  <c r="M355" i="13"/>
  <c r="K140" i="13"/>
  <c r="M509" i="13"/>
  <c r="G319" i="13"/>
  <c r="I500" i="13"/>
  <c r="L448" i="13"/>
  <c r="F300" i="13"/>
  <c r="G512" i="13"/>
  <c r="I503" i="13"/>
  <c r="M493" i="13"/>
  <c r="K474" i="13"/>
  <c r="J319" i="13"/>
  <c r="K57" i="13"/>
  <c r="K493" i="13"/>
  <c r="G510" i="13"/>
  <c r="J502" i="13"/>
  <c r="L493" i="13"/>
  <c r="L454" i="13"/>
  <c r="H319" i="13"/>
  <c r="I56" i="13"/>
  <c r="F3" i="13"/>
  <c r="F5" i="13"/>
  <c r="F7" i="13"/>
  <c r="F9" i="13"/>
  <c r="F11" i="13"/>
  <c r="F13" i="13"/>
  <c r="F15" i="13"/>
  <c r="F17" i="13"/>
  <c r="F19" i="13"/>
  <c r="F21" i="13"/>
  <c r="F23" i="13"/>
  <c r="F25" i="13"/>
  <c r="F27" i="13"/>
  <c r="F29" i="13"/>
  <c r="F31" i="13"/>
  <c r="F33" i="13"/>
  <c r="F35" i="13"/>
  <c r="F37" i="13"/>
  <c r="F39" i="13"/>
  <c r="F41" i="13"/>
  <c r="F43" i="13"/>
  <c r="F45" i="13"/>
  <c r="F47" i="13"/>
  <c r="F49" i="13"/>
  <c r="F51" i="13"/>
  <c r="F53" i="13"/>
  <c r="F55" i="13"/>
  <c r="F57" i="13"/>
  <c r="F59" i="13"/>
  <c r="F61" i="13"/>
  <c r="F63" i="13"/>
  <c r="F65" i="13"/>
  <c r="F67" i="13"/>
  <c r="F69" i="13"/>
  <c r="F71" i="13"/>
  <c r="F73" i="13"/>
  <c r="F75" i="13"/>
  <c r="F77" i="13"/>
  <c r="F79" i="13"/>
  <c r="F81" i="13"/>
  <c r="F83" i="13"/>
  <c r="F85" i="13"/>
  <c r="F87" i="13"/>
  <c r="F89" i="13"/>
  <c r="F91" i="13"/>
  <c r="F93" i="13"/>
  <c r="F95" i="13"/>
  <c r="F97" i="13"/>
  <c r="F99" i="13"/>
  <c r="F101" i="13"/>
  <c r="F103" i="13"/>
  <c r="F105" i="13"/>
  <c r="F107" i="13"/>
  <c r="F109" i="13"/>
  <c r="F111" i="13"/>
  <c r="F113" i="13"/>
  <c r="F115" i="13"/>
  <c r="F117" i="13"/>
  <c r="F119" i="13"/>
  <c r="F121" i="13"/>
  <c r="F123" i="13"/>
  <c r="F125" i="13"/>
  <c r="F127" i="13"/>
  <c r="F129" i="13"/>
  <c r="F131" i="13"/>
  <c r="F133" i="13"/>
  <c r="F135" i="13"/>
  <c r="F137" i="13"/>
  <c r="F139" i="13"/>
  <c r="F141" i="13"/>
  <c r="F143" i="13"/>
  <c r="F145" i="13"/>
  <c r="F147" i="13"/>
  <c r="F149" i="13"/>
  <c r="F151" i="13"/>
  <c r="F153" i="13"/>
  <c r="F155" i="13"/>
  <c r="F157" i="13"/>
  <c r="F159" i="13"/>
  <c r="F161" i="13"/>
  <c r="F163" i="13"/>
  <c r="F165" i="13"/>
  <c r="F167" i="13"/>
  <c r="F169" i="13"/>
  <c r="F171" i="13"/>
  <c r="G3" i="13"/>
  <c r="G5" i="13"/>
  <c r="G7" i="13"/>
  <c r="G9" i="13"/>
  <c r="G11" i="13"/>
  <c r="G13" i="13"/>
  <c r="G15" i="13"/>
  <c r="G17" i="13"/>
  <c r="G19" i="13"/>
  <c r="G21" i="13"/>
  <c r="J3" i="13"/>
  <c r="J5" i="13"/>
  <c r="J7" i="13"/>
  <c r="J9" i="13"/>
  <c r="J11" i="13"/>
  <c r="J13" i="13"/>
  <c r="J15" i="13"/>
  <c r="J17" i="13"/>
  <c r="J19" i="13"/>
  <c r="J21" i="13"/>
  <c r="J23" i="13"/>
  <c r="J25" i="13"/>
  <c r="J27" i="13"/>
  <c r="J29" i="13"/>
  <c r="J31" i="13"/>
  <c r="J33" i="13"/>
  <c r="J35" i="13"/>
  <c r="J37" i="13"/>
  <c r="J39" i="13"/>
  <c r="J41" i="13"/>
  <c r="J43" i="13"/>
  <c r="J45" i="13"/>
  <c r="J47" i="13"/>
  <c r="J49" i="13"/>
  <c r="J51" i="13"/>
  <c r="J53" i="13"/>
  <c r="J55" i="13"/>
  <c r="J57" i="13"/>
  <c r="J59" i="13"/>
  <c r="J61" i="13"/>
  <c r="J63" i="13"/>
  <c r="J65" i="13"/>
  <c r="J67" i="13"/>
  <c r="J69" i="13"/>
  <c r="J71" i="13"/>
  <c r="J73" i="13"/>
  <c r="J75" i="13"/>
  <c r="J77" i="13"/>
  <c r="J79" i="13"/>
  <c r="J81" i="13"/>
  <c r="J83" i="13"/>
  <c r="J85" i="13"/>
  <c r="J87" i="13"/>
  <c r="J89" i="13"/>
  <c r="J91" i="13"/>
  <c r="J93" i="13"/>
  <c r="J95" i="13"/>
  <c r="J97" i="13"/>
  <c r="J99" i="13"/>
  <c r="J101" i="13"/>
  <c r="J103" i="13"/>
  <c r="J105" i="13"/>
  <c r="J107" i="13"/>
  <c r="J109" i="13"/>
  <c r="J111" i="13"/>
  <c r="J113" i="13"/>
  <c r="J115" i="13"/>
  <c r="J117" i="13"/>
  <c r="J119" i="13"/>
  <c r="J121" i="13"/>
  <c r="J123" i="13"/>
  <c r="J125" i="13"/>
  <c r="J127" i="13"/>
  <c r="J129" i="13"/>
  <c r="J131" i="13"/>
  <c r="J133" i="13"/>
  <c r="J135" i="13"/>
  <c r="J137" i="13"/>
  <c r="J139" i="13"/>
  <c r="J141" i="13"/>
  <c r="J143" i="13"/>
  <c r="J145" i="13"/>
  <c r="J147" i="13"/>
  <c r="J149" i="13"/>
  <c r="J151" i="13"/>
  <c r="J153" i="13"/>
  <c r="J155" i="13"/>
  <c r="J157" i="13"/>
  <c r="J159" i="13"/>
  <c r="J161" i="13"/>
  <c r="J163" i="13"/>
  <c r="J165" i="13"/>
  <c r="J167" i="13"/>
  <c r="J169" i="13"/>
  <c r="J171" i="13"/>
  <c r="H3" i="13"/>
  <c r="L5" i="13"/>
  <c r="G8" i="13"/>
  <c r="J10" i="13"/>
  <c r="M12" i="13"/>
  <c r="K15" i="13"/>
  <c r="F18" i="13"/>
  <c r="I20" i="13"/>
  <c r="L22" i="13"/>
  <c r="G25" i="13"/>
  <c r="I27" i="13"/>
  <c r="L29" i="13"/>
  <c r="F32" i="13"/>
  <c r="H34" i="13"/>
  <c r="J36" i="13"/>
  <c r="L38" i="13"/>
  <c r="G41" i="13"/>
  <c r="I43" i="13"/>
  <c r="L45" i="13"/>
  <c r="F48" i="13"/>
  <c r="H50" i="13"/>
  <c r="J52" i="13"/>
  <c r="L54" i="13"/>
  <c r="G57" i="13"/>
  <c r="I59" i="13"/>
  <c r="L61" i="13"/>
  <c r="F64" i="13"/>
  <c r="H66" i="13"/>
  <c r="J68" i="13"/>
  <c r="L70" i="13"/>
  <c r="G73" i="13"/>
  <c r="I75" i="13"/>
  <c r="L77" i="13"/>
  <c r="F80" i="13"/>
  <c r="H82" i="13"/>
  <c r="J84" i="13"/>
  <c r="L86" i="13"/>
  <c r="G89" i="13"/>
  <c r="I91" i="13"/>
  <c r="L93" i="13"/>
  <c r="F96" i="13"/>
  <c r="H98" i="13"/>
  <c r="J100" i="13"/>
  <c r="L102" i="13"/>
  <c r="G105" i="13"/>
  <c r="I107" i="13"/>
  <c r="L109" i="13"/>
  <c r="F112" i="13"/>
  <c r="H114" i="13"/>
  <c r="J116" i="13"/>
  <c r="L118" i="13"/>
  <c r="G121" i="13"/>
  <c r="I123" i="13"/>
  <c r="L125" i="13"/>
  <c r="F128" i="13"/>
  <c r="H130" i="13"/>
  <c r="J132" i="13"/>
  <c r="L134" i="13"/>
  <c r="G137" i="13"/>
  <c r="I139" i="13"/>
  <c r="L141" i="13"/>
  <c r="F144" i="13"/>
  <c r="H146" i="13"/>
  <c r="J148" i="13"/>
  <c r="L150" i="13"/>
  <c r="G153" i="13"/>
  <c r="I155" i="13"/>
  <c r="L157" i="13"/>
  <c r="F160" i="13"/>
  <c r="H162" i="13"/>
  <c r="J164" i="13"/>
  <c r="L166" i="13"/>
  <c r="G169" i="13"/>
  <c r="I171" i="13"/>
  <c r="J173" i="13"/>
  <c r="J175" i="13"/>
  <c r="J177" i="13"/>
  <c r="J179" i="13"/>
  <c r="J181" i="13"/>
  <c r="J183" i="13"/>
  <c r="J185" i="13"/>
  <c r="J187" i="13"/>
  <c r="J189" i="13"/>
  <c r="J191" i="13"/>
  <c r="J193" i="13"/>
  <c r="J195" i="13"/>
  <c r="J197" i="13"/>
  <c r="J199" i="13"/>
  <c r="J201" i="13"/>
  <c r="J203" i="13"/>
  <c r="J205" i="13"/>
  <c r="J207" i="13"/>
  <c r="J209" i="13"/>
  <c r="J211" i="13"/>
  <c r="J213" i="13"/>
  <c r="J215" i="13"/>
  <c r="J217" i="13"/>
  <c r="J219" i="13"/>
  <c r="J221" i="13"/>
  <c r="J223" i="13"/>
  <c r="J225" i="13"/>
  <c r="J227" i="13"/>
  <c r="J229" i="13"/>
  <c r="J231" i="13"/>
  <c r="J233" i="13"/>
  <c r="J235" i="13"/>
  <c r="J237" i="13"/>
  <c r="J239" i="13"/>
  <c r="J241" i="13"/>
  <c r="J243" i="13"/>
  <c r="J245" i="13"/>
  <c r="J247" i="13"/>
  <c r="J249" i="13"/>
  <c r="J251" i="13"/>
  <c r="J253" i="13"/>
  <c r="J255" i="13"/>
  <c r="J257" i="13"/>
  <c r="J259" i="13"/>
  <c r="H4" i="13"/>
  <c r="K6" i="13"/>
  <c r="H9" i="13"/>
  <c r="L11" i="13"/>
  <c r="G14" i="13"/>
  <c r="J16" i="13"/>
  <c r="M18" i="13"/>
  <c r="K21" i="13"/>
  <c r="M23" i="13"/>
  <c r="G26" i="13"/>
  <c r="I28" i="13"/>
  <c r="K30" i="13"/>
  <c r="M32" i="13"/>
  <c r="H35" i="13"/>
  <c r="K37" i="13"/>
  <c r="M39" i="13"/>
  <c r="G42" i="13"/>
  <c r="I44" i="13"/>
  <c r="K46" i="13"/>
  <c r="M48" i="13"/>
  <c r="H51" i="13"/>
  <c r="K53" i="13"/>
  <c r="M55" i="13"/>
  <c r="G58" i="13"/>
  <c r="I60" i="13"/>
  <c r="K62" i="13"/>
  <c r="M64" i="13"/>
  <c r="H67" i="13"/>
  <c r="K69" i="13"/>
  <c r="M71" i="13"/>
  <c r="G74" i="13"/>
  <c r="I76" i="13"/>
  <c r="K78" i="13"/>
  <c r="M80" i="13"/>
  <c r="H83" i="13"/>
  <c r="K85" i="13"/>
  <c r="M87" i="13"/>
  <c r="G90" i="13"/>
  <c r="I92" i="13"/>
  <c r="K94" i="13"/>
  <c r="M96" i="13"/>
  <c r="H99" i="13"/>
  <c r="K101" i="13"/>
  <c r="M103" i="13"/>
  <c r="G106" i="13"/>
  <c r="I108" i="13"/>
  <c r="K110" i="13"/>
  <c r="M112" i="13"/>
  <c r="H115" i="13"/>
  <c r="K117" i="13"/>
  <c r="M119" i="13"/>
  <c r="G122" i="13"/>
  <c r="I124" i="13"/>
  <c r="K126" i="13"/>
  <c r="M128" i="13"/>
  <c r="H131" i="13"/>
  <c r="K133" i="13"/>
  <c r="M135" i="13"/>
  <c r="G138" i="13"/>
  <c r="I140" i="13"/>
  <c r="K142" i="13"/>
  <c r="M144" i="13"/>
  <c r="H147" i="13"/>
  <c r="K149" i="13"/>
  <c r="M151" i="13"/>
  <c r="G154" i="13"/>
  <c r="I156" i="13"/>
  <c r="K158" i="13"/>
  <c r="M160" i="13"/>
  <c r="H163" i="13"/>
  <c r="K165" i="13"/>
  <c r="M167" i="13"/>
  <c r="G170" i="13"/>
  <c r="I172" i="13"/>
  <c r="I174" i="13"/>
  <c r="I176" i="13"/>
  <c r="I178" i="13"/>
  <c r="I180" i="13"/>
  <c r="I182" i="13"/>
  <c r="I184" i="13"/>
  <c r="I186" i="13"/>
  <c r="I188" i="13"/>
  <c r="I190" i="13"/>
  <c r="I192" i="13"/>
  <c r="I194" i="13"/>
  <c r="I3" i="13"/>
  <c r="G6" i="13"/>
  <c r="L8" i="13"/>
  <c r="M11" i="13"/>
  <c r="J14" i="13"/>
  <c r="I17" i="13"/>
  <c r="G20" i="13"/>
  <c r="M22" i="13"/>
  <c r="K25" i="13"/>
  <c r="G28" i="13"/>
  <c r="L30" i="13"/>
  <c r="I33" i="13"/>
  <c r="F36" i="13"/>
  <c r="J38" i="13"/>
  <c r="H41" i="13"/>
  <c r="M43" i="13"/>
  <c r="I46" i="13"/>
  <c r="G49" i="13"/>
  <c r="L51" i="13"/>
  <c r="H54" i="13"/>
  <c r="L3" i="13"/>
  <c r="I6" i="13"/>
  <c r="I9" i="13"/>
  <c r="G12" i="13"/>
  <c r="L14" i="13"/>
  <c r="L17" i="13"/>
  <c r="J20" i="13"/>
  <c r="H23" i="13"/>
  <c r="M25" i="13"/>
  <c r="J28" i="13"/>
  <c r="G31" i="13"/>
  <c r="L33" i="13"/>
  <c r="H36" i="13"/>
  <c r="M38" i="13"/>
  <c r="K41" i="13"/>
  <c r="G44" i="13"/>
  <c r="L46" i="13"/>
  <c r="I49" i="13"/>
  <c r="F52" i="13"/>
  <c r="J54" i="13"/>
  <c r="H57" i="13"/>
  <c r="M59" i="13"/>
  <c r="I62" i="13"/>
  <c r="G65" i="13"/>
  <c r="L67" i="13"/>
  <c r="H70" i="13"/>
  <c r="L72" i="13"/>
  <c r="K75" i="13"/>
  <c r="G78" i="13"/>
  <c r="K80" i="13"/>
  <c r="I83" i="13"/>
  <c r="F86" i="13"/>
  <c r="J88" i="13"/>
  <c r="G91" i="13"/>
  <c r="M93" i="13"/>
  <c r="I96" i="13"/>
  <c r="M98" i="13"/>
  <c r="L101" i="13"/>
  <c r="H104" i="13"/>
  <c r="L106" i="13"/>
  <c r="I109" i="13"/>
  <c r="G112" i="13"/>
  <c r="K114" i="13"/>
  <c r="H117" i="13"/>
  <c r="F120" i="13"/>
  <c r="J122" i="13"/>
  <c r="G125" i="13"/>
  <c r="L127" i="13"/>
  <c r="I130" i="13"/>
  <c r="M132" i="13"/>
  <c r="K135" i="13"/>
  <c r="H138" i="13"/>
  <c r="L140" i="13"/>
  <c r="I143" i="13"/>
  <c r="F146" i="13"/>
  <c r="K148" i="13"/>
  <c r="H151" i="13"/>
  <c r="M153" i="13"/>
  <c r="J156" i="13"/>
  <c r="G159" i="13"/>
  <c r="L161" i="13"/>
  <c r="H164" i="13"/>
  <c r="M166" i="13"/>
  <c r="K169" i="13"/>
  <c r="G172" i="13"/>
  <c r="J174" i="13"/>
  <c r="L176" i="13"/>
  <c r="F179" i="13"/>
  <c r="H181" i="13"/>
  <c r="K183" i="13"/>
  <c r="M185" i="13"/>
  <c r="G188" i="13"/>
  <c r="J190" i="13"/>
  <c r="L192" i="13"/>
  <c r="F195" i="13"/>
  <c r="G197" i="13"/>
  <c r="H199" i="13"/>
  <c r="I201" i="13"/>
  <c r="K203" i="13"/>
  <c r="L205" i="13"/>
  <c r="M207" i="13"/>
  <c r="F210" i="13"/>
  <c r="G212" i="13"/>
  <c r="H214" i="13"/>
  <c r="I216" i="13"/>
  <c r="J4" i="13"/>
  <c r="I7" i="13"/>
  <c r="G10" i="13"/>
  <c r="L12" i="13"/>
  <c r="M15" i="13"/>
  <c r="J18" i="13"/>
  <c r="I21" i="13"/>
  <c r="G24" i="13"/>
  <c r="K26" i="13"/>
  <c r="H29" i="13"/>
  <c r="M31" i="13"/>
  <c r="J34" i="13"/>
  <c r="G37" i="13"/>
  <c r="L39" i="13"/>
  <c r="I42" i="13"/>
  <c r="M44" i="13"/>
  <c r="K47" i="13"/>
  <c r="G50" i="13"/>
  <c r="L52" i="13"/>
  <c r="I55" i="13"/>
  <c r="F58" i="13"/>
  <c r="K60" i="13"/>
  <c r="H63" i="13"/>
  <c r="M65" i="13"/>
  <c r="I68" i="13"/>
  <c r="G71" i="13"/>
  <c r="L73" i="13"/>
  <c r="H76" i="13"/>
  <c r="M78" i="13"/>
  <c r="K81" i="13"/>
  <c r="G84" i="13"/>
  <c r="K86" i="13"/>
  <c r="I89" i="13"/>
  <c r="F92" i="13"/>
  <c r="J94" i="13"/>
  <c r="H97" i="13"/>
  <c r="M99" i="13"/>
  <c r="I102" i="13"/>
  <c r="M104" i="13"/>
  <c r="L107" i="13"/>
  <c r="H110" i="13"/>
  <c r="L112" i="13"/>
  <c r="K115" i="13"/>
  <c r="G118" i="13"/>
  <c r="K120" i="13"/>
  <c r="H123" i="13"/>
  <c r="F126" i="13"/>
  <c r="J128" i="13"/>
  <c r="G131" i="13"/>
  <c r="M133" i="13"/>
  <c r="I136" i="13"/>
  <c r="M138" i="13"/>
  <c r="K141" i="13"/>
  <c r="H144" i="13"/>
  <c r="L146" i="13"/>
  <c r="I149" i="13"/>
  <c r="G152" i="13"/>
  <c r="K154" i="13"/>
  <c r="H157" i="13"/>
  <c r="M159" i="13"/>
  <c r="J162" i="13"/>
  <c r="G165" i="13"/>
  <c r="L167" i="13"/>
  <c r="I170" i="13"/>
  <c r="M172" i="13"/>
  <c r="G175" i="13"/>
  <c r="I177" i="13"/>
  <c r="L179" i="13"/>
  <c r="F182" i="13"/>
  <c r="H184" i="13"/>
  <c r="K186" i="13"/>
  <c r="M188" i="13"/>
  <c r="G191" i="13"/>
  <c r="I193" i="13"/>
  <c r="L195" i="13"/>
  <c r="M197" i="13"/>
  <c r="F200" i="13"/>
  <c r="G202" i="13"/>
  <c r="H204" i="13"/>
  <c r="I206" i="13"/>
  <c r="J208" i="13"/>
  <c r="K210" i="13"/>
  <c r="L212" i="13"/>
  <c r="M214" i="13"/>
  <c r="F217" i="13"/>
  <c r="G219" i="13"/>
  <c r="H221" i="13"/>
  <c r="I223" i="13"/>
  <c r="K225" i="13"/>
  <c r="L227" i="13"/>
  <c r="M229" i="13"/>
  <c r="F232" i="13"/>
  <c r="G234" i="13"/>
  <c r="H236" i="13"/>
  <c r="I238" i="13"/>
  <c r="J240" i="13"/>
  <c r="K242" i="13"/>
  <c r="L244" i="13"/>
  <c r="M246" i="13"/>
  <c r="F249" i="13"/>
  <c r="G251" i="13"/>
  <c r="H253" i="13"/>
  <c r="I255" i="13"/>
  <c r="K257" i="13"/>
  <c r="L259" i="13"/>
  <c r="L261" i="13"/>
  <c r="L263" i="13"/>
  <c r="L265" i="13"/>
  <c r="L267" i="13"/>
  <c r="L269" i="13"/>
  <c r="L271" i="13"/>
  <c r="L273" i="13"/>
  <c r="L275" i="13"/>
  <c r="L277" i="13"/>
  <c r="L279" i="13"/>
  <c r="L281" i="13"/>
  <c r="L283" i="13"/>
  <c r="L285" i="13"/>
  <c r="L287" i="13"/>
  <c r="L289" i="13"/>
  <c r="L291" i="13"/>
  <c r="L293" i="13"/>
  <c r="L295" i="13"/>
  <c r="L297" i="13"/>
  <c r="L299" i="13"/>
  <c r="L301" i="13"/>
  <c r="L303" i="13"/>
  <c r="L305" i="13"/>
  <c r="L307" i="13"/>
  <c r="L309" i="13"/>
  <c r="L311" i="13"/>
  <c r="L313" i="13"/>
  <c r="L315" i="13"/>
  <c r="L317" i="13"/>
  <c r="L319" i="13"/>
  <c r="L321" i="13"/>
  <c r="L323" i="13"/>
  <c r="L325" i="13"/>
  <c r="L327" i="13"/>
  <c r="L329" i="13"/>
  <c r="L331" i="13"/>
  <c r="L333" i="13"/>
  <c r="L335" i="13"/>
  <c r="L337" i="13"/>
  <c r="L339" i="13"/>
  <c r="L341" i="13"/>
  <c r="L343" i="13"/>
  <c r="L345" i="13"/>
  <c r="L347" i="13"/>
  <c r="L349" i="13"/>
  <c r="L351" i="13"/>
  <c r="L353" i="13"/>
  <c r="L355" i="13"/>
  <c r="L357" i="13"/>
  <c r="L359" i="13"/>
  <c r="F4" i="13"/>
  <c r="K7" i="13"/>
  <c r="L10" i="13"/>
  <c r="H14" i="13"/>
  <c r="M17" i="13"/>
  <c r="H21" i="13"/>
  <c r="J24" i="13"/>
  <c r="L27" i="13"/>
  <c r="M30" i="13"/>
  <c r="G34" i="13"/>
  <c r="I37" i="13"/>
  <c r="J40" i="13"/>
  <c r="L43" i="13"/>
  <c r="G47" i="13"/>
  <c r="I50" i="13"/>
  <c r="I53" i="13"/>
  <c r="J56" i="13"/>
  <c r="K59" i="13"/>
  <c r="J62" i="13"/>
  <c r="K65" i="13"/>
  <c r="K68" i="13"/>
  <c r="K71" i="13"/>
  <c r="J74" i="13"/>
  <c r="I77" i="13"/>
  <c r="I80" i="13"/>
  <c r="K83" i="13"/>
  <c r="I86" i="13"/>
  <c r="K89" i="13"/>
  <c r="J92" i="13"/>
  <c r="I95" i="13"/>
  <c r="I98" i="13"/>
  <c r="H101" i="13"/>
  <c r="I104" i="13"/>
  <c r="H107" i="13"/>
  <c r="I110" i="13"/>
  <c r="I113" i="13"/>
  <c r="H116" i="13"/>
  <c r="H119" i="13"/>
  <c r="H122" i="13"/>
  <c r="H125" i="13"/>
  <c r="H128" i="13"/>
  <c r="I131" i="13"/>
  <c r="H134" i="13"/>
  <c r="H137" i="13"/>
  <c r="G140" i="13"/>
  <c r="G143" i="13"/>
  <c r="G146" i="13"/>
  <c r="G149" i="13"/>
  <c r="H152" i="13"/>
  <c r="G155" i="13"/>
  <c r="G158" i="13"/>
  <c r="G161" i="13"/>
  <c r="F164" i="13"/>
  <c r="G167" i="13"/>
  <c r="F170" i="13"/>
  <c r="F173" i="13"/>
  <c r="K175" i="13"/>
  <c r="G178" i="13"/>
  <c r="L180" i="13"/>
  <c r="H183" i="13"/>
  <c r="F186" i="13"/>
  <c r="K188" i="13"/>
  <c r="H191" i="13"/>
  <c r="M193" i="13"/>
  <c r="I196" i="13"/>
  <c r="L198" i="13"/>
  <c r="G201" i="13"/>
  <c r="L203" i="13"/>
  <c r="G206" i="13"/>
  <c r="K208" i="13"/>
  <c r="F211" i="13"/>
  <c r="I213" i="13"/>
  <c r="M215" i="13"/>
  <c r="H218" i="13"/>
  <c r="J220" i="13"/>
  <c r="L222" i="13"/>
  <c r="F225" i="13"/>
  <c r="H227" i="13"/>
  <c r="K229" i="13"/>
  <c r="M231" i="13"/>
  <c r="H234" i="13"/>
  <c r="J236" i="13"/>
  <c r="L238" i="13"/>
  <c r="F241" i="13"/>
  <c r="H243" i="13"/>
  <c r="K245" i="13"/>
  <c r="M247" i="13"/>
  <c r="G250" i="13"/>
  <c r="I252" i="13"/>
  <c r="K254" i="13"/>
  <c r="M256" i="13"/>
  <c r="G259" i="13"/>
  <c r="I261" i="13"/>
  <c r="J263" i="13"/>
  <c r="K265" i="13"/>
  <c r="M267" i="13"/>
  <c r="F270" i="13"/>
  <c r="G272" i="13"/>
  <c r="H274" i="13"/>
  <c r="I276" i="13"/>
  <c r="J278" i="13"/>
  <c r="K280" i="13"/>
  <c r="L282" i="13"/>
  <c r="M284" i="13"/>
  <c r="G4" i="13"/>
  <c r="L7" i="13"/>
  <c r="M10" i="13"/>
  <c r="I14" i="13"/>
  <c r="G18" i="13"/>
  <c r="L21" i="13"/>
  <c r="K24" i="13"/>
  <c r="M27" i="13"/>
  <c r="H31" i="13"/>
  <c r="I34" i="13"/>
  <c r="L37" i="13"/>
  <c r="K40" i="13"/>
  <c r="F44" i="13"/>
  <c r="H47" i="13"/>
  <c r="J50" i="13"/>
  <c r="L53" i="13"/>
  <c r="K56" i="13"/>
  <c r="L59" i="13"/>
  <c r="L62" i="13"/>
  <c r="L65" i="13"/>
  <c r="L68" i="13"/>
  <c r="L71" i="13"/>
  <c r="K74" i="13"/>
  <c r="K77" i="13"/>
  <c r="J80" i="13"/>
  <c r="L83" i="13"/>
  <c r="J86" i="13"/>
  <c r="L89" i="13"/>
  <c r="K92" i="13"/>
  <c r="K95" i="13"/>
  <c r="J98" i="13"/>
  <c r="I101" i="13"/>
  <c r="J104" i="13"/>
  <c r="K107" i="13"/>
  <c r="J110" i="13"/>
  <c r="K113" i="13"/>
  <c r="I116" i="13"/>
  <c r="I119" i="13"/>
  <c r="I122" i="13"/>
  <c r="I125" i="13"/>
  <c r="I128" i="13"/>
  <c r="K131" i="13"/>
  <c r="I134" i="13"/>
  <c r="I137" i="13"/>
  <c r="H140" i="13"/>
  <c r="H143" i="13"/>
  <c r="I146" i="13"/>
  <c r="H149" i="13"/>
  <c r="I152" i="13"/>
  <c r="H155" i="13"/>
  <c r="H158" i="13"/>
  <c r="H161" i="13"/>
  <c r="G164" i="13"/>
  <c r="H167" i="13"/>
  <c r="H170" i="13"/>
  <c r="G173" i="13"/>
  <c r="L175" i="13"/>
  <c r="H178" i="13"/>
  <c r="M180" i="13"/>
  <c r="I183" i="13"/>
  <c r="G186" i="13"/>
  <c r="L188" i="13"/>
  <c r="I191" i="13"/>
  <c r="F194" i="13"/>
  <c r="J196" i="13"/>
  <c r="M198" i="13"/>
  <c r="H201" i="13"/>
  <c r="M203" i="13"/>
  <c r="H206" i="13"/>
  <c r="L208" i="13"/>
  <c r="G211" i="13"/>
  <c r="K213" i="13"/>
  <c r="F216" i="13"/>
  <c r="I218" i="13"/>
  <c r="K220" i="13"/>
  <c r="M222" i="13"/>
  <c r="G225" i="13"/>
  <c r="I227" i="13"/>
  <c r="L229" i="13"/>
  <c r="G232" i="13"/>
  <c r="I234" i="13"/>
  <c r="K236" i="13"/>
  <c r="M238" i="13"/>
  <c r="G241" i="13"/>
  <c r="I243" i="13"/>
  <c r="K3" i="13"/>
  <c r="I4" i="13"/>
  <c r="H8" i="13"/>
  <c r="H12" i="13"/>
  <c r="G16" i="13"/>
  <c r="M19" i="13"/>
  <c r="L23" i="13"/>
  <c r="H27" i="13"/>
  <c r="I31" i="13"/>
  <c r="M34" i="13"/>
  <c r="I38" i="13"/>
  <c r="H42" i="13"/>
  <c r="M45" i="13"/>
  <c r="K49" i="13"/>
  <c r="G53" i="13"/>
  <c r="L56" i="13"/>
  <c r="H60" i="13"/>
  <c r="L63" i="13"/>
  <c r="M66" i="13"/>
  <c r="I70" i="13"/>
  <c r="M73" i="13"/>
  <c r="G77" i="13"/>
  <c r="L80" i="13"/>
  <c r="H84" i="13"/>
  <c r="K87" i="13"/>
  <c r="L90" i="13"/>
  <c r="H94" i="13"/>
  <c r="L97" i="13"/>
  <c r="M100" i="13"/>
  <c r="K104" i="13"/>
  <c r="G108" i="13"/>
  <c r="I111" i="13"/>
  <c r="L114" i="13"/>
  <c r="H118" i="13"/>
  <c r="K121" i="13"/>
  <c r="L124" i="13"/>
  <c r="K128" i="13"/>
  <c r="F132" i="13"/>
  <c r="H135" i="13"/>
  <c r="K138" i="13"/>
  <c r="G142" i="13"/>
  <c r="I145" i="13"/>
  <c r="L148" i="13"/>
  <c r="J152" i="13"/>
  <c r="M155" i="13"/>
  <c r="H159" i="13"/>
  <c r="K162" i="13"/>
  <c r="F166" i="13"/>
  <c r="H169" i="13"/>
  <c r="K172" i="13"/>
  <c r="M175" i="13"/>
  <c r="L178" i="13"/>
  <c r="L181" i="13"/>
  <c r="L184" i="13"/>
  <c r="K187" i="13"/>
  <c r="K190" i="13"/>
  <c r="K193" i="13"/>
  <c r="K196" i="13"/>
  <c r="I199" i="13"/>
  <c r="H202" i="13"/>
  <c r="M204" i="13"/>
  <c r="K207" i="13"/>
  <c r="I210" i="13"/>
  <c r="G213" i="13"/>
  <c r="G216" i="13"/>
  <c r="L218" i="13"/>
  <c r="I221" i="13"/>
  <c r="F224" i="13"/>
  <c r="J226" i="13"/>
  <c r="F229" i="13"/>
  <c r="K231" i="13"/>
  <c r="J234" i="13"/>
  <c r="F237" i="13"/>
  <c r="K239" i="13"/>
  <c r="G242" i="13"/>
  <c r="K244" i="13"/>
  <c r="G247" i="13"/>
  <c r="K249" i="13"/>
  <c r="F252" i="13"/>
  <c r="I254" i="13"/>
  <c r="L256" i="13"/>
  <c r="H259" i="13"/>
  <c r="K261" i="13"/>
  <c r="F264" i="13"/>
  <c r="H266" i="13"/>
  <c r="J268" i="13"/>
  <c r="L270" i="13"/>
  <c r="F273" i="13"/>
  <c r="H275" i="13"/>
  <c r="J277" i="13"/>
  <c r="M279" i="13"/>
  <c r="G282" i="13"/>
  <c r="I284" i="13"/>
  <c r="K286" i="13"/>
  <c r="L288" i="13"/>
  <c r="M290" i="13"/>
  <c r="F293" i="13"/>
  <c r="G295" i="13"/>
  <c r="H297" i="13"/>
  <c r="I299" i="13"/>
  <c r="J301" i="13"/>
  <c r="K303" i="13"/>
  <c r="M305" i="13"/>
  <c r="F308" i="13"/>
  <c r="G310" i="13"/>
  <c r="H312" i="13"/>
  <c r="I314" i="13"/>
  <c r="J316" i="13"/>
  <c r="K318" i="13"/>
  <c r="L320" i="13"/>
  <c r="M322" i="13"/>
  <c r="F325" i="13"/>
  <c r="G327" i="13"/>
  <c r="H329" i="13"/>
  <c r="I331" i="13"/>
  <c r="J333" i="13"/>
  <c r="K335" i="13"/>
  <c r="M337" i="13"/>
  <c r="F340" i="13"/>
  <c r="G342" i="13"/>
  <c r="H344" i="13"/>
  <c r="I346" i="13"/>
  <c r="J348" i="13"/>
  <c r="K350" i="13"/>
  <c r="L352" i="13"/>
  <c r="M354" i="13"/>
  <c r="F357" i="13"/>
  <c r="G359" i="13"/>
  <c r="H361" i="13"/>
  <c r="H363" i="13"/>
  <c r="H365" i="13"/>
  <c r="H367" i="13"/>
  <c r="H369" i="13"/>
  <c r="H371" i="13"/>
  <c r="H373" i="13"/>
  <c r="H375" i="13"/>
  <c r="H377" i="13"/>
  <c r="H379" i="13"/>
  <c r="H381" i="13"/>
  <c r="H383" i="13"/>
  <c r="H385" i="13"/>
  <c r="H387" i="13"/>
  <c r="H389" i="13"/>
  <c r="H391" i="13"/>
  <c r="H393" i="13"/>
  <c r="H395" i="13"/>
  <c r="H397" i="13"/>
  <c r="H399" i="13"/>
  <c r="H401" i="13"/>
  <c r="H403" i="13"/>
  <c r="H405" i="13"/>
  <c r="H407" i="13"/>
  <c r="H409" i="13"/>
  <c r="H411" i="13"/>
  <c r="H413" i="13"/>
  <c r="H415" i="13"/>
  <c r="H417" i="13"/>
  <c r="H419" i="13"/>
  <c r="H421" i="13"/>
  <c r="H423" i="13"/>
  <c r="H425" i="13"/>
  <c r="H427" i="13"/>
  <c r="H429" i="13"/>
  <c r="H431" i="13"/>
  <c r="H433" i="13"/>
  <c r="H435" i="13"/>
  <c r="H437" i="13"/>
  <c r="H439" i="13"/>
  <c r="H441" i="13"/>
  <c r="H443" i="13"/>
  <c r="H445" i="13"/>
  <c r="K4" i="13"/>
  <c r="I8" i="13"/>
  <c r="I12" i="13"/>
  <c r="H16" i="13"/>
  <c r="F20" i="13"/>
  <c r="F24" i="13"/>
  <c r="K27" i="13"/>
  <c r="K31" i="13"/>
  <c r="G35" i="13"/>
  <c r="K38" i="13"/>
  <c r="J42" i="13"/>
  <c r="F46" i="13"/>
  <c r="L49" i="13"/>
  <c r="H53" i="13"/>
  <c r="M56" i="13"/>
  <c r="J60" i="13"/>
  <c r="M63" i="13"/>
  <c r="G67" i="13"/>
  <c r="J70" i="13"/>
  <c r="F74" i="13"/>
  <c r="H77" i="13"/>
  <c r="G81" i="13"/>
  <c r="I84" i="13"/>
  <c r="L87" i="13"/>
  <c r="M90" i="13"/>
  <c r="I94" i="13"/>
  <c r="M97" i="13"/>
  <c r="G101" i="13"/>
  <c r="L104" i="13"/>
  <c r="H108" i="13"/>
  <c r="K111" i="13"/>
  <c r="M114" i="13"/>
  <c r="I118" i="13"/>
  <c r="L121" i="13"/>
  <c r="M124" i="13"/>
  <c r="L128" i="13"/>
  <c r="G132" i="13"/>
  <c r="I135" i="13"/>
  <c r="L138" i="13"/>
  <c r="H142" i="13"/>
  <c r="K145" i="13"/>
  <c r="M148" i="13"/>
  <c r="K152" i="13"/>
  <c r="F156" i="13"/>
  <c r="I159" i="13"/>
  <c r="L162" i="13"/>
  <c r="G166" i="13"/>
  <c r="I169" i="13"/>
  <c r="L172" i="13"/>
  <c r="F176" i="13"/>
  <c r="M178" i="13"/>
  <c r="M181" i="13"/>
  <c r="M184" i="13"/>
  <c r="L187" i="13"/>
  <c r="L190" i="13"/>
  <c r="L193" i="13"/>
  <c r="L196" i="13"/>
  <c r="K199" i="13"/>
  <c r="I202" i="13"/>
  <c r="F205" i="13"/>
  <c r="L207" i="13"/>
  <c r="L4" i="13"/>
  <c r="M8" i="13"/>
  <c r="K13" i="13"/>
  <c r="H18" i="13"/>
  <c r="I22" i="13"/>
  <c r="J26" i="13"/>
  <c r="I30" i="13"/>
  <c r="I35" i="13"/>
  <c r="I39" i="13"/>
  <c r="H43" i="13"/>
  <c r="M47" i="13"/>
  <c r="M51" i="13"/>
  <c r="F56" i="13"/>
  <c r="F60" i="13"/>
  <c r="G64" i="13"/>
  <c r="M67" i="13"/>
  <c r="F72" i="13"/>
  <c r="L75" i="13"/>
  <c r="I79" i="13"/>
  <c r="M82" i="13"/>
  <c r="H87" i="13"/>
  <c r="H91" i="13"/>
  <c r="G95" i="13"/>
  <c r="G99" i="13"/>
  <c r="M102" i="13"/>
  <c r="J106" i="13"/>
  <c r="L110" i="13"/>
  <c r="I114" i="13"/>
  <c r="J118" i="13"/>
  <c r="K122" i="13"/>
  <c r="I126" i="13"/>
  <c r="F130" i="13"/>
  <c r="F134" i="13"/>
  <c r="M137" i="13"/>
  <c r="M141" i="13"/>
  <c r="L145" i="13"/>
  <c r="F150" i="13"/>
  <c r="K153" i="13"/>
  <c r="I157" i="13"/>
  <c r="I161" i="13"/>
  <c r="H165" i="13"/>
  <c r="L168" i="13"/>
  <c r="H173" i="13"/>
  <c r="J176" i="13"/>
  <c r="M179" i="13"/>
  <c r="F183" i="13"/>
  <c r="L186" i="13"/>
  <c r="M189" i="13"/>
  <c r="G193" i="13"/>
  <c r="M196" i="13"/>
  <c r="G200" i="13"/>
  <c r="F203" i="13"/>
  <c r="J206" i="13"/>
  <c r="I209" i="13"/>
  <c r="I212" i="13"/>
  <c r="H215" i="13"/>
  <c r="G218" i="13"/>
  <c r="F221" i="13"/>
  <c r="M223" i="13"/>
  <c r="K226" i="13"/>
  <c r="H229" i="13"/>
  <c r="I232" i="13"/>
  <c r="F235" i="13"/>
  <c r="L237" i="13"/>
  <c r="I240" i="13"/>
  <c r="G243" i="13"/>
  <c r="F246" i="13"/>
  <c r="J248" i="13"/>
  <c r="F251" i="13"/>
  <c r="L253" i="13"/>
  <c r="H256" i="13"/>
  <c r="L258" i="13"/>
  <c r="H261" i="13"/>
  <c r="M263" i="13"/>
  <c r="I266" i="13"/>
  <c r="L268" i="13"/>
  <c r="G271" i="13"/>
  <c r="J273" i="13"/>
  <c r="F276" i="13"/>
  <c r="I278" i="13"/>
  <c r="M280" i="13"/>
  <c r="H283" i="13"/>
  <c r="K285" i="13"/>
  <c r="F288" i="13"/>
  <c r="H290" i="13"/>
  <c r="F6" i="13"/>
  <c r="I10" i="13"/>
  <c r="H15" i="13"/>
  <c r="K19" i="13"/>
  <c r="H24" i="13"/>
  <c r="K28" i="13"/>
  <c r="J32" i="13"/>
  <c r="K36" i="13"/>
  <c r="L40" i="13"/>
  <c r="G45" i="13"/>
  <c r="L48" i="13"/>
  <c r="M53" i="13"/>
  <c r="L57" i="13"/>
  <c r="I61" i="13"/>
  <c r="H65" i="13"/>
  <c r="H69" i="13"/>
  <c r="M72" i="13"/>
  <c r="L76" i="13"/>
  <c r="H81" i="13"/>
  <c r="M84" i="13"/>
  <c r="K88" i="13"/>
  <c r="L92" i="13"/>
  <c r="J96" i="13"/>
  <c r="H100" i="13"/>
  <c r="F104" i="13"/>
  <c r="J108" i="13"/>
  <c r="H112" i="13"/>
  <c r="F116" i="13"/>
  <c r="G120" i="13"/>
  <c r="M123" i="13"/>
  <c r="I127" i="13"/>
  <c r="L131" i="13"/>
  <c r="L135" i="13"/>
  <c r="K139" i="13"/>
  <c r="K143" i="13"/>
  <c r="I147" i="13"/>
  <c r="M150" i="13"/>
  <c r="L154" i="13"/>
  <c r="L158" i="13"/>
  <c r="M162" i="13"/>
  <c r="J166" i="13"/>
  <c r="L170" i="13"/>
  <c r="G174" i="13"/>
  <c r="M3" i="13"/>
  <c r="L9" i="13"/>
  <c r="K14" i="13"/>
  <c r="L19" i="13"/>
  <c r="M24" i="13"/>
  <c r="K29" i="13"/>
  <c r="F34" i="13"/>
  <c r="H39" i="13"/>
  <c r="H44" i="13"/>
  <c r="J48" i="13"/>
  <c r="F54" i="13"/>
  <c r="I58" i="13"/>
  <c r="H62" i="13"/>
  <c r="L66" i="13"/>
  <c r="I71" i="13"/>
  <c r="F76" i="13"/>
  <c r="G80" i="13"/>
  <c r="G85" i="13"/>
  <c r="H89" i="13"/>
  <c r="K93" i="13"/>
  <c r="G98" i="13"/>
  <c r="K102" i="13"/>
  <c r="M106" i="13"/>
  <c r="L111" i="13"/>
  <c r="G116" i="13"/>
  <c r="J120" i="13"/>
  <c r="K124" i="13"/>
  <c r="K129" i="13"/>
  <c r="L133" i="13"/>
  <c r="I138" i="13"/>
  <c r="L142" i="13"/>
  <c r="K147" i="13"/>
  <c r="K151" i="13"/>
  <c r="H156" i="13"/>
  <c r="J160" i="13"/>
  <c r="M164" i="13"/>
  <c r="L169" i="13"/>
  <c r="M173" i="13"/>
  <c r="K177" i="13"/>
  <c r="G181" i="13"/>
  <c r="F185" i="13"/>
  <c r="J188" i="13"/>
  <c r="G192" i="13"/>
  <c r="K195" i="13"/>
  <c r="F199" i="13"/>
  <c r="K202" i="13"/>
  <c r="M205" i="13"/>
  <c r="H209" i="13"/>
  <c r="J212" i="13"/>
  <c r="K215" i="13"/>
  <c r="M218" i="13"/>
  <c r="M221" i="13"/>
  <c r="K224" i="13"/>
  <c r="M227" i="13"/>
  <c r="K230" i="13"/>
  <c r="I233" i="13"/>
  <c r="I236" i="13"/>
  <c r="I239" i="13"/>
  <c r="I242" i="13"/>
  <c r="H245" i="13"/>
  <c r="G248" i="13"/>
  <c r="L250" i="13"/>
  <c r="K253" i="13"/>
  <c r="I256" i="13"/>
  <c r="F259" i="13"/>
  <c r="F262" i="13"/>
  <c r="J264" i="13"/>
  <c r="F267" i="13"/>
  <c r="J269" i="13"/>
  <c r="H272" i="13"/>
  <c r="L274" i="13"/>
  <c r="H277" i="13"/>
  <c r="F280" i="13"/>
  <c r="J282" i="13"/>
  <c r="G285" i="13"/>
  <c r="J287" i="13"/>
  <c r="F290" i="13"/>
  <c r="I292" i="13"/>
  <c r="K294" i="13"/>
  <c r="M296" i="13"/>
  <c r="G299" i="13"/>
  <c r="I301" i="13"/>
  <c r="M303" i="13"/>
  <c r="G306" i="13"/>
  <c r="I308" i="13"/>
  <c r="K310" i="13"/>
  <c r="M312" i="13"/>
  <c r="G315" i="13"/>
  <c r="I317" i="13"/>
  <c r="K319" i="13"/>
  <c r="F322" i="13"/>
  <c r="H324" i="13"/>
  <c r="J326" i="13"/>
  <c r="L328" i="13"/>
  <c r="F331" i="13"/>
  <c r="H333" i="13"/>
  <c r="J335" i="13"/>
  <c r="F338" i="13"/>
  <c r="H340" i="13"/>
  <c r="J342" i="13"/>
  <c r="L344" i="13"/>
  <c r="F347" i="13"/>
  <c r="H349" i="13"/>
  <c r="J351" i="13"/>
  <c r="M353" i="13"/>
  <c r="G356" i="13"/>
  <c r="I358" i="13"/>
  <c r="K360" i="13"/>
  <c r="L362" i="13"/>
  <c r="M364" i="13"/>
  <c r="F367" i="13"/>
  <c r="G369" i="13"/>
  <c r="I371" i="13"/>
  <c r="J373" i="13"/>
  <c r="K375" i="13"/>
  <c r="L377" i="13"/>
  <c r="M379" i="13"/>
  <c r="F382" i="13"/>
  <c r="G384" i="13"/>
  <c r="H386" i="13"/>
  <c r="I388" i="13"/>
  <c r="J390" i="13"/>
  <c r="K392" i="13"/>
  <c r="L394" i="13"/>
  <c r="M396" i="13"/>
  <c r="F399" i="13"/>
  <c r="G401" i="13"/>
  <c r="I403" i="13"/>
  <c r="J405" i="13"/>
  <c r="K407" i="13"/>
  <c r="L409" i="13"/>
  <c r="M411" i="13"/>
  <c r="F414" i="13"/>
  <c r="G416" i="13"/>
  <c r="H418" i="13"/>
  <c r="I420" i="13"/>
  <c r="J422" i="13"/>
  <c r="K424" i="13"/>
  <c r="L426" i="13"/>
  <c r="M428" i="13"/>
  <c r="F431" i="13"/>
  <c r="G433" i="13"/>
  <c r="I435" i="13"/>
  <c r="J437" i="13"/>
  <c r="K439" i="13"/>
  <c r="L441" i="13"/>
  <c r="M443" i="13"/>
  <c r="F446" i="13"/>
  <c r="F448" i="13"/>
  <c r="F450" i="13"/>
  <c r="F452" i="13"/>
  <c r="F454" i="13"/>
  <c r="F456" i="13"/>
  <c r="F458" i="13"/>
  <c r="F460" i="13"/>
  <c r="F462" i="13"/>
  <c r="F464" i="13"/>
  <c r="F466" i="13"/>
  <c r="F468" i="13"/>
  <c r="F470" i="13"/>
  <c r="F472" i="13"/>
  <c r="F474" i="13"/>
  <c r="F476" i="13"/>
  <c r="F478" i="13"/>
  <c r="F480" i="13"/>
  <c r="F482" i="13"/>
  <c r="F484" i="13"/>
  <c r="F486" i="13"/>
  <c r="M4" i="13"/>
  <c r="M9" i="13"/>
  <c r="M14" i="13"/>
  <c r="H20" i="13"/>
  <c r="H25" i="13"/>
  <c r="M29" i="13"/>
  <c r="K34" i="13"/>
  <c r="K39" i="13"/>
  <c r="J44" i="13"/>
  <c r="K48" i="13"/>
  <c r="G54" i="13"/>
  <c r="J58" i="13"/>
  <c r="M62" i="13"/>
  <c r="I67" i="13"/>
  <c r="G72" i="13"/>
  <c r="G76" i="13"/>
  <c r="H80" i="13"/>
  <c r="H85" i="13"/>
  <c r="M89" i="13"/>
  <c r="F94" i="13"/>
  <c r="K98" i="13"/>
  <c r="G103" i="13"/>
  <c r="G107" i="13"/>
  <c r="M111" i="13"/>
  <c r="K116" i="13"/>
  <c r="L120" i="13"/>
  <c r="K125" i="13"/>
  <c r="L129" i="13"/>
  <c r="G134" i="13"/>
  <c r="J138" i="13"/>
  <c r="M142" i="13"/>
  <c r="L147" i="13"/>
  <c r="L151" i="13"/>
  <c r="K156" i="13"/>
  <c r="K160" i="13"/>
  <c r="I165" i="13"/>
  <c r="M169" i="13"/>
  <c r="F174" i="13"/>
  <c r="L177" i="13"/>
  <c r="I181" i="13"/>
  <c r="G185" i="13"/>
  <c r="F189" i="13"/>
  <c r="H192" i="13"/>
  <c r="M195" i="13"/>
  <c r="G199" i="13"/>
  <c r="L202" i="13"/>
  <c r="F206" i="13"/>
  <c r="K209" i="13"/>
  <c r="K212" i="13"/>
  <c r="L215" i="13"/>
  <c r="F219" i="13"/>
  <c r="F222" i="13"/>
  <c r="L224" i="13"/>
  <c r="F228" i="13"/>
  <c r="L230" i="13"/>
  <c r="K233" i="13"/>
  <c r="L236" i="13"/>
  <c r="L239" i="13"/>
  <c r="J242" i="13"/>
  <c r="I245" i="13"/>
  <c r="H248" i="13"/>
  <c r="M250" i="13"/>
  <c r="M253" i="13"/>
  <c r="J256" i="13"/>
  <c r="I259" i="13"/>
  <c r="G262" i="13"/>
  <c r="K264" i="13"/>
  <c r="G267" i="13"/>
  <c r="K269" i="13"/>
  <c r="I272" i="13"/>
  <c r="M274" i="13"/>
  <c r="I277" i="13"/>
  <c r="G280" i="13"/>
  <c r="K282" i="13"/>
  <c r="H285" i="13"/>
  <c r="K287" i="13"/>
  <c r="G290" i="13"/>
  <c r="J292" i="13"/>
  <c r="L294" i="13"/>
  <c r="F297" i="13"/>
  <c r="H299" i="13"/>
  <c r="K301" i="13"/>
  <c r="F304" i="13"/>
  <c r="H306" i="13"/>
  <c r="J308" i="13"/>
  <c r="L310" i="13"/>
  <c r="F313" i="13"/>
  <c r="H315" i="13"/>
  <c r="J317" i="13"/>
  <c r="M319" i="13"/>
  <c r="G322" i="13"/>
  <c r="I324" i="13"/>
  <c r="K326" i="13"/>
  <c r="M328" i="13"/>
  <c r="G331" i="13"/>
  <c r="I333" i="13"/>
  <c r="M335" i="13"/>
  <c r="G338" i="13"/>
  <c r="I340" i="13"/>
  <c r="K342" i="13"/>
  <c r="M344" i="13"/>
  <c r="I349" i="13"/>
  <c r="K351" i="13"/>
  <c r="F354" i="13"/>
  <c r="H356" i="13"/>
  <c r="J358" i="13"/>
  <c r="L360" i="13"/>
  <c r="M362" i="13"/>
  <c r="F365" i="13"/>
  <c r="G367" i="13"/>
  <c r="I369" i="13"/>
  <c r="J371" i="13"/>
  <c r="K373" i="13"/>
  <c r="L375" i="13"/>
  <c r="M377" i="13"/>
  <c r="F380" i="13"/>
  <c r="G382" i="13"/>
  <c r="H384" i="13"/>
  <c r="I386" i="13"/>
  <c r="J388" i="13"/>
  <c r="K390" i="13"/>
  <c r="L392" i="13"/>
  <c r="M394" i="13"/>
  <c r="F397" i="13"/>
  <c r="G399" i="13"/>
  <c r="I401" i="13"/>
  <c r="J403" i="13"/>
  <c r="H5" i="13"/>
  <c r="F10" i="13"/>
  <c r="I15" i="13"/>
  <c r="K20" i="13"/>
  <c r="I25" i="13"/>
  <c r="F30" i="13"/>
  <c r="L34" i="13"/>
  <c r="F40" i="13"/>
  <c r="K44" i="13"/>
  <c r="H49" i="13"/>
  <c r="I54" i="13"/>
  <c r="K58" i="13"/>
  <c r="G63" i="13"/>
  <c r="K67" i="13"/>
  <c r="H72" i="13"/>
  <c r="J76" i="13"/>
  <c r="I81" i="13"/>
  <c r="I85" i="13"/>
  <c r="F90" i="13"/>
  <c r="G94" i="13"/>
  <c r="L98" i="13"/>
  <c r="H103" i="13"/>
  <c r="M107" i="13"/>
  <c r="I112" i="13"/>
  <c r="L116" i="13"/>
  <c r="M120" i="13"/>
  <c r="M125" i="13"/>
  <c r="M129" i="13"/>
  <c r="J134" i="13"/>
  <c r="G139" i="13"/>
  <c r="L143" i="13"/>
  <c r="M147" i="13"/>
  <c r="F152" i="13"/>
  <c r="L156" i="13"/>
  <c r="L160" i="13"/>
  <c r="L165" i="13"/>
  <c r="J170" i="13"/>
  <c r="H174" i="13"/>
  <c r="M177" i="13"/>
  <c r="K181" i="13"/>
  <c r="H185" i="13"/>
  <c r="G189" i="13"/>
  <c r="J192" i="13"/>
  <c r="F196" i="13"/>
  <c r="L199" i="13"/>
  <c r="M202" i="13"/>
  <c r="K206" i="13"/>
  <c r="L209" i="13"/>
  <c r="M212" i="13"/>
  <c r="H216" i="13"/>
  <c r="H219" i="13"/>
  <c r="G222" i="13"/>
  <c r="M224" i="13"/>
  <c r="G228" i="13"/>
  <c r="M230" i="13"/>
  <c r="L233" i="13"/>
  <c r="M236" i="13"/>
  <c r="M239" i="13"/>
  <c r="I5" i="13"/>
  <c r="H10" i="13"/>
  <c r="L15" i="13"/>
  <c r="L20" i="13"/>
  <c r="L25" i="13"/>
  <c r="G30" i="13"/>
  <c r="K35" i="13"/>
  <c r="G40" i="13"/>
  <c r="L44" i="13"/>
  <c r="M49" i="13"/>
  <c r="K54" i="13"/>
  <c r="L58" i="13"/>
  <c r="I63" i="13"/>
  <c r="F68" i="13"/>
  <c r="I72" i="13"/>
  <c r="K76" i="13"/>
  <c r="L81" i="13"/>
  <c r="L85" i="13"/>
  <c r="H90" i="13"/>
  <c r="L94" i="13"/>
  <c r="I99" i="13"/>
  <c r="I103" i="13"/>
  <c r="F108" i="13"/>
  <c r="J112" i="13"/>
  <c r="M116" i="13"/>
  <c r="H121" i="13"/>
  <c r="G126" i="13"/>
  <c r="G130" i="13"/>
  <c r="K134" i="13"/>
  <c r="H139" i="13"/>
  <c r="M143" i="13"/>
  <c r="F148" i="13"/>
  <c r="L152" i="13"/>
  <c r="M156" i="13"/>
  <c r="K161" i="13"/>
  <c r="M165" i="13"/>
  <c r="K170" i="13"/>
  <c r="K174" i="13"/>
  <c r="F178" i="13"/>
  <c r="G182" i="13"/>
  <c r="I185" i="13"/>
  <c r="H189" i="13"/>
  <c r="K192" i="13"/>
  <c r="G196" i="13"/>
  <c r="M199" i="13"/>
  <c r="G203" i="13"/>
  <c r="L206" i="13"/>
  <c r="M209" i="13"/>
  <c r="F213" i="13"/>
  <c r="J216" i="13"/>
  <c r="I219" i="13"/>
  <c r="H222" i="13"/>
  <c r="H225" i="13"/>
  <c r="H228" i="13"/>
  <c r="F231" i="13"/>
  <c r="M233" i="13"/>
  <c r="G237" i="13"/>
  <c r="F240" i="13"/>
  <c r="M242" i="13"/>
  <c r="M245" i="13"/>
  <c r="K248" i="13"/>
  <c r="I251" i="13"/>
  <c r="G254" i="13"/>
  <c r="F257" i="13"/>
  <c r="M259" i="13"/>
  <c r="I262" i="13"/>
  <c r="M264" i="13"/>
  <c r="I267" i="13"/>
  <c r="G270" i="13"/>
  <c r="K272" i="13"/>
  <c r="G275" i="13"/>
  <c r="M277" i="13"/>
  <c r="I280" i="13"/>
  <c r="F283" i="13"/>
  <c r="J285" i="13"/>
  <c r="G288" i="13"/>
  <c r="J290" i="13"/>
  <c r="L292" i="13"/>
  <c r="F295" i="13"/>
  <c r="I297" i="13"/>
  <c r="K299" i="13"/>
  <c r="F302" i="13"/>
  <c r="H304" i="13"/>
  <c r="J306" i="13"/>
  <c r="L308" i="13"/>
  <c r="F311" i="13"/>
  <c r="H313" i="13"/>
  <c r="J315" i="13"/>
  <c r="M317" i="13"/>
  <c r="G320" i="13"/>
  <c r="I322" i="13"/>
  <c r="K324" i="13"/>
  <c r="M326" i="13"/>
  <c r="G329" i="13"/>
  <c r="J331" i="13"/>
  <c r="M333" i="13"/>
  <c r="G336" i="13"/>
  <c r="I338" i="13"/>
  <c r="K340" i="13"/>
  <c r="M342" i="13"/>
  <c r="G345" i="13"/>
  <c r="I347" i="13"/>
  <c r="K349" i="13"/>
  <c r="F352" i="13"/>
  <c r="H354" i="13"/>
  <c r="J356" i="13"/>
  <c r="L358" i="13"/>
  <c r="F361" i="13"/>
  <c r="G363" i="13"/>
  <c r="I365" i="13"/>
  <c r="J367" i="13"/>
  <c r="K369" i="13"/>
  <c r="L371" i="13"/>
  <c r="M373" i="13"/>
  <c r="F376" i="13"/>
  <c r="G378" i="13"/>
  <c r="H380" i="13"/>
  <c r="I382" i="13"/>
  <c r="J384" i="13"/>
  <c r="K386" i="13"/>
  <c r="L388" i="13"/>
  <c r="M390" i="13"/>
  <c r="F393" i="13"/>
  <c r="G395" i="13"/>
  <c r="I397" i="13"/>
  <c r="J399" i="13"/>
  <c r="K401" i="13"/>
  <c r="L403" i="13"/>
  <c r="M405" i="13"/>
  <c r="F408" i="13"/>
  <c r="G410" i="13"/>
  <c r="H412" i="13"/>
  <c r="I414" i="13"/>
  <c r="J416" i="13"/>
  <c r="K418" i="13"/>
  <c r="L420" i="13"/>
  <c r="M422" i="13"/>
  <c r="F425" i="13"/>
  <c r="G427" i="13"/>
  <c r="I429" i="13"/>
  <c r="J431" i="13"/>
  <c r="K433" i="13"/>
  <c r="L435" i="13"/>
  <c r="M437" i="13"/>
  <c r="F440" i="13"/>
  <c r="G442" i="13"/>
  <c r="H444" i="13"/>
  <c r="I446" i="13"/>
  <c r="I448" i="13"/>
  <c r="I450" i="13"/>
  <c r="I452" i="13"/>
  <c r="I454" i="13"/>
  <c r="I456" i="13"/>
  <c r="I458" i="13"/>
  <c r="I460" i="13"/>
  <c r="I462" i="13"/>
  <c r="I464" i="13"/>
  <c r="I466" i="13"/>
  <c r="I468" i="13"/>
  <c r="I470" i="13"/>
  <c r="I472" i="13"/>
  <c r="I474" i="13"/>
  <c r="I476" i="13"/>
  <c r="I478" i="13"/>
  <c r="I480" i="13"/>
  <c r="I482" i="13"/>
  <c r="I484" i="13"/>
  <c r="I486" i="13"/>
  <c r="K5" i="13"/>
  <c r="K10" i="13"/>
  <c r="M5" i="13"/>
  <c r="K12" i="13"/>
  <c r="H19" i="13"/>
  <c r="I26" i="13"/>
  <c r="K32" i="13"/>
  <c r="H38" i="13"/>
  <c r="K45" i="13"/>
  <c r="K51" i="13"/>
  <c r="M57" i="13"/>
  <c r="I64" i="13"/>
  <c r="M69" i="13"/>
  <c r="H75" i="13"/>
  <c r="G82" i="13"/>
  <c r="F88" i="13"/>
  <c r="H93" i="13"/>
  <c r="F100" i="13"/>
  <c r="L105" i="13"/>
  <c r="G111" i="13"/>
  <c r="L117" i="13"/>
  <c r="K123" i="13"/>
  <c r="H129" i="13"/>
  <c r="F136" i="13"/>
  <c r="G141" i="13"/>
  <c r="M146" i="13"/>
  <c r="I153" i="13"/>
  <c r="M158" i="13"/>
  <c r="K164" i="13"/>
  <c r="H171" i="13"/>
  <c r="H176" i="13"/>
  <c r="K180" i="13"/>
  <c r="H186" i="13"/>
  <c r="M190" i="13"/>
  <c r="H195" i="13"/>
  <c r="J200" i="13"/>
  <c r="K204" i="13"/>
  <c r="F209" i="13"/>
  <c r="M213" i="13"/>
  <c r="K217" i="13"/>
  <c r="K221" i="13"/>
  <c r="M225" i="13"/>
  <c r="I229" i="13"/>
  <c r="G233" i="13"/>
  <c r="K237" i="13"/>
  <c r="I241" i="13"/>
  <c r="M244" i="13"/>
  <c r="I248" i="13"/>
  <c r="M251" i="13"/>
  <c r="G255" i="13"/>
  <c r="I258" i="13"/>
  <c r="M261" i="13"/>
  <c r="G265" i="13"/>
  <c r="H268" i="13"/>
  <c r="I271" i="13"/>
  <c r="J274" i="13"/>
  <c r="F278" i="13"/>
  <c r="G281" i="13"/>
  <c r="G284" i="13"/>
  <c r="G287" i="13"/>
  <c r="I290" i="13"/>
  <c r="H293" i="13"/>
  <c r="F296" i="13"/>
  <c r="K298" i="13"/>
  <c r="H301" i="13"/>
  <c r="J304" i="13"/>
  <c r="G307" i="13"/>
  <c r="M309" i="13"/>
  <c r="K312" i="13"/>
  <c r="K315" i="13"/>
  <c r="I318" i="13"/>
  <c r="G321" i="13"/>
  <c r="M323" i="13"/>
  <c r="L326" i="13"/>
  <c r="K329" i="13"/>
  <c r="I332" i="13"/>
  <c r="F335" i="13"/>
  <c r="K337" i="13"/>
  <c r="M340" i="13"/>
  <c r="J343" i="13"/>
  <c r="H346" i="13"/>
  <c r="M348" i="13"/>
  <c r="M351" i="13"/>
  <c r="K354" i="13"/>
  <c r="I357" i="13"/>
  <c r="G360" i="13"/>
  <c r="K362" i="13"/>
  <c r="K365" i="13"/>
  <c r="G368" i="13"/>
  <c r="K370" i="13"/>
  <c r="G373" i="13"/>
  <c r="G376" i="13"/>
  <c r="K378" i="13"/>
  <c r="G381" i="13"/>
  <c r="L383" i="13"/>
  <c r="J386" i="13"/>
  <c r="G389" i="13"/>
  <c r="L391" i="13"/>
  <c r="H394" i="13"/>
  <c r="L396" i="13"/>
  <c r="L399" i="13"/>
  <c r="H402" i="13"/>
  <c r="L404" i="13"/>
  <c r="G407" i="13"/>
  <c r="K409" i="13"/>
  <c r="G412" i="13"/>
  <c r="K414" i="13"/>
  <c r="F417" i="13"/>
  <c r="J419" i="13"/>
  <c r="M421" i="13"/>
  <c r="H424" i="13"/>
  <c r="K426" i="13"/>
  <c r="G429" i="13"/>
  <c r="L431" i="13"/>
  <c r="G434" i="13"/>
  <c r="J436" i="13"/>
  <c r="M438" i="13"/>
  <c r="I441" i="13"/>
  <c r="L443" i="13"/>
  <c r="H446" i="13"/>
  <c r="K448" i="13"/>
  <c r="M450" i="13"/>
  <c r="G453" i="13"/>
  <c r="I455" i="13"/>
  <c r="K457" i="13"/>
  <c r="M459" i="13"/>
  <c r="H462" i="13"/>
  <c r="K464" i="13"/>
  <c r="M466" i="13"/>
  <c r="G469" i="13"/>
  <c r="I471" i="13"/>
  <c r="K473" i="13"/>
  <c r="M475" i="13"/>
  <c r="H478" i="13"/>
  <c r="K480" i="13"/>
  <c r="M482" i="13"/>
  <c r="G485" i="13"/>
  <c r="I487" i="13"/>
  <c r="H6" i="13"/>
  <c r="H13" i="13"/>
  <c r="I19" i="13"/>
  <c r="L26" i="13"/>
  <c r="L32" i="13"/>
  <c r="G39" i="13"/>
  <c r="G46" i="13"/>
  <c r="G52" i="13"/>
  <c r="H58" i="13"/>
  <c r="J64" i="13"/>
  <c r="F70" i="13"/>
  <c r="M75" i="13"/>
  <c r="I82" i="13"/>
  <c r="G88" i="13"/>
  <c r="I93" i="13"/>
  <c r="G100" i="13"/>
  <c r="M105" i="13"/>
  <c r="H111" i="13"/>
  <c r="M117" i="13"/>
  <c r="L123" i="13"/>
  <c r="I129" i="13"/>
  <c r="G136" i="13"/>
  <c r="H141" i="13"/>
  <c r="G147" i="13"/>
  <c r="L153" i="13"/>
  <c r="K159" i="13"/>
  <c r="L164" i="13"/>
  <c r="K171" i="13"/>
  <c r="K176" i="13"/>
  <c r="F181" i="13"/>
  <c r="J186" i="13"/>
  <c r="F191" i="13"/>
  <c r="I195" i="13"/>
  <c r="K200" i="13"/>
  <c r="L204" i="13"/>
  <c r="G209" i="13"/>
  <c r="F214" i="13"/>
  <c r="L217" i="13"/>
  <c r="L221" i="13"/>
  <c r="F226" i="13"/>
  <c r="F230" i="13"/>
  <c r="H233" i="13"/>
  <c r="M237" i="13"/>
  <c r="K241" i="13"/>
  <c r="F245" i="13"/>
  <c r="L248" i="13"/>
  <c r="G252" i="13"/>
  <c r="H255" i="13"/>
  <c r="J258" i="13"/>
  <c r="H262" i="13"/>
  <c r="H265" i="13"/>
  <c r="I268" i="13"/>
  <c r="J271" i="13"/>
  <c r="K274" i="13"/>
  <c r="G278" i="13"/>
  <c r="H281" i="13"/>
  <c r="H284" i="13"/>
  <c r="H287" i="13"/>
  <c r="K290" i="13"/>
  <c r="I293" i="13"/>
  <c r="G296" i="13"/>
  <c r="L298" i="13"/>
  <c r="M301" i="13"/>
  <c r="K304" i="13"/>
  <c r="H307" i="13"/>
  <c r="F310" i="13"/>
  <c r="L312" i="13"/>
  <c r="M315" i="13"/>
  <c r="J318" i="13"/>
  <c r="H321" i="13"/>
  <c r="F324" i="13"/>
  <c r="F327" i="13"/>
  <c r="M329" i="13"/>
  <c r="J332" i="13"/>
  <c r="G335" i="13"/>
  <c r="H338" i="13"/>
  <c r="F341" i="13"/>
  <c r="K343" i="13"/>
  <c r="J346" i="13"/>
  <c r="F349" i="13"/>
  <c r="G352" i="13"/>
  <c r="L354" i="13"/>
  <c r="J357" i="13"/>
  <c r="H360" i="13"/>
  <c r="F363" i="13"/>
  <c r="L365" i="13"/>
  <c r="H368" i="13"/>
  <c r="L370" i="13"/>
  <c r="I373" i="13"/>
  <c r="H376" i="13"/>
  <c r="L378" i="13"/>
  <c r="I381" i="13"/>
  <c r="M383" i="13"/>
  <c r="L386" i="13"/>
  <c r="I389" i="13"/>
  <c r="M391" i="13"/>
  <c r="I394" i="13"/>
  <c r="G397" i="13"/>
  <c r="M399" i="13"/>
  <c r="I402" i="13"/>
  <c r="M404" i="13"/>
  <c r="I407" i="13"/>
  <c r="M409" i="13"/>
  <c r="I412" i="13"/>
  <c r="L414" i="13"/>
  <c r="G417" i="13"/>
  <c r="K419" i="13"/>
  <c r="F422" i="13"/>
  <c r="I424" i="13"/>
  <c r="M426" i="13"/>
  <c r="J429" i="13"/>
  <c r="M431" i="13"/>
  <c r="H434" i="13"/>
  <c r="K436" i="13"/>
  <c r="F439" i="13"/>
  <c r="J441" i="13"/>
  <c r="F444" i="13"/>
  <c r="J446" i="13"/>
  <c r="J6" i="13"/>
  <c r="I13" i="13"/>
  <c r="M20" i="13"/>
  <c r="M26" i="13"/>
  <c r="G33" i="13"/>
  <c r="H40" i="13"/>
  <c r="H46" i="13"/>
  <c r="H52" i="13"/>
  <c r="M58" i="13"/>
  <c r="K64" i="13"/>
  <c r="G70" i="13"/>
  <c r="M76" i="13"/>
  <c r="J82" i="13"/>
  <c r="H88" i="13"/>
  <c r="M94" i="13"/>
  <c r="I100" i="13"/>
  <c r="F106" i="13"/>
  <c r="K112" i="13"/>
  <c r="F118" i="13"/>
  <c r="F124" i="13"/>
  <c r="J130" i="13"/>
  <c r="H136" i="13"/>
  <c r="I141" i="13"/>
  <c r="G148" i="13"/>
  <c r="F154" i="13"/>
  <c r="L159" i="13"/>
  <c r="H166" i="13"/>
  <c r="L171" i="13"/>
  <c r="M176" i="13"/>
  <c r="H182" i="13"/>
  <c r="M186" i="13"/>
  <c r="K191" i="13"/>
  <c r="H196" i="13"/>
  <c r="L200" i="13"/>
  <c r="G205" i="13"/>
  <c r="G210" i="13"/>
  <c r="G214" i="13"/>
  <c r="M217" i="13"/>
  <c r="I222" i="13"/>
  <c r="G226" i="13"/>
  <c r="G230" i="13"/>
  <c r="F234" i="13"/>
  <c r="F238" i="13"/>
  <c r="L241" i="13"/>
  <c r="G245" i="13"/>
  <c r="M248" i="13"/>
  <c r="H252" i="13"/>
  <c r="K255" i="13"/>
  <c r="K258" i="13"/>
  <c r="J262" i="13"/>
  <c r="I265" i="13"/>
  <c r="K268" i="13"/>
  <c r="K271" i="13"/>
  <c r="F275" i="13"/>
  <c r="H278" i="13"/>
  <c r="I281" i="13"/>
  <c r="J284" i="13"/>
  <c r="I287" i="13"/>
  <c r="L290" i="13"/>
  <c r="J293" i="13"/>
  <c r="H296" i="13"/>
  <c r="M298" i="13"/>
  <c r="G302" i="13"/>
  <c r="L304" i="13"/>
  <c r="I307" i="13"/>
  <c r="H310" i="13"/>
  <c r="G313" i="13"/>
  <c r="F316" i="13"/>
  <c r="L318" i="13"/>
  <c r="I321" i="13"/>
  <c r="G324" i="13"/>
  <c r="H327" i="13"/>
  <c r="F330" i="13"/>
  <c r="K332" i="13"/>
  <c r="H335" i="13"/>
  <c r="J338" i="13"/>
  <c r="G341" i="13"/>
  <c r="M343" i="13"/>
  <c r="K346" i="13"/>
  <c r="G349" i="13"/>
  <c r="H352" i="13"/>
  <c r="F355" i="13"/>
  <c r="K357" i="13"/>
  <c r="I360" i="13"/>
  <c r="I363" i="13"/>
  <c r="M365" i="13"/>
  <c r="I368" i="13"/>
  <c r="M370" i="13"/>
  <c r="L373" i="13"/>
  <c r="I376" i="13"/>
  <c r="M378" i="13"/>
  <c r="J381" i="13"/>
  <c r="F384" i="13"/>
  <c r="M386" i="13"/>
  <c r="J389" i="13"/>
  <c r="F392" i="13"/>
  <c r="J394" i="13"/>
  <c r="J397" i="13"/>
  <c r="F400" i="13"/>
  <c r="J402" i="13"/>
  <c r="F405" i="13"/>
  <c r="J407" i="13"/>
  <c r="F410" i="13"/>
  <c r="J412" i="13"/>
  <c r="M414" i="13"/>
  <c r="I417" i="13"/>
  <c r="L419" i="13"/>
  <c r="G422" i="13"/>
  <c r="J424" i="13"/>
  <c r="F427" i="13"/>
  <c r="K429" i="13"/>
  <c r="F432" i="13"/>
  <c r="I434" i="13"/>
  <c r="L436" i="13"/>
  <c r="G439" i="13"/>
  <c r="K441" i="13"/>
  <c r="G444" i="13"/>
  <c r="K446" i="13"/>
  <c r="M448" i="13"/>
  <c r="G451" i="13"/>
  <c r="I453" i="13"/>
  <c r="K455" i="13"/>
  <c r="M457" i="13"/>
  <c r="H460" i="13"/>
  <c r="L6" i="13"/>
  <c r="L13" i="13"/>
  <c r="M21" i="13"/>
  <c r="G27" i="13"/>
  <c r="H33" i="13"/>
  <c r="I40" i="13"/>
  <c r="J46" i="13"/>
  <c r="I52" i="13"/>
  <c r="G59" i="13"/>
  <c r="L64" i="13"/>
  <c r="K70" i="13"/>
  <c r="M77" i="13"/>
  <c r="K82" i="13"/>
  <c r="I88" i="13"/>
  <c r="H95" i="13"/>
  <c r="K100" i="13"/>
  <c r="H106" i="13"/>
  <c r="G113" i="13"/>
  <c r="K118" i="13"/>
  <c r="G124" i="13"/>
  <c r="K130" i="13"/>
  <c r="J136" i="13"/>
  <c r="F142" i="13"/>
  <c r="H148" i="13"/>
  <c r="H154" i="13"/>
  <c r="G160" i="13"/>
  <c r="I166" i="13"/>
  <c r="M171" i="13"/>
  <c r="F177" i="13"/>
  <c r="J182" i="13"/>
  <c r="F187" i="13"/>
  <c r="L191" i="13"/>
  <c r="F197" i="13"/>
  <c r="M200" i="13"/>
  <c r="H205" i="13"/>
  <c r="H210" i="13"/>
  <c r="I214" i="13"/>
  <c r="F218" i="13"/>
  <c r="J222" i="13"/>
  <c r="H226" i="13"/>
  <c r="H230" i="13"/>
  <c r="K234" i="13"/>
  <c r="G238" i="13"/>
  <c r="M241" i="13"/>
  <c r="L245" i="13"/>
  <c r="G249" i="13"/>
  <c r="J252" i="13"/>
  <c r="L255" i="13"/>
  <c r="M258" i="13"/>
  <c r="K262" i="13"/>
  <c r="J265" i="13"/>
  <c r="M268" i="13"/>
  <c r="M271" i="13"/>
  <c r="I275" i="13"/>
  <c r="K278" i="13"/>
  <c r="J281" i="13"/>
  <c r="K284" i="13"/>
  <c r="M287" i="13"/>
  <c r="F291" i="13"/>
  <c r="K293" i="13"/>
  <c r="I296" i="13"/>
  <c r="F299" i="13"/>
  <c r="H302" i="13"/>
  <c r="M304" i="13"/>
  <c r="J307" i="13"/>
  <c r="I310" i="13"/>
  <c r="I313" i="13"/>
  <c r="G316" i="13"/>
  <c r="M318" i="13"/>
  <c r="J321" i="13"/>
  <c r="J324" i="13"/>
  <c r="I327" i="13"/>
  <c r="G330" i="13"/>
  <c r="L332" i="13"/>
  <c r="I335" i="13"/>
  <c r="K338" i="13"/>
  <c r="H341" i="13"/>
  <c r="F344" i="13"/>
  <c r="L346" i="13"/>
  <c r="J349" i="13"/>
  <c r="I352" i="13"/>
  <c r="G355" i="13"/>
  <c r="M357" i="13"/>
  <c r="J360" i="13"/>
  <c r="J363" i="13"/>
  <c r="F366" i="13"/>
  <c r="J368" i="13"/>
  <c r="F371" i="13"/>
  <c r="F374" i="13"/>
  <c r="J376" i="13"/>
  <c r="F379" i="13"/>
  <c r="K381" i="13"/>
  <c r="I384" i="13"/>
  <c r="F387" i="13"/>
  <c r="K389" i="13"/>
  <c r="G392" i="13"/>
  <c r="K394" i="13"/>
  <c r="K397" i="13"/>
  <c r="G400" i="13"/>
  <c r="K402" i="13"/>
  <c r="G405" i="13"/>
  <c r="L407" i="13"/>
  <c r="H410" i="13"/>
  <c r="K412" i="13"/>
  <c r="F415" i="13"/>
  <c r="J417" i="13"/>
  <c r="M419" i="13"/>
  <c r="H422" i="13"/>
  <c r="L424" i="13"/>
  <c r="I427" i="13"/>
  <c r="L429" i="13"/>
  <c r="G432" i="13"/>
  <c r="J434" i="13"/>
  <c r="M436" i="13"/>
  <c r="I439" i="13"/>
  <c r="M441" i="13"/>
  <c r="I444" i="13"/>
  <c r="L446" i="13"/>
  <c r="F449" i="13"/>
  <c r="H451" i="13"/>
  <c r="J453" i="13"/>
  <c r="L455" i="13"/>
  <c r="G458" i="13"/>
  <c r="J460" i="13"/>
  <c r="L462" i="13"/>
  <c r="F465" i="13"/>
  <c r="H467" i="13"/>
  <c r="J469" i="13"/>
  <c r="L471" i="13"/>
  <c r="G474" i="13"/>
  <c r="J476" i="13"/>
  <c r="L478" i="13"/>
  <c r="F481" i="13"/>
  <c r="H483" i="13"/>
  <c r="J485" i="13"/>
  <c r="L487" i="13"/>
  <c r="F14" i="13"/>
  <c r="M6" i="13"/>
  <c r="M13" i="13"/>
  <c r="F22" i="13"/>
  <c r="F28" i="13"/>
  <c r="K33" i="13"/>
  <c r="M40" i="13"/>
  <c r="M46" i="13"/>
  <c r="K52" i="13"/>
  <c r="H59" i="13"/>
  <c r="I65" i="13"/>
  <c r="M70" i="13"/>
  <c r="F78" i="13"/>
  <c r="L82" i="13"/>
  <c r="L88" i="13"/>
  <c r="L95" i="13"/>
  <c r="L100" i="13"/>
  <c r="I106" i="13"/>
  <c r="H113" i="13"/>
  <c r="M118" i="13"/>
  <c r="H124" i="13"/>
  <c r="L130" i="13"/>
  <c r="K136" i="13"/>
  <c r="I142" i="13"/>
  <c r="I148" i="13"/>
  <c r="I154" i="13"/>
  <c r="H160" i="13"/>
  <c r="K166" i="13"/>
  <c r="F172" i="13"/>
  <c r="G177" i="13"/>
  <c r="K182" i="13"/>
  <c r="G187" i="13"/>
  <c r="M191" i="13"/>
  <c r="H197" i="13"/>
  <c r="F201" i="13"/>
  <c r="I205" i="13"/>
  <c r="J210" i="13"/>
  <c r="J214" i="13"/>
  <c r="J218" i="13"/>
  <c r="K222" i="13"/>
  <c r="I226" i="13"/>
  <c r="I230" i="13"/>
  <c r="L234" i="13"/>
  <c r="H238" i="13"/>
  <c r="F242" i="13"/>
  <c r="G246" i="13"/>
  <c r="H249" i="13"/>
  <c r="K252" i="13"/>
  <c r="M255" i="13"/>
  <c r="K259" i="13"/>
  <c r="L262" i="13"/>
  <c r="M265" i="13"/>
  <c r="F269" i="13"/>
  <c r="F272" i="13"/>
  <c r="J275" i="13"/>
  <c r="L278" i="13"/>
  <c r="K281" i="13"/>
  <c r="L284" i="13"/>
  <c r="H288" i="13"/>
  <c r="G291" i="13"/>
  <c r="M293" i="13"/>
  <c r="J296" i="13"/>
  <c r="J299" i="13"/>
  <c r="I302" i="13"/>
  <c r="F305" i="13"/>
  <c r="K307" i="13"/>
  <c r="J310" i="13"/>
  <c r="J313" i="13"/>
  <c r="H316" i="13"/>
  <c r="F319" i="13"/>
  <c r="K321" i="13"/>
  <c r="L324" i="13"/>
  <c r="J327" i="13"/>
  <c r="H330" i="13"/>
  <c r="M332" i="13"/>
  <c r="F336" i="13"/>
  <c r="L338" i="13"/>
  <c r="I341" i="13"/>
  <c r="G344" i="13"/>
  <c r="M346" i="13"/>
  <c r="M349" i="13"/>
  <c r="J352" i="13"/>
  <c r="H355" i="13"/>
  <c r="F358" i="13"/>
  <c r="M360" i="13"/>
  <c r="K363" i="13"/>
  <c r="G366" i="13"/>
  <c r="K368" i="13"/>
  <c r="G371" i="13"/>
  <c r="G374" i="13"/>
  <c r="K376" i="13"/>
  <c r="G379" i="13"/>
  <c r="L381" i="13"/>
  <c r="K384" i="13"/>
  <c r="G387" i="13"/>
  <c r="L389" i="13"/>
  <c r="H392" i="13"/>
  <c r="F395" i="13"/>
  <c r="L397" i="13"/>
  <c r="H400" i="13"/>
  <c r="L402" i="13"/>
  <c r="I405" i="13"/>
  <c r="M407" i="13"/>
  <c r="I410" i="13"/>
  <c r="L412" i="13"/>
  <c r="G415" i="13"/>
  <c r="K417" i="13"/>
  <c r="F420" i="13"/>
  <c r="I422" i="13"/>
  <c r="M424" i="13"/>
  <c r="J427" i="13"/>
  <c r="M429" i="13"/>
  <c r="H432" i="13"/>
  <c r="K434" i="13"/>
  <c r="F437" i="13"/>
  <c r="J439" i="13"/>
  <c r="F442" i="13"/>
  <c r="J444" i="13"/>
  <c r="M446" i="13"/>
  <c r="G449" i="13"/>
  <c r="I451" i="13"/>
  <c r="K453" i="13"/>
  <c r="M455" i="13"/>
  <c r="H458" i="13"/>
  <c r="K460" i="13"/>
  <c r="M462" i="13"/>
  <c r="G465" i="13"/>
  <c r="I467" i="13"/>
  <c r="K469" i="13"/>
  <c r="M471" i="13"/>
  <c r="H474" i="13"/>
  <c r="K476" i="13"/>
  <c r="M478" i="13"/>
  <c r="G481" i="13"/>
  <c r="I483" i="13"/>
  <c r="K485" i="13"/>
  <c r="M487" i="13"/>
  <c r="H7" i="13"/>
  <c r="G22" i="13"/>
  <c r="H28" i="13"/>
  <c r="M33" i="13"/>
  <c r="I41" i="13"/>
  <c r="I47" i="13"/>
  <c r="M52" i="13"/>
  <c r="G60" i="13"/>
  <c r="F66" i="13"/>
  <c r="H71" i="13"/>
  <c r="H78" i="13"/>
  <c r="G83" i="13"/>
  <c r="M88" i="13"/>
  <c r="M95" i="13"/>
  <c r="M101" i="13"/>
  <c r="K106" i="13"/>
  <c r="L113" i="13"/>
  <c r="G119" i="13"/>
  <c r="J124" i="13"/>
  <c r="M130" i="13"/>
  <c r="L136" i="13"/>
  <c r="J142" i="13"/>
  <c r="L149" i="13"/>
  <c r="J154" i="13"/>
  <c r="I160" i="13"/>
  <c r="I167" i="13"/>
  <c r="H172" i="13"/>
  <c r="H177" i="13"/>
  <c r="H187" i="13"/>
  <c r="F192" i="13"/>
  <c r="I197" i="13"/>
  <c r="K201" i="13"/>
  <c r="K205" i="13"/>
  <c r="L210" i="13"/>
  <c r="M7" i="13"/>
  <c r="K17" i="13"/>
  <c r="G29" i="13"/>
  <c r="F38" i="13"/>
  <c r="F50" i="13"/>
  <c r="L60" i="13"/>
  <c r="M68" i="13"/>
  <c r="L78" i="13"/>
  <c r="G87" i="13"/>
  <c r="G97" i="13"/>
  <c r="K108" i="13"/>
  <c r="L115" i="13"/>
  <c r="L126" i="13"/>
  <c r="M134" i="13"/>
  <c r="L144" i="13"/>
  <c r="M154" i="13"/>
  <c r="K163" i="13"/>
  <c r="K173" i="13"/>
  <c r="H180" i="13"/>
  <c r="H188" i="13"/>
  <c r="G195" i="13"/>
  <c r="I203" i="13"/>
  <c r="H211" i="13"/>
  <c r="M216" i="13"/>
  <c r="G223" i="13"/>
  <c r="J228" i="13"/>
  <c r="M234" i="13"/>
  <c r="G240" i="13"/>
  <c r="J244" i="13"/>
  <c r="H250" i="13"/>
  <c r="M254" i="13"/>
  <c r="I260" i="13"/>
  <c r="I264" i="13"/>
  <c r="I269" i="13"/>
  <c r="M273" i="13"/>
  <c r="F279" i="13"/>
  <c r="I283" i="13"/>
  <c r="I288" i="13"/>
  <c r="F292" i="13"/>
  <c r="M295" i="13"/>
  <c r="I300" i="13"/>
  <c r="G304" i="13"/>
  <c r="K308" i="13"/>
  <c r="G312" i="13"/>
  <c r="L316" i="13"/>
  <c r="J320" i="13"/>
  <c r="G325" i="13"/>
  <c r="J328" i="13"/>
  <c r="F333" i="13"/>
  <c r="M336" i="13"/>
  <c r="L340" i="13"/>
  <c r="H345" i="13"/>
  <c r="K348" i="13"/>
  <c r="G353" i="13"/>
  <c r="M356" i="13"/>
  <c r="J361" i="13"/>
  <c r="K364" i="13"/>
  <c r="M368" i="13"/>
  <c r="J372" i="13"/>
  <c r="L376" i="13"/>
  <c r="I380" i="13"/>
  <c r="K383" i="13"/>
  <c r="M387" i="13"/>
  <c r="J391" i="13"/>
  <c r="L395" i="13"/>
  <c r="M398" i="13"/>
  <c r="G403" i="13"/>
  <c r="K406" i="13"/>
  <c r="K410" i="13"/>
  <c r="L413" i="13"/>
  <c r="L417" i="13"/>
  <c r="F421" i="13"/>
  <c r="G424" i="13"/>
  <c r="G428" i="13"/>
  <c r="I431" i="13"/>
  <c r="G435" i="13"/>
  <c r="J438" i="13"/>
  <c r="J442" i="13"/>
  <c r="K445" i="13"/>
  <c r="H449" i="13"/>
  <c r="G452" i="13"/>
  <c r="F455" i="13"/>
  <c r="J458" i="13"/>
  <c r="H461" i="13"/>
  <c r="M463" i="13"/>
  <c r="L466" i="13"/>
  <c r="L469" i="13"/>
  <c r="K472" i="13"/>
  <c r="H475" i="13"/>
  <c r="M477" i="13"/>
  <c r="M480" i="13"/>
  <c r="L483" i="13"/>
  <c r="K486" i="13"/>
  <c r="L42" i="13"/>
  <c r="M358" i="13"/>
  <c r="G462" i="13"/>
  <c r="M42" i="13"/>
  <c r="L350" i="13"/>
  <c r="M418" i="13"/>
  <c r="I465" i="13"/>
  <c r="G43" i="13"/>
  <c r="M83" i="13"/>
  <c r="G110" i="13"/>
  <c r="F140" i="13"/>
  <c r="I158" i="13"/>
  <c r="G184" i="13"/>
  <c r="K198" i="13"/>
  <c r="I225" i="13"/>
  <c r="L257" i="13"/>
  <c r="J289" i="13"/>
  <c r="L322" i="13"/>
  <c r="M350" i="13"/>
  <c r="J382" i="13"/>
  <c r="L415" i="13"/>
  <c r="J450" i="13"/>
  <c r="F485" i="13"/>
  <c r="K43" i="13"/>
  <c r="F8" i="13"/>
  <c r="I18" i="13"/>
  <c r="I29" i="13"/>
  <c r="G38" i="13"/>
  <c r="K50" i="13"/>
  <c r="M60" i="13"/>
  <c r="G69" i="13"/>
  <c r="G79" i="13"/>
  <c r="I87" i="13"/>
  <c r="I97" i="13"/>
  <c r="L108" i="13"/>
  <c r="M115" i="13"/>
  <c r="M126" i="13"/>
  <c r="G135" i="13"/>
  <c r="G145" i="13"/>
  <c r="K155" i="13"/>
  <c r="L163" i="13"/>
  <c r="L173" i="13"/>
  <c r="J180" i="13"/>
  <c r="I189" i="13"/>
  <c r="K197" i="13"/>
  <c r="F204" i="13"/>
  <c r="I211" i="13"/>
  <c r="G217" i="13"/>
  <c r="H223" i="13"/>
  <c r="K228" i="13"/>
  <c r="G235" i="13"/>
  <c r="H240" i="13"/>
  <c r="H246" i="13"/>
  <c r="I250" i="13"/>
  <c r="F255" i="13"/>
  <c r="J260" i="13"/>
  <c r="L264" i="13"/>
  <c r="M269" i="13"/>
  <c r="F274" i="13"/>
  <c r="G279" i="13"/>
  <c r="J283" i="13"/>
  <c r="J288" i="13"/>
  <c r="G292" i="13"/>
  <c r="K296" i="13"/>
  <c r="J300" i="13"/>
  <c r="I304" i="13"/>
  <c r="M308" i="13"/>
  <c r="I312" i="13"/>
  <c r="M316" i="13"/>
  <c r="K320" i="13"/>
  <c r="H325" i="13"/>
  <c r="K328" i="13"/>
  <c r="G333" i="13"/>
  <c r="F337" i="13"/>
  <c r="J341" i="13"/>
  <c r="I345" i="13"/>
  <c r="L348" i="13"/>
  <c r="H353" i="13"/>
  <c r="G357" i="13"/>
  <c r="K361" i="13"/>
  <c r="L364" i="13"/>
  <c r="F369" i="13"/>
  <c r="K372" i="13"/>
  <c r="M376" i="13"/>
  <c r="J380" i="13"/>
  <c r="L384" i="13"/>
  <c r="F388" i="13"/>
  <c r="K391" i="13"/>
  <c r="M395" i="13"/>
  <c r="I399" i="13"/>
  <c r="K403" i="13"/>
  <c r="L406" i="13"/>
  <c r="L410" i="13"/>
  <c r="M413" i="13"/>
  <c r="M417" i="13"/>
  <c r="G421" i="13"/>
  <c r="G425" i="13"/>
  <c r="H428" i="13"/>
  <c r="K431" i="13"/>
  <c r="J435" i="13"/>
  <c r="K438" i="13"/>
  <c r="K442" i="13"/>
  <c r="L445" i="13"/>
  <c r="I449" i="13"/>
  <c r="H452" i="13"/>
  <c r="G455" i="13"/>
  <c r="K458" i="13"/>
  <c r="I461" i="13"/>
  <c r="G464" i="13"/>
  <c r="F467" i="13"/>
  <c r="M469" i="13"/>
  <c r="L472" i="13"/>
  <c r="I475" i="13"/>
  <c r="G478" i="13"/>
  <c r="H481" i="13"/>
  <c r="M483" i="13"/>
  <c r="L486" i="13"/>
  <c r="M54" i="13"/>
  <c r="K377" i="13"/>
  <c r="H465" i="13"/>
  <c r="G55" i="13"/>
  <c r="L342" i="13"/>
  <c r="K411" i="13"/>
  <c r="J462" i="13"/>
  <c r="L35" i="13"/>
  <c r="K63" i="13"/>
  <c r="G92" i="13"/>
  <c r="H150" i="13"/>
  <c r="L213" i="13"/>
  <c r="M252" i="13"/>
  <c r="F286" i="13"/>
  <c r="H318" i="13"/>
  <c r="I355" i="13"/>
  <c r="H378" i="13"/>
  <c r="F401" i="13"/>
  <c r="F423" i="13"/>
  <c r="L453" i="13"/>
  <c r="M476" i="13"/>
  <c r="K23" i="13"/>
  <c r="J8" i="13"/>
  <c r="K18" i="13"/>
  <c r="H30" i="13"/>
  <c r="L41" i="13"/>
  <c r="L50" i="13"/>
  <c r="G61" i="13"/>
  <c r="I69" i="13"/>
  <c r="H79" i="13"/>
  <c r="I90" i="13"/>
  <c r="K97" i="13"/>
  <c r="M108" i="13"/>
  <c r="G117" i="13"/>
  <c r="G127" i="13"/>
  <c r="M136" i="13"/>
  <c r="H145" i="13"/>
  <c r="L155" i="13"/>
  <c r="M163" i="13"/>
  <c r="L174" i="13"/>
  <c r="L182" i="13"/>
  <c r="K189" i="13"/>
  <c r="L197" i="13"/>
  <c r="G204" i="13"/>
  <c r="K211" i="13"/>
  <c r="H217" i="13"/>
  <c r="K223" i="13"/>
  <c r="L228" i="13"/>
  <c r="H235" i="13"/>
  <c r="K240" i="13"/>
  <c r="I246" i="13"/>
  <c r="J250" i="13"/>
  <c r="F256" i="13"/>
  <c r="K260" i="13"/>
  <c r="F265" i="13"/>
  <c r="H270" i="13"/>
  <c r="G274" i="13"/>
  <c r="H279" i="13"/>
  <c r="K283" i="13"/>
  <c r="K288" i="13"/>
  <c r="H292" i="13"/>
  <c r="L296" i="13"/>
  <c r="K300" i="13"/>
  <c r="G305" i="13"/>
  <c r="F309" i="13"/>
  <c r="J312" i="13"/>
  <c r="F317" i="13"/>
  <c r="M320" i="13"/>
  <c r="I325" i="13"/>
  <c r="F329" i="13"/>
  <c r="K333" i="13"/>
  <c r="G337" i="13"/>
  <c r="K341" i="13"/>
  <c r="J345" i="13"/>
  <c r="F350" i="13"/>
  <c r="I353" i="13"/>
  <c r="H357" i="13"/>
  <c r="L361" i="13"/>
  <c r="G365" i="13"/>
  <c r="J369" i="13"/>
  <c r="L372" i="13"/>
  <c r="F377" i="13"/>
  <c r="K380" i="13"/>
  <c r="M384" i="13"/>
  <c r="G388" i="13"/>
  <c r="I392" i="13"/>
  <c r="F396" i="13"/>
  <c r="K399" i="13"/>
  <c r="M403" i="13"/>
  <c r="M406" i="13"/>
  <c r="M410" i="13"/>
  <c r="G414" i="13"/>
  <c r="F418" i="13"/>
  <c r="I421" i="13"/>
  <c r="I425" i="13"/>
  <c r="I428" i="13"/>
  <c r="I432" i="13"/>
  <c r="K435" i="13"/>
  <c r="L438" i="13"/>
  <c r="L442" i="13"/>
  <c r="M445" i="13"/>
  <c r="J449" i="13"/>
  <c r="J452" i="13"/>
  <c r="H455" i="13"/>
  <c r="L458" i="13"/>
  <c r="J461" i="13"/>
  <c r="H464" i="13"/>
  <c r="G467" i="13"/>
  <c r="G470" i="13"/>
  <c r="M472" i="13"/>
  <c r="J475" i="13"/>
  <c r="J478" i="13"/>
  <c r="I481" i="13"/>
  <c r="G484" i="13"/>
  <c r="M486" i="13"/>
  <c r="I11" i="13"/>
  <c r="F62" i="13"/>
  <c r="H73" i="13"/>
  <c r="L91" i="13"/>
  <c r="G128" i="13"/>
  <c r="M149" i="13"/>
  <c r="M183" i="13"/>
  <c r="F207" i="13"/>
  <c r="I224" i="13"/>
  <c r="H242" i="13"/>
  <c r="H257" i="13"/>
  <c r="M270" i="13"/>
  <c r="I285" i="13"/>
  <c r="M297" i="13"/>
  <c r="J309" i="13"/>
  <c r="J322" i="13"/>
  <c r="I334" i="13"/>
  <c r="J350" i="13"/>
  <c r="J366" i="13"/>
  <c r="F389" i="13"/>
  <c r="L400" i="13"/>
  <c r="J415" i="13"/>
  <c r="F429" i="13"/>
  <c r="I443" i="13"/>
  <c r="J456" i="13"/>
  <c r="I473" i="13"/>
  <c r="I32" i="13"/>
  <c r="F359" i="13"/>
  <c r="F430" i="13"/>
  <c r="M470" i="13"/>
  <c r="I23" i="13"/>
  <c r="M131" i="13"/>
  <c r="F193" i="13"/>
  <c r="G236" i="13"/>
  <c r="H271" i="13"/>
  <c r="I306" i="13"/>
  <c r="F343" i="13"/>
  <c r="K374" i="13"/>
  <c r="K408" i="13"/>
  <c r="K443" i="13"/>
  <c r="L473" i="13"/>
  <c r="M35" i="13"/>
  <c r="J184" i="13"/>
  <c r="K8" i="13"/>
  <c r="L18" i="13"/>
  <c r="J30" i="13"/>
  <c r="M41" i="13"/>
  <c r="M50" i="13"/>
  <c r="H61" i="13"/>
  <c r="L69" i="13"/>
  <c r="K79" i="13"/>
  <c r="J90" i="13"/>
  <c r="F98" i="13"/>
  <c r="G109" i="13"/>
  <c r="I117" i="13"/>
  <c r="H127" i="13"/>
  <c r="K137" i="13"/>
  <c r="M145" i="13"/>
  <c r="G156" i="13"/>
  <c r="I164" i="13"/>
  <c r="M174" i="13"/>
  <c r="M182" i="13"/>
  <c r="L189" i="13"/>
  <c r="F198" i="13"/>
  <c r="I204" i="13"/>
  <c r="L211" i="13"/>
  <c r="I217" i="13"/>
  <c r="L223" i="13"/>
  <c r="M228" i="13"/>
  <c r="I235" i="13"/>
  <c r="L240" i="13"/>
  <c r="J246" i="13"/>
  <c r="K250" i="13"/>
  <c r="G256" i="13"/>
  <c r="L260" i="13"/>
  <c r="F266" i="13"/>
  <c r="I270" i="13"/>
  <c r="I274" i="13"/>
  <c r="I279" i="13"/>
  <c r="M283" i="13"/>
  <c r="M288" i="13"/>
  <c r="K292" i="13"/>
  <c r="G297" i="13"/>
  <c r="L300" i="13"/>
  <c r="H305" i="13"/>
  <c r="G309" i="13"/>
  <c r="K313" i="13"/>
  <c r="G317" i="13"/>
  <c r="F321" i="13"/>
  <c r="J325" i="13"/>
  <c r="I329" i="13"/>
  <c r="F334" i="13"/>
  <c r="H337" i="13"/>
  <c r="M341" i="13"/>
  <c r="K345" i="13"/>
  <c r="G350" i="13"/>
  <c r="J353" i="13"/>
  <c r="G358" i="13"/>
  <c r="M361" i="13"/>
  <c r="J365" i="13"/>
  <c r="L369" i="13"/>
  <c r="M372" i="13"/>
  <c r="G377" i="13"/>
  <c r="L380" i="13"/>
  <c r="F385" i="13"/>
  <c r="H388" i="13"/>
  <c r="J392" i="13"/>
  <c r="G396" i="13"/>
  <c r="I400" i="13"/>
  <c r="F404" i="13"/>
  <c r="F407" i="13"/>
  <c r="F411" i="13"/>
  <c r="H414" i="13"/>
  <c r="G418" i="13"/>
  <c r="J421" i="13"/>
  <c r="J425" i="13"/>
  <c r="J428" i="13"/>
  <c r="J432" i="13"/>
  <c r="M435" i="13"/>
  <c r="L439" i="13"/>
  <c r="M442" i="13"/>
  <c r="G446" i="13"/>
  <c r="K449" i="13"/>
  <c r="K452" i="13"/>
  <c r="J455" i="13"/>
  <c r="M458" i="13"/>
  <c r="K461" i="13"/>
  <c r="J464" i="13"/>
  <c r="J467" i="13"/>
  <c r="H470" i="13"/>
  <c r="F473" i="13"/>
  <c r="K475" i="13"/>
  <c r="K478" i="13"/>
  <c r="J481" i="13"/>
  <c r="H484" i="13"/>
  <c r="F487" i="13"/>
  <c r="H11" i="13"/>
  <c r="G32" i="13"/>
  <c r="K42" i="13"/>
  <c r="I51" i="13"/>
  <c r="M61" i="13"/>
  <c r="K72" i="13"/>
  <c r="M79" i="13"/>
  <c r="K91" i="13"/>
  <c r="L99" i="13"/>
  <c r="K109" i="13"/>
  <c r="L119" i="13"/>
  <c r="M127" i="13"/>
  <c r="F138" i="13"/>
  <c r="K146" i="13"/>
  <c r="K157" i="13"/>
  <c r="F168" i="13"/>
  <c r="H175" i="13"/>
  <c r="L183" i="13"/>
  <c r="G190" i="13"/>
  <c r="H198" i="13"/>
  <c r="M206" i="13"/>
  <c r="F212" i="13"/>
  <c r="K219" i="13"/>
  <c r="H224" i="13"/>
  <c r="J230" i="13"/>
  <c r="L235" i="13"/>
  <c r="H241" i="13"/>
  <c r="K251" i="13"/>
  <c r="G257" i="13"/>
  <c r="F261" i="13"/>
  <c r="J266" i="13"/>
  <c r="K270" i="13"/>
  <c r="M275" i="13"/>
  <c r="K279" i="13"/>
  <c r="F285" i="13"/>
  <c r="G289" i="13"/>
  <c r="G293" i="13"/>
  <c r="F301" i="13"/>
  <c r="J305" i="13"/>
  <c r="I309" i="13"/>
  <c r="F314" i="13"/>
  <c r="K317" i="13"/>
  <c r="H322" i="13"/>
  <c r="M325" i="13"/>
  <c r="I330" i="13"/>
  <c r="H334" i="13"/>
  <c r="J337" i="13"/>
  <c r="H342" i="13"/>
  <c r="F346" i="13"/>
  <c r="I350" i="13"/>
  <c r="K358" i="13"/>
  <c r="G362" i="13"/>
  <c r="I366" i="13"/>
  <c r="F370" i="13"/>
  <c r="H374" i="13"/>
  <c r="J377" i="13"/>
  <c r="F381" i="13"/>
  <c r="I385" i="13"/>
  <c r="M388" i="13"/>
  <c r="G393" i="13"/>
  <c r="I396" i="13"/>
  <c r="K400" i="13"/>
  <c r="H404" i="13"/>
  <c r="H408" i="13"/>
  <c r="I411" i="13"/>
  <c r="J418" i="13"/>
  <c r="L421" i="13"/>
  <c r="L425" i="13"/>
  <c r="L428" i="13"/>
  <c r="L432" i="13"/>
  <c r="G436" i="13"/>
  <c r="G440" i="13"/>
  <c r="G443" i="13"/>
  <c r="G447" i="13"/>
  <c r="M449" i="13"/>
  <c r="M452" i="13"/>
  <c r="H456" i="13"/>
  <c r="G459" i="13"/>
  <c r="M461" i="13"/>
  <c r="M464" i="13"/>
  <c r="L467" i="13"/>
  <c r="K470" i="13"/>
  <c r="H473" i="13"/>
  <c r="G476" i="13"/>
  <c r="G479" i="13"/>
  <c r="L481" i="13"/>
  <c r="K484" i="13"/>
  <c r="K22" i="13"/>
  <c r="M81" i="13"/>
  <c r="F102" i="13"/>
  <c r="H120" i="13"/>
  <c r="L139" i="13"/>
  <c r="G168" i="13"/>
  <c r="I175" i="13"/>
  <c r="H190" i="13"/>
  <c r="H212" i="13"/>
  <c r="G231" i="13"/>
  <c r="F247" i="13"/>
  <c r="K266" i="13"/>
  <c r="H280" i="13"/>
  <c r="F294" i="13"/>
  <c r="G314" i="13"/>
  <c r="I342" i="13"/>
  <c r="J385" i="13"/>
  <c r="J411" i="13"/>
  <c r="H436" i="13"/>
  <c r="G450" i="13"/>
  <c r="M467" i="13"/>
  <c r="M481" i="13"/>
  <c r="K11" i="13"/>
  <c r="G62" i="13"/>
  <c r="I73" i="13"/>
  <c r="F82" i="13"/>
  <c r="M91" i="13"/>
  <c r="G102" i="13"/>
  <c r="F110" i="13"/>
  <c r="I120" i="13"/>
  <c r="G129" i="13"/>
  <c r="M139" i="13"/>
  <c r="G150" i="13"/>
  <c r="F158" i="13"/>
  <c r="H168" i="13"/>
  <c r="G176" i="13"/>
  <c r="F184" i="13"/>
  <c r="M192" i="13"/>
  <c r="J198" i="13"/>
  <c r="G207" i="13"/>
  <c r="H213" i="13"/>
  <c r="M219" i="13"/>
  <c r="J224" i="13"/>
  <c r="H231" i="13"/>
  <c r="F236" i="13"/>
  <c r="L242" i="13"/>
  <c r="H247" i="13"/>
  <c r="L252" i="13"/>
  <c r="I257" i="13"/>
  <c r="J261" i="13"/>
  <c r="L266" i="13"/>
  <c r="F271" i="13"/>
  <c r="H276" i="13"/>
  <c r="J280" i="13"/>
  <c r="M285" i="13"/>
  <c r="I289" i="13"/>
  <c r="G294" i="13"/>
  <c r="F298" i="13"/>
  <c r="J302" i="13"/>
  <c r="F306" i="13"/>
  <c r="K309" i="13"/>
  <c r="H314" i="13"/>
  <c r="G318" i="13"/>
  <c r="K322" i="13"/>
  <c r="G326" i="13"/>
  <c r="K330" i="13"/>
  <c r="J334" i="13"/>
  <c r="F339" i="13"/>
  <c r="G347" i="13"/>
  <c r="I362" i="13"/>
  <c r="K366" i="13"/>
  <c r="H370" i="13"/>
  <c r="J374" i="13"/>
  <c r="F378" i="13"/>
  <c r="H382" i="13"/>
  <c r="K385" i="13"/>
  <c r="M389" i="13"/>
  <c r="J393" i="13"/>
  <c r="K396" i="13"/>
  <c r="M400" i="13"/>
  <c r="J404" i="13"/>
  <c r="J408" i="13"/>
  <c r="K415" i="13"/>
  <c r="L422" i="13"/>
  <c r="F433" i="13"/>
  <c r="I436" i="13"/>
  <c r="I440" i="13"/>
  <c r="J443" i="13"/>
  <c r="I447" i="13"/>
  <c r="H450" i="13"/>
  <c r="H453" i="13"/>
  <c r="K456" i="13"/>
  <c r="I459" i="13"/>
  <c r="G468" i="13"/>
  <c r="J473" i="13"/>
  <c r="L476" i="13"/>
  <c r="I479" i="13"/>
  <c r="M484" i="13"/>
  <c r="K487" i="13"/>
  <c r="F12" i="13"/>
  <c r="K73" i="13"/>
  <c r="H102" i="13"/>
  <c r="I168" i="13"/>
  <c r="H207" i="13"/>
  <c r="I231" i="13"/>
  <c r="F243" i="13"/>
  <c r="M262" i="13"/>
  <c r="M266" i="13"/>
  <c r="J276" i="13"/>
  <c r="H294" i="13"/>
  <c r="G298" i="13"/>
  <c r="K302" i="13"/>
  <c r="M310" i="13"/>
  <c r="H326" i="13"/>
  <c r="L330" i="13"/>
  <c r="K334" i="13"/>
  <c r="G339" i="13"/>
  <c r="H359" i="13"/>
  <c r="J362" i="13"/>
  <c r="L366" i="13"/>
  <c r="I370" i="13"/>
  <c r="L385" i="13"/>
  <c r="K393" i="13"/>
  <c r="M397" i="13"/>
  <c r="K404" i="13"/>
  <c r="L411" i="13"/>
  <c r="F419" i="13"/>
  <c r="G426" i="13"/>
  <c r="I433" i="13"/>
  <c r="G437" i="13"/>
  <c r="J440" i="13"/>
  <c r="J447" i="13"/>
  <c r="L456" i="13"/>
  <c r="J459" i="13"/>
  <c r="K462" i="13"/>
  <c r="H468" i="13"/>
  <c r="F471" i="13"/>
  <c r="J479" i="13"/>
  <c r="H482" i="13"/>
  <c r="J12" i="13"/>
  <c r="H64" i="13"/>
  <c r="H74" i="13"/>
  <c r="F84" i="13"/>
  <c r="H92" i="13"/>
  <c r="J102" i="13"/>
  <c r="M110" i="13"/>
  <c r="M121" i="13"/>
  <c r="H132" i="13"/>
  <c r="J140" i="13"/>
  <c r="I150" i="13"/>
  <c r="J158" i="13"/>
  <c r="J168" i="13"/>
  <c r="K178" i="13"/>
  <c r="H193" i="13"/>
  <c r="H200" i="13"/>
  <c r="I207" i="13"/>
  <c r="G220" i="13"/>
  <c r="L231" i="13"/>
  <c r="H237" i="13"/>
  <c r="K247" i="13"/>
  <c r="K9" i="13"/>
  <c r="H22" i="13"/>
  <c r="L31" i="13"/>
  <c r="F42" i="13"/>
  <c r="G51" i="13"/>
  <c r="K61" i="13"/>
  <c r="J72" i="13"/>
  <c r="L79" i="13"/>
  <c r="K90" i="13"/>
  <c r="K99" i="13"/>
  <c r="H109" i="13"/>
  <c r="K119" i="13"/>
  <c r="K127" i="13"/>
  <c r="L137" i="13"/>
  <c r="J146" i="13"/>
  <c r="G157" i="13"/>
  <c r="K167" i="13"/>
  <c r="F175" i="13"/>
  <c r="G183" i="13"/>
  <c r="F190" i="13"/>
  <c r="G198" i="13"/>
  <c r="J204" i="13"/>
  <c r="M211" i="13"/>
  <c r="K218" i="13"/>
  <c r="G224" i="13"/>
  <c r="G229" i="13"/>
  <c r="K235" i="13"/>
  <c r="M240" i="13"/>
  <c r="K246" i="13"/>
  <c r="H251" i="13"/>
  <c r="K256" i="13"/>
  <c r="M260" i="13"/>
  <c r="G266" i="13"/>
  <c r="J270" i="13"/>
  <c r="K275" i="13"/>
  <c r="J279" i="13"/>
  <c r="F284" i="13"/>
  <c r="F289" i="13"/>
  <c r="M292" i="13"/>
  <c r="J297" i="13"/>
  <c r="M300" i="13"/>
  <c r="I305" i="13"/>
  <c r="H309" i="13"/>
  <c r="M313" i="13"/>
  <c r="H317" i="13"/>
  <c r="M321" i="13"/>
  <c r="K325" i="13"/>
  <c r="J329" i="13"/>
  <c r="G334" i="13"/>
  <c r="I337" i="13"/>
  <c r="F342" i="13"/>
  <c r="M345" i="13"/>
  <c r="H350" i="13"/>
  <c r="K353" i="13"/>
  <c r="H358" i="13"/>
  <c r="F362" i="13"/>
  <c r="H366" i="13"/>
  <c r="M369" i="13"/>
  <c r="F373" i="13"/>
  <c r="I377" i="13"/>
  <c r="M380" i="13"/>
  <c r="G385" i="13"/>
  <c r="K388" i="13"/>
  <c r="M392" i="13"/>
  <c r="H396" i="13"/>
  <c r="J400" i="13"/>
  <c r="G404" i="13"/>
  <c r="G408" i="13"/>
  <c r="G411" i="13"/>
  <c r="J414" i="13"/>
  <c r="I418" i="13"/>
  <c r="K421" i="13"/>
  <c r="K425" i="13"/>
  <c r="K428" i="13"/>
  <c r="K432" i="13"/>
  <c r="F436" i="13"/>
  <c r="M439" i="13"/>
  <c r="F443" i="13"/>
  <c r="F447" i="13"/>
  <c r="L449" i="13"/>
  <c r="L452" i="13"/>
  <c r="G456" i="13"/>
  <c r="F459" i="13"/>
  <c r="L461" i="13"/>
  <c r="L464" i="13"/>
  <c r="K467" i="13"/>
  <c r="J470" i="13"/>
  <c r="G473" i="13"/>
  <c r="L475" i="13"/>
  <c r="F479" i="13"/>
  <c r="K481" i="13"/>
  <c r="J484" i="13"/>
  <c r="G487" i="13"/>
  <c r="J22" i="13"/>
  <c r="L246" i="13"/>
  <c r="K297" i="13"/>
  <c r="G354" i="13"/>
  <c r="I415" i="13"/>
  <c r="H487" i="13"/>
  <c r="H32" i="13"/>
  <c r="M109" i="13"/>
  <c r="M157" i="13"/>
  <c r="I198" i="13"/>
  <c r="L219" i="13"/>
  <c r="M235" i="13"/>
  <c r="L251" i="13"/>
  <c r="G261" i="13"/>
  <c r="G276" i="13"/>
  <c r="H289" i="13"/>
  <c r="G301" i="13"/>
  <c r="K305" i="13"/>
  <c r="F318" i="13"/>
  <c r="F326" i="13"/>
  <c r="J330" i="13"/>
  <c r="M338" i="13"/>
  <c r="G346" i="13"/>
  <c r="I354" i="13"/>
  <c r="H362" i="13"/>
  <c r="G370" i="13"/>
  <c r="I374" i="13"/>
  <c r="M381" i="13"/>
  <c r="I393" i="13"/>
  <c r="J396" i="13"/>
  <c r="I404" i="13"/>
  <c r="I408" i="13"/>
  <c r="L418" i="13"/>
  <c r="K422" i="13"/>
  <c r="M425" i="13"/>
  <c r="M432" i="13"/>
  <c r="H440" i="13"/>
  <c r="H447" i="13"/>
  <c r="F453" i="13"/>
  <c r="H459" i="13"/>
  <c r="L470" i="13"/>
  <c r="H476" i="13"/>
  <c r="H479" i="13"/>
  <c r="L484" i="13"/>
  <c r="J487" i="13"/>
  <c r="G23" i="13"/>
  <c r="J354" i="13"/>
  <c r="F426" i="13"/>
  <c r="G482" i="13"/>
  <c r="H55" i="13"/>
  <c r="I121" i="13"/>
  <c r="J178" i="13"/>
  <c r="F220" i="13"/>
  <c r="I247" i="13"/>
  <c r="L280" i="13"/>
  <c r="J314" i="13"/>
  <c r="H347" i="13"/>
  <c r="F390" i="13"/>
  <c r="G430" i="13"/>
  <c r="J465" i="13"/>
  <c r="F16" i="13"/>
  <c r="H37" i="13"/>
  <c r="I66" i="13"/>
  <c r="M86" i="13"/>
  <c r="J114" i="13"/>
  <c r="M140" i="13"/>
  <c r="I163" i="13"/>
  <c r="I187" i="13"/>
  <c r="G208" i="13"/>
  <c r="G221" i="13"/>
  <c r="J238" i="13"/>
  <c r="M249" i="13"/>
  <c r="F263" i="13"/>
  <c r="M272" i="13"/>
  <c r="I282" i="13"/>
  <c r="M291" i="13"/>
  <c r="M302" i="13"/>
  <c r="J311" i="13"/>
  <c r="H320" i="13"/>
  <c r="M330" i="13"/>
  <c r="J339" i="13"/>
  <c r="G348" i="13"/>
  <c r="L356" i="13"/>
  <c r="I367" i="13"/>
  <c r="G375" i="13"/>
  <c r="I383" i="13"/>
  <c r="L393" i="13"/>
  <c r="M401" i="13"/>
  <c r="I409" i="13"/>
  <c r="M416" i="13"/>
  <c r="I426" i="13"/>
  <c r="F434" i="13"/>
  <c r="H442" i="13"/>
  <c r="K450" i="13"/>
  <c r="G457" i="13"/>
  <c r="J463" i="13"/>
  <c r="I469" i="13"/>
  <c r="G477" i="13"/>
  <c r="F483" i="13"/>
  <c r="L74" i="13"/>
  <c r="K420" i="13"/>
  <c r="I48" i="13"/>
  <c r="H126" i="13"/>
  <c r="G151" i="13"/>
  <c r="G179" i="13"/>
  <c r="L194" i="13"/>
  <c r="F215" i="13"/>
  <c r="K227" i="13"/>
  <c r="M243" i="13"/>
  <c r="J254" i="13"/>
  <c r="H267" i="13"/>
  <c r="M276" i="13"/>
  <c r="L286" i="13"/>
  <c r="K295" i="13"/>
  <c r="L306" i="13"/>
  <c r="F315" i="13"/>
  <c r="K323" i="13"/>
  <c r="L334" i="13"/>
  <c r="I343" i="13"/>
  <c r="K352" i="13"/>
  <c r="I361" i="13"/>
  <c r="K371" i="13"/>
  <c r="J379" i="13"/>
  <c r="F398" i="13"/>
  <c r="F406" i="13"/>
  <c r="I413" i="13"/>
  <c r="M420" i="13"/>
  <c r="I430" i="13"/>
  <c r="F438" i="13"/>
  <c r="M453" i="13"/>
  <c r="G460" i="13"/>
  <c r="H466" i="13"/>
  <c r="J472" i="13"/>
  <c r="M485" i="13"/>
  <c r="F26" i="13"/>
  <c r="J126" i="13"/>
  <c r="I151" i="13"/>
  <c r="H179" i="13"/>
  <c r="M194" i="13"/>
  <c r="G215" i="13"/>
  <c r="I228" i="13"/>
  <c r="F244" i="13"/>
  <c r="L254" i="13"/>
  <c r="J267" i="13"/>
  <c r="F277" i="13"/>
  <c r="M286" i="13"/>
  <c r="H298" i="13"/>
  <c r="M306" i="13"/>
  <c r="I315" i="13"/>
  <c r="M324" i="13"/>
  <c r="M334" i="13"/>
  <c r="I344" i="13"/>
  <c r="M352" i="13"/>
  <c r="L363" i="13"/>
  <c r="M371" i="13"/>
  <c r="K379" i="13"/>
  <c r="L387" i="13"/>
  <c r="G398" i="13"/>
  <c r="J413" i="13"/>
  <c r="G423" i="13"/>
  <c r="J430" i="13"/>
  <c r="G438" i="13"/>
  <c r="J445" i="13"/>
  <c r="G454" i="13"/>
  <c r="L460" i="13"/>
  <c r="J466" i="13"/>
  <c r="M473" i="13"/>
  <c r="G486" i="13"/>
  <c r="H26" i="13"/>
  <c r="I132" i="13"/>
  <c r="M152" i="13"/>
  <c r="I179" i="13"/>
  <c r="I200" i="13"/>
  <c r="I215" i="13"/>
  <c r="H232" i="13"/>
  <c r="G244" i="13"/>
  <c r="M257" i="13"/>
  <c r="K267" i="13"/>
  <c r="G277" i="13"/>
  <c r="F287" i="13"/>
  <c r="I298" i="13"/>
  <c r="F307" i="13"/>
  <c r="I316" i="13"/>
  <c r="I326" i="13"/>
  <c r="H336" i="13"/>
  <c r="J344" i="13"/>
  <c r="F353" i="13"/>
  <c r="M363" i="13"/>
  <c r="F372" i="13"/>
  <c r="L379" i="13"/>
  <c r="G390" i="13"/>
  <c r="H398" i="13"/>
  <c r="H406" i="13"/>
  <c r="K413" i="13"/>
  <c r="I423" i="13"/>
  <c r="K430" i="13"/>
  <c r="H438" i="13"/>
  <c r="K447" i="13"/>
  <c r="H454" i="13"/>
  <c r="M460" i="13"/>
  <c r="K466" i="13"/>
  <c r="J474" i="13"/>
  <c r="G480" i="13"/>
  <c r="H486" i="13"/>
  <c r="L28" i="13"/>
  <c r="K132" i="13"/>
  <c r="H153" i="13"/>
  <c r="K179" i="13"/>
  <c r="L201" i="13"/>
  <c r="K216" i="13"/>
  <c r="J232" i="13"/>
  <c r="H244" i="13"/>
  <c r="F258" i="13"/>
  <c r="F268" i="13"/>
  <c r="K277" i="13"/>
  <c r="K289" i="13"/>
  <c r="J298" i="13"/>
  <c r="M307" i="13"/>
  <c r="K316" i="13"/>
  <c r="K327" i="13"/>
  <c r="I336" i="13"/>
  <c r="K344" i="13"/>
  <c r="J355" i="13"/>
  <c r="F364" i="13"/>
  <c r="G372" i="13"/>
  <c r="G380" i="13"/>
  <c r="H390" i="13"/>
  <c r="I398" i="13"/>
  <c r="I406" i="13"/>
  <c r="M415" i="13"/>
  <c r="I16" i="13"/>
  <c r="M37" i="13"/>
  <c r="J66" i="13"/>
  <c r="M92" i="13"/>
  <c r="G115" i="13"/>
  <c r="G144" i="13"/>
  <c r="K168" i="13"/>
  <c r="M187" i="13"/>
  <c r="H208" i="13"/>
  <c r="F223" i="13"/>
  <c r="K238" i="13"/>
  <c r="F250" i="13"/>
  <c r="G263" i="13"/>
  <c r="G273" i="13"/>
  <c r="M282" i="13"/>
  <c r="I294" i="13"/>
  <c r="F303" i="13"/>
  <c r="K311" i="13"/>
  <c r="I320" i="13"/>
  <c r="H331" i="13"/>
  <c r="K339" i="13"/>
  <c r="H348" i="13"/>
  <c r="I359" i="13"/>
  <c r="K367" i="13"/>
  <c r="I375" i="13"/>
  <c r="J383" i="13"/>
  <c r="M393" i="13"/>
  <c r="F402" i="13"/>
  <c r="J409" i="13"/>
  <c r="G419" i="13"/>
  <c r="J426" i="13"/>
  <c r="L434" i="13"/>
  <c r="I442" i="13"/>
  <c r="L450" i="13"/>
  <c r="H457" i="13"/>
  <c r="K463" i="13"/>
  <c r="G471" i="13"/>
  <c r="H477" i="13"/>
  <c r="G483" i="13"/>
  <c r="I78" i="13"/>
  <c r="L103" i="13"/>
  <c r="K103" i="13"/>
  <c r="G104" i="13"/>
  <c r="M479" i="13"/>
  <c r="G75" i="13"/>
  <c r="L479" i="13"/>
  <c r="K387" i="13"/>
  <c r="L24" i="13"/>
  <c r="L485" i="13"/>
  <c r="K479" i="13"/>
  <c r="H472" i="13"/>
  <c r="G466" i="13"/>
  <c r="L459" i="13"/>
  <c r="M451" i="13"/>
  <c r="G445" i="13"/>
  <c r="L437" i="13"/>
  <c r="G413" i="13"/>
  <c r="L405" i="13"/>
  <c r="K395" i="13"/>
  <c r="J387" i="13"/>
  <c r="I379" i="13"/>
  <c r="J370" i="13"/>
  <c r="G361" i="13"/>
  <c r="I351" i="13"/>
  <c r="H343" i="13"/>
  <c r="H332" i="13"/>
  <c r="J323" i="13"/>
  <c r="M314" i="13"/>
  <c r="K306" i="13"/>
  <c r="J295" i="13"/>
  <c r="J286" i="13"/>
  <c r="L276" i="13"/>
  <c r="H264" i="13"/>
  <c r="H254" i="13"/>
  <c r="L243" i="13"/>
  <c r="G227" i="13"/>
  <c r="L214" i="13"/>
  <c r="K194" i="13"/>
  <c r="I173" i="13"/>
  <c r="K150" i="13"/>
  <c r="G123" i="13"/>
  <c r="L96" i="13"/>
  <c r="I24" i="13"/>
  <c r="I485" i="13"/>
  <c r="L477" i="13"/>
  <c r="G472" i="13"/>
  <c r="M465" i="13"/>
  <c r="K459" i="13"/>
  <c r="L451" i="13"/>
  <c r="F445" i="13"/>
  <c r="K437" i="13"/>
  <c r="F428" i="13"/>
  <c r="J420" i="13"/>
  <c r="F413" i="13"/>
  <c r="K405" i="13"/>
  <c r="J395" i="13"/>
  <c r="I387" i="13"/>
  <c r="J378" i="13"/>
  <c r="L368" i="13"/>
  <c r="F360" i="13"/>
  <c r="H351" i="13"/>
  <c r="G343" i="13"/>
  <c r="G332" i="13"/>
  <c r="I323" i="13"/>
  <c r="L314" i="13"/>
  <c r="J303" i="13"/>
  <c r="I295" i="13"/>
  <c r="I286" i="13"/>
  <c r="K276" i="13"/>
  <c r="G264" i="13"/>
  <c r="F254" i="13"/>
  <c r="K243" i="13"/>
  <c r="F227" i="13"/>
  <c r="K214" i="13"/>
  <c r="J194" i="13"/>
  <c r="J172" i="13"/>
  <c r="J150" i="13"/>
  <c r="M122" i="13"/>
  <c r="K96" i="13"/>
  <c r="I74" i="13"/>
  <c r="G48" i="13"/>
  <c r="H17" i="13"/>
  <c r="H485" i="13"/>
  <c r="K477" i="13"/>
  <c r="K471" i="13"/>
  <c r="L465" i="13"/>
  <c r="L457" i="13"/>
  <c r="K451" i="13"/>
  <c r="M444" i="13"/>
  <c r="I437" i="13"/>
  <c r="M427" i="13"/>
  <c r="H420" i="13"/>
  <c r="M412" i="13"/>
  <c r="F403" i="13"/>
  <c r="I395" i="13"/>
  <c r="G386" i="13"/>
  <c r="I378" i="13"/>
  <c r="F368" i="13"/>
  <c r="M359" i="13"/>
  <c r="G351" i="13"/>
  <c r="J340" i="13"/>
  <c r="F332" i="13"/>
  <c r="H323" i="13"/>
  <c r="K314" i="13"/>
  <c r="I303" i="13"/>
  <c r="H295" i="13"/>
  <c r="H286" i="13"/>
  <c r="K273" i="13"/>
  <c r="K263" i="13"/>
  <c r="I253" i="13"/>
  <c r="H239" i="13"/>
  <c r="M226" i="13"/>
  <c r="M210" i="13"/>
  <c r="H194" i="13"/>
  <c r="G171" i="13"/>
  <c r="K144" i="13"/>
  <c r="L122" i="13"/>
  <c r="H96" i="13"/>
  <c r="H68" i="13"/>
  <c r="L47" i="13"/>
  <c r="M16" i="13"/>
  <c r="K483" i="13"/>
  <c r="J477" i="13"/>
  <c r="J471" i="13"/>
  <c r="K465" i="13"/>
  <c r="J457" i="13"/>
  <c r="J451" i="13"/>
  <c r="L444" i="13"/>
  <c r="F435" i="13"/>
  <c r="L427" i="13"/>
  <c r="G420" i="13"/>
  <c r="F412" i="13"/>
  <c r="M402" i="13"/>
  <c r="G394" i="13"/>
  <c r="F386" i="13"/>
  <c r="M375" i="13"/>
  <c r="M367" i="13"/>
  <c r="K359" i="13"/>
  <c r="F351" i="13"/>
  <c r="G340" i="13"/>
  <c r="M331" i="13"/>
  <c r="G323" i="13"/>
  <c r="F312" i="13"/>
  <c r="H303" i="13"/>
  <c r="M294" i="13"/>
  <c r="G286" i="13"/>
  <c r="I273" i="13"/>
  <c r="I263" i="13"/>
  <c r="G253" i="13"/>
  <c r="G239" i="13"/>
  <c r="L226" i="13"/>
  <c r="M208" i="13"/>
  <c r="G194" i="13"/>
  <c r="M170" i="13"/>
  <c r="J144" i="13"/>
  <c r="F122" i="13"/>
  <c r="G96" i="13"/>
  <c r="G68" i="13"/>
  <c r="I45" i="13"/>
  <c r="L16" i="13"/>
  <c r="L55" i="13"/>
  <c r="G406" i="13"/>
  <c r="K55" i="13"/>
  <c r="I445" i="13"/>
  <c r="M74" i="13"/>
  <c r="H430" i="13"/>
  <c r="H48" i="13"/>
  <c r="J483" i="13"/>
  <c r="I477" i="13"/>
  <c r="H471" i="13"/>
  <c r="L463" i="13"/>
  <c r="I457" i="13"/>
  <c r="F451" i="13"/>
  <c r="K444" i="13"/>
  <c r="M434" i="13"/>
  <c r="K427" i="13"/>
  <c r="I419" i="13"/>
  <c r="J410" i="13"/>
  <c r="G402" i="13"/>
  <c r="F394" i="13"/>
  <c r="M385" i="13"/>
  <c r="J375" i="13"/>
  <c r="L367" i="13"/>
  <c r="J359" i="13"/>
  <c r="I348" i="13"/>
  <c r="M339" i="13"/>
  <c r="K331" i="13"/>
  <c r="F323" i="13"/>
  <c r="M311" i="13"/>
  <c r="G303" i="13"/>
  <c r="J294" i="13"/>
  <c r="G283" i="13"/>
  <c r="H273" i="13"/>
  <c r="H263" i="13"/>
  <c r="F253" i="13"/>
  <c r="F239" i="13"/>
  <c r="L225" i="13"/>
  <c r="I208" i="13"/>
  <c r="F188" i="13"/>
  <c r="M168" i="13"/>
  <c r="I144" i="13"/>
  <c r="I115" i="13"/>
  <c r="G93" i="13"/>
  <c r="K66" i="13"/>
  <c r="H45" i="13"/>
  <c r="K16" i="13"/>
  <c r="E2" i="13"/>
  <c r="G414" i="12"/>
  <c r="G353" i="12"/>
  <c r="G268" i="12"/>
  <c r="G160" i="12"/>
  <c r="G59" i="12"/>
  <c r="E511" i="12"/>
  <c r="F492" i="12"/>
  <c r="E477" i="12"/>
  <c r="E458" i="12"/>
  <c r="E442" i="12"/>
  <c r="F420" i="12"/>
  <c r="E399" i="12"/>
  <c r="E381" i="12"/>
  <c r="F355" i="12"/>
  <c r="E330" i="12"/>
  <c r="E302" i="12"/>
  <c r="F273" i="12"/>
  <c r="F247" i="12"/>
  <c r="E216" i="12"/>
  <c r="F188" i="12"/>
  <c r="E155" i="12"/>
  <c r="F119" i="12"/>
  <c r="F84" i="12"/>
  <c r="E57" i="12"/>
  <c r="E21" i="12"/>
  <c r="G488" i="12"/>
  <c r="G412" i="12"/>
  <c r="G334" i="12"/>
  <c r="G239" i="12"/>
  <c r="G138" i="12"/>
  <c r="G37" i="12"/>
  <c r="E20" i="12"/>
  <c r="G478" i="12"/>
  <c r="G404" i="12"/>
  <c r="G331" i="12"/>
  <c r="G235" i="12"/>
  <c r="G134" i="12"/>
  <c r="G22" i="12"/>
  <c r="E508" i="12"/>
  <c r="E491" i="12"/>
  <c r="E475" i="12"/>
  <c r="E455" i="12"/>
  <c r="F435" i="12"/>
  <c r="F418" i="12"/>
  <c r="F395" i="12"/>
  <c r="F377" i="12"/>
  <c r="F353" i="12"/>
  <c r="F322" i="12"/>
  <c r="E299" i="12"/>
  <c r="E268" i="12"/>
  <c r="E241" i="12"/>
  <c r="F210" i="12"/>
  <c r="E176" i="12"/>
  <c r="E149" i="12"/>
  <c r="E116" i="12"/>
  <c r="F81" i="12"/>
  <c r="E46" i="12"/>
  <c r="E11" i="12"/>
  <c r="G472" i="12"/>
  <c r="G399" i="12"/>
  <c r="G326" i="12"/>
  <c r="G234" i="12"/>
  <c r="G130" i="12"/>
  <c r="G21" i="12"/>
  <c r="F507" i="12"/>
  <c r="F490" i="12"/>
  <c r="E470" i="12"/>
  <c r="E454" i="12"/>
  <c r="E435" i="12"/>
  <c r="E418" i="12"/>
  <c r="E395" i="12"/>
  <c r="F372" i="12"/>
  <c r="F350" i="12"/>
  <c r="E322" i="12"/>
  <c r="F298" i="12"/>
  <c r="F267" i="12"/>
  <c r="F236" i="12"/>
  <c r="E210" i="12"/>
  <c r="F175" i="12"/>
  <c r="E140" i="12"/>
  <c r="E112" i="12"/>
  <c r="F79" i="12"/>
  <c r="E45" i="12"/>
  <c r="E10" i="12"/>
  <c r="G470" i="12"/>
  <c r="G396" i="12"/>
  <c r="G325" i="12"/>
  <c r="G228" i="12"/>
  <c r="G123" i="12"/>
  <c r="G18" i="12"/>
  <c r="E507" i="12"/>
  <c r="F489" i="12"/>
  <c r="F469" i="12"/>
  <c r="E453" i="12"/>
  <c r="F434" i="12"/>
  <c r="F417" i="12"/>
  <c r="E394" i="12"/>
  <c r="E372" i="12"/>
  <c r="F347" i="12"/>
  <c r="F319" i="12"/>
  <c r="F295" i="12"/>
  <c r="E267" i="12"/>
  <c r="E235" i="12"/>
  <c r="F207" i="12"/>
  <c r="F174" i="12"/>
  <c r="F139" i="12"/>
  <c r="F111" i="12"/>
  <c r="E76" i="12"/>
  <c r="F44" i="12"/>
  <c r="F9" i="12"/>
  <c r="G454" i="12"/>
  <c r="G394" i="12"/>
  <c r="G320" i="12"/>
  <c r="G222" i="12"/>
  <c r="G122" i="12"/>
  <c r="G4" i="12"/>
  <c r="G24" i="12"/>
  <c r="G76" i="12"/>
  <c r="G117" i="12"/>
  <c r="G161" i="12"/>
  <c r="G209" i="12"/>
  <c r="G255" i="12"/>
  <c r="G298" i="12"/>
  <c r="G335" i="12"/>
  <c r="G371" i="12"/>
  <c r="G405" i="12"/>
  <c r="G437" i="12"/>
  <c r="G475" i="12"/>
  <c r="G508" i="12"/>
  <c r="F17" i="12"/>
  <c r="F33" i="12"/>
  <c r="E48" i="12"/>
  <c r="E65" i="12"/>
  <c r="E82" i="12"/>
  <c r="E98" i="12"/>
  <c r="E113" i="12"/>
  <c r="E130" i="12"/>
  <c r="F146" i="12"/>
  <c r="F163" i="12"/>
  <c r="F179" i="12"/>
  <c r="F194" i="12"/>
  <c r="E211" i="12"/>
  <c r="E228" i="12"/>
  <c r="E244" i="12"/>
  <c r="E259" i="12"/>
  <c r="E276" i="12"/>
  <c r="F291" i="12"/>
  <c r="E305" i="12"/>
  <c r="E320" i="12"/>
  <c r="F335" i="12"/>
  <c r="E349" i="12"/>
  <c r="F364" i="12"/>
  <c r="E377" i="12"/>
  <c r="E390" i="12"/>
  <c r="F401" i="12"/>
  <c r="E413" i="12"/>
  <c r="F426" i="12"/>
  <c r="F436" i="12"/>
  <c r="E447" i="12"/>
  <c r="F458" i="12"/>
  <c r="F468" i="12"/>
  <c r="E479" i="12"/>
  <c r="E490" i="12"/>
  <c r="F499" i="12"/>
  <c r="E509" i="12"/>
  <c r="G32" i="12"/>
  <c r="G78" i="12"/>
  <c r="G120" i="12"/>
  <c r="G162" i="12"/>
  <c r="G213" i="12"/>
  <c r="G256" i="12"/>
  <c r="G299" i="12"/>
  <c r="G337" i="12"/>
  <c r="G372" i="12"/>
  <c r="G410" i="12"/>
  <c r="G444" i="12"/>
  <c r="G476" i="12"/>
  <c r="G510" i="12"/>
  <c r="E18" i="12"/>
  <c r="E34" i="12"/>
  <c r="E49" i="12"/>
  <c r="E66" i="12"/>
  <c r="F82" i="12"/>
  <c r="F99" i="12"/>
  <c r="F115" i="12"/>
  <c r="F130" i="12"/>
  <c r="E147" i="12"/>
  <c r="E164" i="12"/>
  <c r="E180" i="12"/>
  <c r="E195" i="12"/>
  <c r="E212" i="12"/>
  <c r="F228" i="12"/>
  <c r="E246" i="12"/>
  <c r="E262" i="12"/>
  <c r="F276" i="12"/>
  <c r="E292" i="12"/>
  <c r="F307" i="12"/>
  <c r="E321" i="12"/>
  <c r="E336" i="12"/>
  <c r="E350" i="12"/>
  <c r="E365" i="12"/>
  <c r="G38" i="12"/>
  <c r="G91" i="12"/>
  <c r="G140" i="12"/>
  <c r="G194" i="12"/>
  <c r="G240" i="12"/>
  <c r="G293" i="12"/>
  <c r="G338" i="12"/>
  <c r="G378" i="12"/>
  <c r="G417" i="12"/>
  <c r="G456" i="12"/>
  <c r="G495" i="12"/>
  <c r="F11" i="12"/>
  <c r="E30" i="12"/>
  <c r="F51" i="12"/>
  <c r="E70" i="12"/>
  <c r="E88" i="12"/>
  <c r="F106" i="12"/>
  <c r="F124" i="12"/>
  <c r="E143" i="12"/>
  <c r="F161" i="12"/>
  <c r="E182" i="12"/>
  <c r="G42" i="12"/>
  <c r="G96" i="12"/>
  <c r="G142" i="12"/>
  <c r="G195" i="12"/>
  <c r="G241" i="12"/>
  <c r="G294" i="12"/>
  <c r="G339" i="12"/>
  <c r="G379" i="12"/>
  <c r="G418" i="12"/>
  <c r="G458" i="12"/>
  <c r="G496" i="12"/>
  <c r="E12" i="12"/>
  <c r="F30" i="12"/>
  <c r="E52" i="12"/>
  <c r="F70" i="12"/>
  <c r="E89" i="12"/>
  <c r="E107" i="12"/>
  <c r="E125" i="12"/>
  <c r="F143" i="12"/>
  <c r="E162" i="12"/>
  <c r="F182" i="12"/>
  <c r="E201" i="12"/>
  <c r="E219" i="12"/>
  <c r="E237" i="12"/>
  <c r="F255" i="12"/>
  <c r="E274" i="12"/>
  <c r="F290" i="12"/>
  <c r="F308" i="12"/>
  <c r="E326" i="12"/>
  <c r="F340" i="12"/>
  <c r="E357" i="12"/>
  <c r="E373" i="12"/>
  <c r="E386" i="12"/>
  <c r="F399" i="12"/>
  <c r="F411" i="12"/>
  <c r="E426" i="12"/>
  <c r="E437" i="12"/>
  <c r="E448" i="12"/>
  <c r="E460" i="12"/>
  <c r="E471" i="12"/>
  <c r="E483" i="12"/>
  <c r="E493" i="12"/>
  <c r="F503" i="12"/>
  <c r="F514" i="12"/>
  <c r="G98" i="12"/>
  <c r="G306" i="12"/>
  <c r="G426" i="12"/>
  <c r="G502" i="12"/>
  <c r="E36" i="12"/>
  <c r="E91" i="12"/>
  <c r="F127" i="12"/>
  <c r="F183" i="12"/>
  <c r="F238" i="12"/>
  <c r="E293" i="12"/>
  <c r="E327" i="12"/>
  <c r="F374" i="12"/>
  <c r="E414" i="12"/>
  <c r="F450" i="12"/>
  <c r="E472" i="12"/>
  <c r="F505" i="12"/>
  <c r="F166" i="12"/>
  <c r="F294" i="12"/>
  <c r="F359" i="12"/>
  <c r="F414" i="12"/>
  <c r="E451" i="12"/>
  <c r="E495" i="12"/>
  <c r="G101" i="12"/>
  <c r="G156" i="12"/>
  <c r="G259" i="12"/>
  <c r="G390" i="12"/>
  <c r="E19" i="12"/>
  <c r="E74" i="12"/>
  <c r="E129" i="12"/>
  <c r="F185" i="12"/>
  <c r="E222" i="12"/>
  <c r="E280" i="12"/>
  <c r="E329" i="12"/>
  <c r="F375" i="12"/>
  <c r="E417" i="12"/>
  <c r="F451" i="12"/>
  <c r="E485" i="12"/>
  <c r="G58" i="12"/>
  <c r="G214" i="12"/>
  <c r="G314" i="12"/>
  <c r="G43" i="12"/>
  <c r="G97" i="12"/>
  <c r="G143" i="12"/>
  <c r="G196" i="12"/>
  <c r="G248" i="12"/>
  <c r="G300" i="12"/>
  <c r="G346" i="12"/>
  <c r="G385" i="12"/>
  <c r="G424" i="12"/>
  <c r="G464" i="12"/>
  <c r="G501" i="12"/>
  <c r="E15" i="12"/>
  <c r="F35" i="12"/>
  <c r="E54" i="12"/>
  <c r="E72" i="12"/>
  <c r="F90" i="12"/>
  <c r="F108" i="12"/>
  <c r="E127" i="12"/>
  <c r="F145" i="12"/>
  <c r="F164" i="12"/>
  <c r="E183" i="12"/>
  <c r="F201" i="12"/>
  <c r="F219" i="12"/>
  <c r="E238" i="12"/>
  <c r="E256" i="12"/>
  <c r="F274" i="12"/>
  <c r="F292" i="12"/>
  <c r="E310" i="12"/>
  <c r="F326" i="12"/>
  <c r="E341" i="12"/>
  <c r="F358" i="12"/>
  <c r="E374" i="12"/>
  <c r="F386" i="12"/>
  <c r="E400" i="12"/>
  <c r="E412" i="12"/>
  <c r="E427" i="12"/>
  <c r="F437" i="12"/>
  <c r="E450" i="12"/>
  <c r="F460" i="12"/>
  <c r="F471" i="12"/>
  <c r="F483" i="12"/>
  <c r="F493" i="12"/>
  <c r="E504" i="12"/>
  <c r="E515" i="12"/>
  <c r="G149" i="12"/>
  <c r="G254" i="12"/>
  <c r="G347" i="12"/>
  <c r="G465" i="12"/>
  <c r="F15" i="12"/>
  <c r="E73" i="12"/>
  <c r="E109" i="12"/>
  <c r="E165" i="12"/>
  <c r="E220" i="12"/>
  <c r="E257" i="12"/>
  <c r="F310" i="12"/>
  <c r="E359" i="12"/>
  <c r="E401" i="12"/>
  <c r="E438" i="12"/>
  <c r="E494" i="12"/>
  <c r="E148" i="12"/>
  <c r="E258" i="12"/>
  <c r="E328" i="12"/>
  <c r="E389" i="12"/>
  <c r="E439" i="12"/>
  <c r="F484" i="12"/>
  <c r="G56" i="12"/>
  <c r="G202" i="12"/>
  <c r="G352" i="12"/>
  <c r="G431" i="12"/>
  <c r="G507" i="12"/>
  <c r="E37" i="12"/>
  <c r="E92" i="12"/>
  <c r="F148" i="12"/>
  <c r="F203" i="12"/>
  <c r="F258" i="12"/>
  <c r="F311" i="12"/>
  <c r="F362" i="12"/>
  <c r="F402" i="12"/>
  <c r="F439" i="12"/>
  <c r="F474" i="12"/>
  <c r="F506" i="12"/>
  <c r="G102" i="12"/>
  <c r="G158" i="12"/>
  <c r="G260" i="12"/>
  <c r="G44" i="12"/>
  <c r="G198" i="12"/>
  <c r="G386" i="12"/>
  <c r="F54" i="12"/>
  <c r="E146" i="12"/>
  <c r="E202" i="12"/>
  <c r="E275" i="12"/>
  <c r="E344" i="12"/>
  <c r="E387" i="12"/>
  <c r="F427" i="12"/>
  <c r="E461" i="12"/>
  <c r="E484" i="12"/>
  <c r="F515" i="12"/>
  <c r="E203" i="12"/>
  <c r="E311" i="12"/>
  <c r="E375" i="12"/>
  <c r="E428" i="12"/>
  <c r="E474" i="12"/>
  <c r="E506" i="12"/>
  <c r="G312" i="12"/>
  <c r="G469" i="12"/>
  <c r="F55" i="12"/>
  <c r="F110" i="12"/>
  <c r="E167" i="12"/>
  <c r="E240" i="12"/>
  <c r="E295" i="12"/>
  <c r="F345" i="12"/>
  <c r="F390" i="12"/>
  <c r="F428" i="12"/>
  <c r="E462" i="12"/>
  <c r="F495" i="12"/>
  <c r="G51" i="12"/>
  <c r="G100" i="12"/>
  <c r="G155" i="12"/>
  <c r="G200" i="12"/>
  <c r="G258" i="12"/>
  <c r="G307" i="12"/>
  <c r="G351" i="12"/>
  <c r="G389" i="12"/>
  <c r="G430" i="12"/>
  <c r="G468" i="12"/>
  <c r="G506" i="12"/>
  <c r="F18" i="12"/>
  <c r="F36" i="12"/>
  <c r="E55" i="12"/>
  <c r="F73" i="12"/>
  <c r="F91" i="12"/>
  <c r="E110" i="12"/>
  <c r="E128" i="12"/>
  <c r="E185" i="12"/>
  <c r="E221" i="12"/>
  <c r="F239" i="12"/>
  <c r="E277" i="12"/>
  <c r="E345" i="12"/>
  <c r="E402" i="12"/>
  <c r="F461" i="12"/>
  <c r="G12" i="12"/>
  <c r="G63" i="12"/>
  <c r="G116" i="12"/>
  <c r="G175" i="12"/>
  <c r="G220" i="12"/>
  <c r="G274" i="12"/>
  <c r="G319" i="12"/>
  <c r="G357" i="12"/>
  <c r="G398" i="12"/>
  <c r="G436" i="12"/>
  <c r="G483" i="12"/>
  <c r="E6" i="12"/>
  <c r="E24" i="12"/>
  <c r="F42" i="12"/>
  <c r="F60" i="12"/>
  <c r="E79" i="12"/>
  <c r="F97" i="12"/>
  <c r="E118" i="12"/>
  <c r="E136" i="12"/>
  <c r="F154" i="12"/>
  <c r="F172" i="12"/>
  <c r="E191" i="12"/>
  <c r="F209" i="12"/>
  <c r="F227" i="12"/>
  <c r="E247" i="12"/>
  <c r="F265" i="12"/>
  <c r="E283" i="12"/>
  <c r="F299" i="12"/>
  <c r="F316" i="12"/>
  <c r="F331" i="12"/>
  <c r="E348" i="12"/>
  <c r="F366" i="12"/>
  <c r="F380" i="12"/>
  <c r="E393" i="12"/>
  <c r="E405" i="12"/>
  <c r="E419" i="12"/>
  <c r="E431" i="12"/>
  <c r="E443" i="12"/>
  <c r="F453" i="12"/>
  <c r="E466" i="12"/>
  <c r="F476" i="12"/>
  <c r="F487" i="12"/>
  <c r="F498" i="12"/>
  <c r="F508" i="12"/>
  <c r="E286" i="12"/>
  <c r="G82" i="12"/>
  <c r="F429" i="12"/>
  <c r="F367" i="12"/>
  <c r="F313" i="12"/>
  <c r="E285" i="12"/>
  <c r="E255" i="12"/>
  <c r="E229" i="12"/>
  <c r="E198" i="12"/>
  <c r="F167" i="12"/>
  <c r="F134" i="12"/>
  <c r="F100" i="12"/>
  <c r="E64" i="12"/>
  <c r="E29" i="12"/>
  <c r="G513" i="12"/>
  <c r="G446" i="12"/>
  <c r="G367" i="12"/>
  <c r="G280" i="12"/>
  <c r="G180" i="12"/>
  <c r="G81" i="12"/>
  <c r="E391" i="12"/>
  <c r="E368" i="12"/>
  <c r="E339" i="12"/>
  <c r="E314" i="12"/>
  <c r="F262" i="12"/>
  <c r="F230" i="12"/>
  <c r="F198" i="12"/>
  <c r="F170" i="12"/>
  <c r="E137" i="12"/>
  <c r="E101" i="12"/>
  <c r="F66" i="12"/>
  <c r="F38" i="12"/>
  <c r="G514" i="12"/>
  <c r="G449" i="12"/>
  <c r="G370" i="12"/>
  <c r="G288" i="12"/>
  <c r="G181" i="12"/>
  <c r="F500" i="12"/>
  <c r="F482" i="12"/>
  <c r="F466" i="12"/>
  <c r="F445" i="12"/>
  <c r="E409" i="12"/>
  <c r="E385" i="12"/>
  <c r="F338" i="12"/>
  <c r="E500" i="12"/>
  <c r="E482" i="12"/>
  <c r="E464" i="12"/>
  <c r="E445" i="12"/>
  <c r="E429" i="12"/>
  <c r="E408" i="12"/>
  <c r="E384" i="12"/>
  <c r="E366" i="12"/>
  <c r="E338" i="12"/>
  <c r="E313" i="12"/>
  <c r="E284" i="12"/>
  <c r="E253" i="12"/>
  <c r="E226" i="12"/>
  <c r="E194" i="12"/>
  <c r="F158" i="12"/>
  <c r="E134" i="12"/>
  <c r="E100" i="12"/>
  <c r="F63" i="12"/>
  <c r="E28" i="12"/>
  <c r="G512" i="12"/>
  <c r="G435" i="12"/>
  <c r="G366" i="12"/>
  <c r="G278" i="12"/>
  <c r="G179" i="12"/>
  <c r="G79" i="12"/>
  <c r="E514" i="12"/>
  <c r="E499" i="12"/>
  <c r="E480" i="12"/>
  <c r="F463" i="12"/>
  <c r="F444" i="12"/>
  <c r="F423" i="12"/>
  <c r="F407" i="12"/>
  <c r="F383" i="12"/>
  <c r="F363" i="12"/>
  <c r="F337" i="12"/>
  <c r="E308" i="12"/>
  <c r="F283" i="12"/>
  <c r="F252" i="12"/>
  <c r="F225" i="12"/>
  <c r="E193" i="12"/>
  <c r="E158" i="12"/>
  <c r="E131" i="12"/>
  <c r="F94" i="12"/>
  <c r="E63" i="12"/>
  <c r="F27" i="12"/>
  <c r="G494" i="12"/>
  <c r="G433" i="12"/>
  <c r="G358" i="12"/>
  <c r="G277" i="12"/>
  <c r="G177" i="12"/>
  <c r="G70" i="12"/>
  <c r="G310" i="12"/>
  <c r="G291" i="12"/>
  <c r="G272" i="12"/>
  <c r="G252" i="12"/>
  <c r="G232" i="12"/>
  <c r="G212" i="12"/>
  <c r="G193" i="12"/>
  <c r="G174" i="12"/>
  <c r="G154" i="12"/>
  <c r="G133" i="12"/>
  <c r="G114" i="12"/>
  <c r="G95" i="12"/>
  <c r="G75" i="12"/>
  <c r="G54" i="12"/>
  <c r="G35" i="12"/>
  <c r="G16" i="12"/>
  <c r="E364" i="12"/>
  <c r="E355" i="12"/>
  <c r="E346" i="12"/>
  <c r="E337" i="12"/>
  <c r="F327" i="12"/>
  <c r="F318" i="12"/>
  <c r="E309" i="12"/>
  <c r="E300" i="12"/>
  <c r="E291" i="12"/>
  <c r="E282" i="12"/>
  <c r="E273" i="12"/>
  <c r="F263" i="12"/>
  <c r="F254" i="12"/>
  <c r="E245" i="12"/>
  <c r="E236" i="12"/>
  <c r="E227" i="12"/>
  <c r="E218" i="12"/>
  <c r="E209" i="12"/>
  <c r="F199" i="12"/>
  <c r="F190" i="12"/>
  <c r="E181" i="12"/>
  <c r="E172" i="12"/>
  <c r="E163" i="12"/>
  <c r="E154" i="12"/>
  <c r="E145" i="12"/>
  <c r="F135" i="12"/>
  <c r="F126" i="12"/>
  <c r="E117" i="12"/>
  <c r="E108" i="12"/>
  <c r="E99" i="12"/>
  <c r="E90" i="12"/>
  <c r="E81" i="12"/>
  <c r="F71" i="12"/>
  <c r="F62" i="12"/>
  <c r="E53" i="12"/>
  <c r="E44" i="12"/>
  <c r="E35" i="12"/>
  <c r="E26" i="12"/>
  <c r="E17" i="12"/>
  <c r="F7" i="12"/>
  <c r="G505" i="12"/>
  <c r="G486" i="12"/>
  <c r="G467" i="12"/>
  <c r="G448" i="12"/>
  <c r="G428" i="12"/>
  <c r="G408" i="12"/>
  <c r="G388" i="12"/>
  <c r="G369" i="12"/>
  <c r="G350" i="12"/>
  <c r="G330" i="12"/>
  <c r="G309" i="12"/>
  <c r="G290" i="12"/>
  <c r="G271" i="12"/>
  <c r="G251" i="12"/>
  <c r="G230" i="12"/>
  <c r="G211" i="12"/>
  <c r="G192" i="12"/>
  <c r="G172" i="12"/>
  <c r="G152" i="12"/>
  <c r="G132" i="12"/>
  <c r="G113" i="12"/>
  <c r="G94" i="12"/>
  <c r="G74" i="12"/>
  <c r="G53" i="12"/>
  <c r="G34" i="12"/>
  <c r="G15" i="12"/>
  <c r="E272" i="12"/>
  <c r="E263" i="12"/>
  <c r="E254" i="12"/>
  <c r="F244" i="12"/>
  <c r="F235" i="12"/>
  <c r="F226" i="12"/>
  <c r="F217" i="12"/>
  <c r="E208" i="12"/>
  <c r="E199" i="12"/>
  <c r="E190" i="12"/>
  <c r="F180" i="12"/>
  <c r="F171" i="12"/>
  <c r="F162" i="12"/>
  <c r="F153" i="12"/>
  <c r="E144" i="12"/>
  <c r="E135" i="12"/>
  <c r="E126" i="12"/>
  <c r="F116" i="12"/>
  <c r="F107" i="12"/>
  <c r="F98" i="12"/>
  <c r="F89" i="12"/>
  <c r="E80" i="12"/>
  <c r="E71" i="12"/>
  <c r="E62" i="12"/>
  <c r="F52" i="12"/>
  <c r="F43" i="12"/>
  <c r="F34" i="12"/>
  <c r="F25" i="12"/>
  <c r="E16" i="12"/>
  <c r="E7" i="12"/>
  <c r="G504" i="12"/>
  <c r="G485" i="12"/>
  <c r="G466" i="12"/>
  <c r="G447" i="12"/>
  <c r="G427" i="12"/>
  <c r="G406" i="12"/>
  <c r="G387" i="12"/>
  <c r="G368" i="12"/>
  <c r="G348" i="12"/>
  <c r="G328" i="12"/>
  <c r="G308" i="12"/>
  <c r="G289" i="12"/>
  <c r="G270" i="12"/>
  <c r="G250" i="12"/>
  <c r="G229" i="12"/>
  <c r="G210" i="12"/>
  <c r="G191" i="12"/>
  <c r="G171" i="12"/>
  <c r="G150" i="12"/>
  <c r="G131" i="12"/>
  <c r="G112" i="12"/>
  <c r="G92" i="12"/>
  <c r="G72" i="12"/>
  <c r="G52" i="12"/>
  <c r="G33" i="12"/>
  <c r="G14" i="12"/>
  <c r="G287" i="12"/>
  <c r="G267" i="12"/>
  <c r="G246" i="12"/>
  <c r="G227" i="12"/>
  <c r="G208" i="12"/>
  <c r="G188" i="12"/>
  <c r="G168" i="12"/>
  <c r="G148" i="12"/>
  <c r="G129" i="12"/>
  <c r="G110" i="12"/>
  <c r="G90" i="12"/>
  <c r="G69" i="12"/>
  <c r="G50" i="12"/>
  <c r="G31" i="12"/>
  <c r="G11" i="12"/>
  <c r="E362" i="12"/>
  <c r="E353" i="12"/>
  <c r="F343" i="12"/>
  <c r="F334" i="12"/>
  <c r="E325" i="12"/>
  <c r="E316" i="12"/>
  <c r="E307" i="12"/>
  <c r="E298" i="12"/>
  <c r="E289" i="12"/>
  <c r="F279" i="12"/>
  <c r="F270" i="12"/>
  <c r="E261" i="12"/>
  <c r="E252" i="12"/>
  <c r="E243" i="12"/>
  <c r="E234" i="12"/>
  <c r="E225" i="12"/>
  <c r="F215" i="12"/>
  <c r="F206" i="12"/>
  <c r="E197" i="12"/>
  <c r="E188" i="12"/>
  <c r="E179" i="12"/>
  <c r="E170" i="12"/>
  <c r="E161" i="12"/>
  <c r="F151" i="12"/>
  <c r="F142" i="12"/>
  <c r="E133" i="12"/>
  <c r="E124" i="12"/>
  <c r="E115" i="12"/>
  <c r="E106" i="12"/>
  <c r="E97" i="12"/>
  <c r="F87" i="12"/>
  <c r="F78" i="12"/>
  <c r="E69" i="12"/>
  <c r="E60" i="12"/>
  <c r="E51" i="12"/>
  <c r="E42" i="12"/>
  <c r="E33" i="12"/>
  <c r="F23" i="12"/>
  <c r="F14" i="12"/>
  <c r="E5" i="12"/>
  <c r="G500" i="12"/>
  <c r="G482" i="12"/>
  <c r="G463" i="12"/>
  <c r="G443" i="12"/>
  <c r="G422" i="12"/>
  <c r="G403" i="12"/>
  <c r="G384" i="12"/>
  <c r="G364" i="12"/>
  <c r="G344" i="12"/>
  <c r="G324" i="12"/>
  <c r="G305" i="12"/>
  <c r="G286" i="12"/>
  <c r="G266" i="12"/>
  <c r="G245" i="12"/>
  <c r="G226" i="12"/>
  <c r="G207" i="12"/>
  <c r="G187" i="12"/>
  <c r="G166" i="12"/>
  <c r="G147" i="12"/>
  <c r="G128" i="12"/>
  <c r="G108" i="12"/>
  <c r="G88" i="12"/>
  <c r="G68" i="12"/>
  <c r="G49" i="12"/>
  <c r="G30" i="12"/>
  <c r="G10" i="12"/>
  <c r="F481" i="12"/>
  <c r="F465" i="12"/>
  <c r="F457" i="12"/>
  <c r="F449" i="12"/>
  <c r="F433" i="12"/>
  <c r="F425" i="12"/>
  <c r="E416" i="12"/>
  <c r="E407" i="12"/>
  <c r="E398" i="12"/>
  <c r="F388" i="12"/>
  <c r="F379" i="12"/>
  <c r="F370" i="12"/>
  <c r="F361" i="12"/>
  <c r="E352" i="12"/>
  <c r="E343" i="12"/>
  <c r="E334" i="12"/>
  <c r="F324" i="12"/>
  <c r="F315" i="12"/>
  <c r="F306" i="12"/>
  <c r="F297" i="12"/>
  <c r="E288" i="12"/>
  <c r="E279" i="12"/>
  <c r="E270" i="12"/>
  <c r="F260" i="12"/>
  <c r="F251" i="12"/>
  <c r="F242" i="12"/>
  <c r="F233" i="12"/>
  <c r="E224" i="12"/>
  <c r="E215" i="12"/>
  <c r="E206" i="12"/>
  <c r="F196" i="12"/>
  <c r="F187" i="12"/>
  <c r="F178" i="12"/>
  <c r="F169" i="12"/>
  <c r="E160" i="12"/>
  <c r="E151" i="12"/>
  <c r="E142" i="12"/>
  <c r="F132" i="12"/>
  <c r="F123" i="12"/>
  <c r="F114" i="12"/>
  <c r="F105" i="12"/>
  <c r="E96" i="12"/>
  <c r="E87" i="12"/>
  <c r="E78" i="12"/>
  <c r="F68" i="12"/>
  <c r="F59" i="12"/>
  <c r="F50" i="12"/>
  <c r="F41" i="12"/>
  <c r="E32" i="12"/>
  <c r="E23" i="12"/>
  <c r="E14" i="12"/>
  <c r="F4" i="12"/>
  <c r="G499" i="12"/>
  <c r="G481" i="12"/>
  <c r="G462" i="12"/>
  <c r="G442" i="12"/>
  <c r="G421" i="12"/>
  <c r="G402" i="12"/>
  <c r="G383" i="12"/>
  <c r="G363" i="12"/>
  <c r="G342" i="12"/>
  <c r="G323" i="12"/>
  <c r="G304" i="12"/>
  <c r="G284" i="12"/>
  <c r="G264" i="12"/>
  <c r="G244" i="12"/>
  <c r="G225" i="12"/>
  <c r="G206" i="12"/>
  <c r="G186" i="12"/>
  <c r="G165" i="12"/>
  <c r="G146" i="12"/>
  <c r="G127" i="12"/>
  <c r="G107" i="12"/>
  <c r="G86" i="12"/>
  <c r="G67" i="12"/>
  <c r="G48" i="12"/>
  <c r="G28" i="12"/>
  <c r="G8" i="12"/>
  <c r="F441" i="12"/>
  <c r="E513" i="12"/>
  <c r="E505" i="12"/>
  <c r="E497" i="12"/>
  <c r="E489" i="12"/>
  <c r="E481" i="12"/>
  <c r="E473" i="12"/>
  <c r="E465" i="12"/>
  <c r="E457" i="12"/>
  <c r="E449" i="12"/>
  <c r="E441" i="12"/>
  <c r="E433" i="12"/>
  <c r="E425" i="12"/>
  <c r="F415" i="12"/>
  <c r="F406" i="12"/>
  <c r="E397" i="12"/>
  <c r="E388" i="12"/>
  <c r="E379" i="12"/>
  <c r="E370" i="12"/>
  <c r="E361" i="12"/>
  <c r="F351" i="12"/>
  <c r="F342" i="12"/>
  <c r="E333" i="12"/>
  <c r="E324" i="12"/>
  <c r="E315" i="12"/>
  <c r="E306" i="12"/>
  <c r="E297" i="12"/>
  <c r="F287" i="12"/>
  <c r="F278" i="12"/>
  <c r="E269" i="12"/>
  <c r="E260" i="12"/>
  <c r="E251" i="12"/>
  <c r="E242" i="12"/>
  <c r="E233" i="12"/>
  <c r="F223" i="12"/>
  <c r="F214" i="12"/>
  <c r="E205" i="12"/>
  <c r="E196" i="12"/>
  <c r="E187" i="12"/>
  <c r="E178" i="12"/>
  <c r="E169" i="12"/>
  <c r="F159" i="12"/>
  <c r="F150" i="12"/>
  <c r="E141" i="12"/>
  <c r="E132" i="12"/>
  <c r="E123" i="12"/>
  <c r="E114" i="12"/>
  <c r="E105" i="12"/>
  <c r="F95" i="12"/>
  <c r="F86" i="12"/>
  <c r="E77" i="12"/>
  <c r="E68" i="12"/>
  <c r="E59" i="12"/>
  <c r="E50" i="12"/>
  <c r="E41" i="12"/>
  <c r="F31" i="12"/>
  <c r="F22" i="12"/>
  <c r="E13" i="12"/>
  <c r="E4" i="12"/>
  <c r="G498" i="12"/>
  <c r="G480" i="12"/>
  <c r="G460" i="12"/>
  <c r="G440" i="12"/>
  <c r="G420" i="12"/>
  <c r="G401" i="12"/>
  <c r="G382" i="12"/>
  <c r="G362" i="12"/>
  <c r="G341" i="12"/>
  <c r="G322" i="12"/>
  <c r="G303" i="12"/>
  <c r="G283" i="12"/>
  <c r="G262" i="12"/>
  <c r="G243" i="12"/>
  <c r="G224" i="12"/>
  <c r="G204" i="12"/>
  <c r="G184" i="12"/>
  <c r="G164" i="12"/>
  <c r="G145" i="12"/>
  <c r="G126" i="12"/>
  <c r="G106" i="12"/>
  <c r="G85" i="12"/>
  <c r="G66" i="12"/>
  <c r="G47" i="12"/>
  <c r="G27" i="12"/>
  <c r="G5" i="12"/>
  <c r="F473" i="12"/>
  <c r="F512" i="12"/>
  <c r="F504" i="12"/>
  <c r="F496" i="12"/>
  <c r="F488" i="12"/>
  <c r="F480" i="12"/>
  <c r="F472" i="12"/>
  <c r="F464" i="12"/>
  <c r="F456" i="12"/>
  <c r="F448" i="12"/>
  <c r="F440" i="12"/>
  <c r="F432" i="12"/>
  <c r="E424" i="12"/>
  <c r="E415" i="12"/>
  <c r="E406" i="12"/>
  <c r="F396" i="12"/>
  <c r="F387" i="12"/>
  <c r="F378" i="12"/>
  <c r="F369" i="12"/>
  <c r="E360" i="12"/>
  <c r="E351" i="12"/>
  <c r="E342" i="12"/>
  <c r="F332" i="12"/>
  <c r="F323" i="12"/>
  <c r="F314" i="12"/>
  <c r="F305" i="12"/>
  <c r="E296" i="12"/>
  <c r="E287" i="12"/>
  <c r="E278" i="12"/>
  <c r="F268" i="12"/>
  <c r="F259" i="12"/>
  <c r="F250" i="12"/>
  <c r="F241" i="12"/>
  <c r="E232" i="12"/>
  <c r="E223" i="12"/>
  <c r="E214" i="12"/>
  <c r="F204" i="12"/>
  <c r="F195" i="12"/>
  <c r="F186" i="12"/>
  <c r="F177" i="12"/>
  <c r="E168" i="12"/>
  <c r="E159" i="12"/>
  <c r="E150" i="12"/>
  <c r="F140" i="12"/>
  <c r="F131" i="12"/>
  <c r="F122" i="12"/>
  <c r="F113" i="12"/>
  <c r="E104" i="12"/>
  <c r="E95" i="12"/>
  <c r="E86" i="12"/>
  <c r="F76" i="12"/>
  <c r="F67" i="12"/>
  <c r="F58" i="12"/>
  <c r="F49" i="12"/>
  <c r="E40" i="12"/>
  <c r="E31" i="12"/>
  <c r="E22" i="12"/>
  <c r="F12" i="12"/>
  <c r="G515" i="12"/>
  <c r="G497" i="12"/>
  <c r="G479" i="12"/>
  <c r="G459" i="12"/>
  <c r="G438" i="12"/>
  <c r="G419" i="12"/>
  <c r="G400" i="12"/>
  <c r="G380" i="12"/>
  <c r="G360" i="12"/>
  <c r="G340" i="12"/>
  <c r="G321" i="12"/>
  <c r="G302" i="12"/>
  <c r="G282" i="12"/>
  <c r="G261" i="12"/>
  <c r="G242" i="12"/>
  <c r="G223" i="12"/>
  <c r="G203" i="12"/>
  <c r="G182" i="12"/>
  <c r="G163" i="12"/>
  <c r="G144" i="12"/>
  <c r="G124" i="12"/>
  <c r="G104" i="12"/>
  <c r="G84" i="12"/>
  <c r="G65" i="12"/>
  <c r="G46" i="12"/>
  <c r="G26" i="12"/>
  <c r="G7" i="12"/>
  <c r="G23" i="12"/>
  <c r="G39" i="12"/>
  <c r="G55" i="12"/>
  <c r="G71" i="12"/>
  <c r="G87" i="12"/>
  <c r="G103" i="12"/>
  <c r="G119" i="12"/>
  <c r="G135" i="12"/>
  <c r="G151" i="12"/>
  <c r="G167" i="12"/>
  <c r="G183" i="12"/>
  <c r="G199" i="12"/>
  <c r="G215" i="12"/>
  <c r="G231" i="12"/>
  <c r="G247" i="12"/>
  <c r="G263" i="12"/>
  <c r="G279" i="12"/>
  <c r="G295" i="12"/>
  <c r="G311" i="12"/>
  <c r="G327" i="12"/>
  <c r="G343" i="12"/>
  <c r="G359" i="12"/>
  <c r="G375" i="12"/>
  <c r="G391" i="12"/>
  <c r="G407" i="12"/>
  <c r="G423" i="12"/>
  <c r="G439" i="12"/>
  <c r="G455" i="12"/>
  <c r="G471" i="12"/>
  <c r="G487" i="12"/>
  <c r="G503" i="12"/>
  <c r="F5" i="12"/>
  <c r="F13" i="12"/>
  <c r="F21" i="12"/>
  <c r="F29" i="12"/>
  <c r="F37" i="12"/>
  <c r="F45" i="12"/>
  <c r="F53" i="12"/>
  <c r="F61" i="12"/>
  <c r="F69" i="12"/>
  <c r="F77" i="12"/>
  <c r="F85" i="12"/>
  <c r="F93" i="12"/>
  <c r="F101" i="12"/>
  <c r="F109" i="12"/>
  <c r="F117" i="12"/>
  <c r="F125" i="12"/>
  <c r="F133" i="12"/>
  <c r="F141" i="12"/>
  <c r="F149" i="12"/>
  <c r="F157" i="12"/>
  <c r="F165" i="12"/>
  <c r="F173" i="12"/>
  <c r="F181" i="12"/>
  <c r="F189" i="12"/>
  <c r="F197" i="12"/>
  <c r="F205" i="12"/>
  <c r="F213" i="12"/>
  <c r="F221" i="12"/>
  <c r="F229" i="12"/>
  <c r="F237" i="12"/>
  <c r="F245" i="12"/>
  <c r="F253" i="12"/>
  <c r="F261" i="12"/>
  <c r="F269" i="12"/>
  <c r="F277" i="12"/>
  <c r="F285" i="12"/>
  <c r="F293" i="12"/>
  <c r="F301" i="12"/>
  <c r="F309" i="12"/>
  <c r="F317" i="12"/>
  <c r="F325" i="12"/>
  <c r="F333" i="12"/>
  <c r="F341" i="12"/>
  <c r="F349" i="12"/>
  <c r="F357" i="12"/>
  <c r="F365" i="12"/>
  <c r="F373" i="12"/>
  <c r="F381" i="12"/>
  <c r="F389" i="12"/>
  <c r="F397" i="12"/>
  <c r="F405" i="12"/>
  <c r="F413" i="12"/>
  <c r="F421" i="12"/>
  <c r="G9" i="12"/>
  <c r="G25" i="12"/>
  <c r="G41" i="12"/>
  <c r="G57" i="12"/>
  <c r="G73" i="12"/>
  <c r="G89" i="12"/>
  <c r="G105" i="12"/>
  <c r="G121" i="12"/>
  <c r="G137" i="12"/>
  <c r="G153" i="12"/>
  <c r="G169" i="12"/>
  <c r="G185" i="12"/>
  <c r="G201" i="12"/>
  <c r="G217" i="12"/>
  <c r="G233" i="12"/>
  <c r="G249" i="12"/>
  <c r="G265" i="12"/>
  <c r="G281" i="12"/>
  <c r="G297" i="12"/>
  <c r="G313" i="12"/>
  <c r="G329" i="12"/>
  <c r="G345" i="12"/>
  <c r="G361" i="12"/>
  <c r="G377" i="12"/>
  <c r="G393" i="12"/>
  <c r="G409" i="12"/>
  <c r="G425" i="12"/>
  <c r="G441" i="12"/>
  <c r="G457" i="12"/>
  <c r="G473" i="12"/>
  <c r="G13" i="12"/>
  <c r="G29" i="12"/>
  <c r="G45" i="12"/>
  <c r="G61" i="12"/>
  <c r="G77" i="12"/>
  <c r="G93" i="12"/>
  <c r="G109" i="12"/>
  <c r="G125" i="12"/>
  <c r="G141" i="12"/>
  <c r="G157" i="12"/>
  <c r="G173" i="12"/>
  <c r="G189" i="12"/>
  <c r="G205" i="12"/>
  <c r="G221" i="12"/>
  <c r="G237" i="12"/>
  <c r="G253" i="12"/>
  <c r="G269" i="12"/>
  <c r="G285" i="12"/>
  <c r="G301" i="12"/>
  <c r="G317" i="12"/>
  <c r="G333" i="12"/>
  <c r="G349" i="12"/>
  <c r="G365" i="12"/>
  <c r="G381" i="12"/>
  <c r="G397" i="12"/>
  <c r="G413" i="12"/>
  <c r="G429" i="12"/>
  <c r="G445" i="12"/>
  <c r="G461" i="12"/>
  <c r="G477" i="12"/>
  <c r="G493" i="12"/>
  <c r="G509" i="12"/>
  <c r="F8" i="12"/>
  <c r="F16" i="12"/>
  <c r="F24" i="12"/>
  <c r="F32" i="12"/>
  <c r="F40" i="12"/>
  <c r="F48" i="12"/>
  <c r="F56" i="12"/>
  <c r="F64" i="12"/>
  <c r="F72" i="12"/>
  <c r="F80" i="12"/>
  <c r="F88" i="12"/>
  <c r="F96" i="12"/>
  <c r="F104" i="12"/>
  <c r="F112" i="12"/>
  <c r="F120" i="12"/>
  <c r="F128" i="12"/>
  <c r="F136" i="12"/>
  <c r="F144" i="12"/>
  <c r="F152" i="12"/>
  <c r="F160" i="12"/>
  <c r="F168" i="12"/>
  <c r="F176" i="12"/>
  <c r="F184" i="12"/>
  <c r="F192" i="12"/>
  <c r="F200" i="12"/>
  <c r="F208" i="12"/>
  <c r="F216" i="12"/>
  <c r="F224" i="12"/>
  <c r="F232" i="12"/>
  <c r="F240" i="12"/>
  <c r="F248" i="12"/>
  <c r="F256" i="12"/>
  <c r="F264" i="12"/>
  <c r="F272" i="12"/>
  <c r="F280" i="12"/>
  <c r="F288" i="12"/>
  <c r="F296" i="12"/>
  <c r="F304" i="12"/>
  <c r="F312" i="12"/>
  <c r="F320" i="12"/>
  <c r="F328" i="12"/>
  <c r="F336" i="12"/>
  <c r="F344" i="12"/>
  <c r="F352" i="12"/>
  <c r="F360" i="12"/>
  <c r="F368" i="12"/>
  <c r="F376" i="12"/>
  <c r="F384" i="12"/>
  <c r="F392" i="12"/>
  <c r="F400" i="12"/>
  <c r="F408" i="12"/>
  <c r="F416" i="12"/>
  <c r="F424" i="12"/>
  <c r="F510" i="12"/>
  <c r="F502" i="12"/>
  <c r="F494" i="12"/>
  <c r="F486" i="12"/>
  <c r="F478" i="12"/>
  <c r="F470" i="12"/>
  <c r="F462" i="12"/>
  <c r="F454" i="12"/>
  <c r="F446" i="12"/>
  <c r="F438" i="12"/>
  <c r="F430" i="12"/>
  <c r="E422" i="12"/>
  <c r="F412" i="12"/>
  <c r="F403" i="12"/>
  <c r="F394" i="12"/>
  <c r="F385" i="12"/>
  <c r="E376" i="12"/>
  <c r="E367" i="12"/>
  <c r="E358" i="12"/>
  <c r="F348" i="12"/>
  <c r="F339" i="12"/>
  <c r="F330" i="12"/>
  <c r="F321" i="12"/>
  <c r="E312" i="12"/>
  <c r="E303" i="12"/>
  <c r="E294" i="12"/>
  <c r="F284" i="12"/>
  <c r="F275" i="12"/>
  <c r="F266" i="12"/>
  <c r="F257" i="12"/>
  <c r="E248" i="12"/>
  <c r="E239" i="12"/>
  <c r="E230" i="12"/>
  <c r="F220" i="12"/>
  <c r="F211" i="12"/>
  <c r="F202" i="12"/>
  <c r="F193" i="12"/>
  <c r="E184" i="12"/>
  <c r="E175" i="12"/>
  <c r="E166" i="12"/>
  <c r="F156" i="12"/>
  <c r="F147" i="12"/>
  <c r="F138" i="12"/>
  <c r="F129" i="12"/>
  <c r="E120" i="12"/>
  <c r="E111" i="12"/>
  <c r="E102" i="12"/>
  <c r="F92" i="12"/>
  <c r="F83" i="12"/>
  <c r="F74" i="12"/>
  <c r="F65" i="12"/>
  <c r="E56" i="12"/>
  <c r="E47" i="12"/>
  <c r="E38" i="12"/>
  <c r="F28" i="12"/>
  <c r="F19" i="12"/>
  <c r="F10" i="12"/>
  <c r="G511" i="12"/>
  <c r="G492" i="12"/>
  <c r="G474" i="12"/>
  <c r="G453" i="12"/>
  <c r="G434" i="12"/>
  <c r="G415" i="12"/>
  <c r="G395" i="12"/>
  <c r="G374" i="12"/>
  <c r="G355" i="12"/>
  <c r="G336" i="12"/>
  <c r="G316" i="12"/>
  <c r="G296" i="12"/>
  <c r="G276" i="12"/>
  <c r="G257" i="12"/>
  <c r="G238" i="12"/>
  <c r="G218" i="12"/>
  <c r="G197" i="12"/>
  <c r="G178" i="12"/>
  <c r="G159" i="12"/>
  <c r="G139" i="12"/>
  <c r="G118" i="12"/>
  <c r="G99" i="12"/>
  <c r="G80" i="12"/>
  <c r="G60" i="12"/>
  <c r="G40" i="12"/>
  <c r="G20" i="12"/>
  <c r="G19" i="12"/>
  <c r="K3" i="12"/>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L3" i="12" l="1"/>
  <c r="M3" i="12"/>
  <c r="N3" i="12"/>
  <c r="G2" i="13"/>
  <c r="J2" i="13"/>
  <c r="H2" i="13"/>
  <c r="K2" i="13"/>
  <c r="L2" i="13"/>
  <c r="M2" i="13"/>
  <c r="F2" i="13"/>
  <c r="I2" i="13"/>
  <c r="F3" i="12"/>
  <c r="G3"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<sst xmlns="http://schemas.openxmlformats.org/spreadsheetml/2006/main" count="13162" uniqueCount="1423">
  <si>
    <t>Jacob</t>
  </si>
  <si>
    <t>Robinson</t>
  </si>
  <si>
    <t>Jacob Robinson</t>
  </si>
  <si>
    <t>Male</t>
  </si>
  <si>
    <t>Married</t>
  </si>
  <si>
    <t>Grace</t>
  </si>
  <si>
    <t>Taylor</t>
  </si>
  <si>
    <t>Grace Taylor</t>
  </si>
  <si>
    <t>Female</t>
  </si>
  <si>
    <t>Insurer</t>
  </si>
  <si>
    <t>Charlie</t>
  </si>
  <si>
    <t>Wilson</t>
  </si>
  <si>
    <t>Charlie Wilson</t>
  </si>
  <si>
    <t>Aeroplane Pilot</t>
  </si>
  <si>
    <t>Single</t>
  </si>
  <si>
    <t>Vanessa</t>
  </si>
  <si>
    <t>Farrell</t>
  </si>
  <si>
    <t>Vanessa Farrell</t>
  </si>
  <si>
    <t>Fenton</t>
  </si>
  <si>
    <t>Harrison</t>
  </si>
  <si>
    <t>Fenton Harrison</t>
  </si>
  <si>
    <t>Architect</t>
  </si>
  <si>
    <t>Lucas</t>
  </si>
  <si>
    <t>Brooks</t>
  </si>
  <si>
    <t>Lucas Brooks</t>
  </si>
  <si>
    <t>Auditor</t>
  </si>
  <si>
    <t>Belinda</t>
  </si>
  <si>
    <t>Spencer</t>
  </si>
  <si>
    <t>Belinda Spencer</t>
  </si>
  <si>
    <t>Dancer</t>
  </si>
  <si>
    <t>Ashton</t>
  </si>
  <si>
    <t>Ashton Farrell</t>
  </si>
  <si>
    <t>Cook</t>
  </si>
  <si>
    <t>Kellan</t>
  </si>
  <si>
    <t>Williams</t>
  </si>
  <si>
    <t>Kellan Williams</t>
  </si>
  <si>
    <t>Police Officer</t>
  </si>
  <si>
    <t>Tyler</t>
  </si>
  <si>
    <t>Davis</t>
  </si>
  <si>
    <t>Tyler Davis</t>
  </si>
  <si>
    <t>Alina</t>
  </si>
  <si>
    <t>Russell</t>
  </si>
  <si>
    <t>Alina Russell</t>
  </si>
  <si>
    <t>Engineer</t>
  </si>
  <si>
    <t>Tiana</t>
  </si>
  <si>
    <t>Wright</t>
  </si>
  <si>
    <t>Tiana Wright</t>
  </si>
  <si>
    <t>Composer</t>
  </si>
  <si>
    <t>Kimberly</t>
  </si>
  <si>
    <t>Rogers</t>
  </si>
  <si>
    <t>Kimberly Rogers</t>
  </si>
  <si>
    <t>Geologist</t>
  </si>
  <si>
    <t>Amelia</t>
  </si>
  <si>
    <t>Craig</t>
  </si>
  <si>
    <t>Amelia Craig</t>
  </si>
  <si>
    <t>Scientist</t>
  </si>
  <si>
    <t>Connie</t>
  </si>
  <si>
    <t>Martin</t>
  </si>
  <si>
    <t>Connie Martin</t>
  </si>
  <si>
    <t>Economist</t>
  </si>
  <si>
    <t>Edgar</t>
  </si>
  <si>
    <t>Thomas</t>
  </si>
  <si>
    <t>Edgar Thomas</t>
  </si>
  <si>
    <t>Driver</t>
  </si>
  <si>
    <t>Steven</t>
  </si>
  <si>
    <t>Johnson</t>
  </si>
  <si>
    <t>Steven Johnson</t>
  </si>
  <si>
    <t>Hall</t>
  </si>
  <si>
    <t>Charlie Hall</t>
  </si>
  <si>
    <t>Mathematician</t>
  </si>
  <si>
    <t>Richard</t>
  </si>
  <si>
    <t>Richards</t>
  </si>
  <si>
    <t>Richard Richards</t>
  </si>
  <si>
    <t>Alan</t>
  </si>
  <si>
    <t>Allen</t>
  </si>
  <si>
    <t>Alan Allen</t>
  </si>
  <si>
    <t>Singer</t>
  </si>
  <si>
    <t>Nicholas</t>
  </si>
  <si>
    <t>Owens</t>
  </si>
  <si>
    <t>Nicholas Owens</t>
  </si>
  <si>
    <t>Fine Artist</t>
  </si>
  <si>
    <t>Tiana Farrell</t>
  </si>
  <si>
    <t>Programmer</t>
  </si>
  <si>
    <t>Sawyer</t>
  </si>
  <si>
    <t>Carter</t>
  </si>
  <si>
    <t>Sawyer Carter</t>
  </si>
  <si>
    <t>Medic</t>
  </si>
  <si>
    <t>Lyndon</t>
  </si>
  <si>
    <t>Parker</t>
  </si>
  <si>
    <t>Lyndon Parker</t>
  </si>
  <si>
    <t>Sofia</t>
  </si>
  <si>
    <t>Barnes</t>
  </si>
  <si>
    <t>Sofia Barnes</t>
  </si>
  <si>
    <t>Walter</t>
  </si>
  <si>
    <t>Walter Allen</t>
  </si>
  <si>
    <t>Payne</t>
  </si>
  <si>
    <t>Kimberly Payne</t>
  </si>
  <si>
    <t>Emily</t>
  </si>
  <si>
    <t>Chapman</t>
  </si>
  <si>
    <t>Emily Chapman</t>
  </si>
  <si>
    <t>Lucy</t>
  </si>
  <si>
    <t>Anderson</t>
  </si>
  <si>
    <t>Lucy Anderson</t>
  </si>
  <si>
    <t>Manager</t>
  </si>
  <si>
    <t>Edward</t>
  </si>
  <si>
    <t>Stewart</t>
  </si>
  <si>
    <t>Edward Stewart</t>
  </si>
  <si>
    <t>Producer</t>
  </si>
  <si>
    <t>Frederick</t>
  </si>
  <si>
    <t>Frederick Johnson</t>
  </si>
  <si>
    <t>Lucy Davis</t>
  </si>
  <si>
    <t>Jenna</t>
  </si>
  <si>
    <t>Ellis</t>
  </si>
  <si>
    <t>Jenna Ellis</t>
  </si>
  <si>
    <t>Baker</t>
  </si>
  <si>
    <t>Adam</t>
  </si>
  <si>
    <t>Nelson</t>
  </si>
  <si>
    <t>Adam Nelson</t>
  </si>
  <si>
    <t>Photographer</t>
  </si>
  <si>
    <t>Anna</t>
  </si>
  <si>
    <t>Smith</t>
  </si>
  <si>
    <t>Anna Smith</t>
  </si>
  <si>
    <t>Kelly</t>
  </si>
  <si>
    <t>Frederick Kelly</t>
  </si>
  <si>
    <t>Chef</t>
  </si>
  <si>
    <t>Tara</t>
  </si>
  <si>
    <t>Brown</t>
  </si>
  <si>
    <t>Tara Brown</t>
  </si>
  <si>
    <t>Jeweller</t>
  </si>
  <si>
    <t>Dominik</t>
  </si>
  <si>
    <t>Dominik Martin</t>
  </si>
  <si>
    <t>Lecturer</t>
  </si>
  <si>
    <t>Cameron</t>
  </si>
  <si>
    <t>Tara Cameron</t>
  </si>
  <si>
    <t>Archeologist</t>
  </si>
  <si>
    <t>Roman</t>
  </si>
  <si>
    <t>Campbell</t>
  </si>
  <si>
    <t>Roman Campbell</t>
  </si>
  <si>
    <t>Eddy</t>
  </si>
  <si>
    <t>Andrews</t>
  </si>
  <si>
    <t>Eddy Andrews</t>
  </si>
  <si>
    <t>Valeria</t>
  </si>
  <si>
    <t>Perry</t>
  </si>
  <si>
    <t>Valeria Perry</t>
  </si>
  <si>
    <t>Wilson Farrell</t>
  </si>
  <si>
    <t>Emma</t>
  </si>
  <si>
    <t>Emma Farrell</t>
  </si>
  <si>
    <t>Fenton Kelly</t>
  </si>
  <si>
    <t>Dixon</t>
  </si>
  <si>
    <t>Belinda Dixon</t>
  </si>
  <si>
    <t>Historian</t>
  </si>
  <si>
    <t>Alexia</t>
  </si>
  <si>
    <t>Cooper</t>
  </si>
  <si>
    <t>Alexia Cooper</t>
  </si>
  <si>
    <t>Myra</t>
  </si>
  <si>
    <t>Ryan</t>
  </si>
  <si>
    <t>Myra Ryan</t>
  </si>
  <si>
    <t>Henry</t>
  </si>
  <si>
    <t>Stevens</t>
  </si>
  <si>
    <t>Henry Stevens</t>
  </si>
  <si>
    <t>Electrician</t>
  </si>
  <si>
    <t>Honey</t>
  </si>
  <si>
    <t>Turner</t>
  </si>
  <si>
    <t>Honey Turner</t>
  </si>
  <si>
    <t>Tara Brooks</t>
  </si>
  <si>
    <t>Pharmacist</t>
  </si>
  <si>
    <t>Jordan</t>
  </si>
  <si>
    <t>Cunningham</t>
  </si>
  <si>
    <t>Jordan Cunningham</t>
  </si>
  <si>
    <t>Journalist</t>
  </si>
  <si>
    <t>Mary</t>
  </si>
  <si>
    <t>Mary Stevens</t>
  </si>
  <si>
    <t>Meteorologist</t>
  </si>
  <si>
    <t>Arnold</t>
  </si>
  <si>
    <t>Tucker</t>
  </si>
  <si>
    <t>Arnold Tucker</t>
  </si>
  <si>
    <t>Jack</t>
  </si>
  <si>
    <t>Riley</t>
  </si>
  <si>
    <t>Jack Riley</t>
  </si>
  <si>
    <t>Brad</t>
  </si>
  <si>
    <t>Kelley</t>
  </si>
  <si>
    <t>Brad Kelley</t>
  </si>
  <si>
    <t>Mechanic</t>
  </si>
  <si>
    <t>Jared</t>
  </si>
  <si>
    <t>Jared Carter</t>
  </si>
  <si>
    <t>Johnston</t>
  </si>
  <si>
    <t>Sofia Johnston</t>
  </si>
  <si>
    <t>Chemist</t>
  </si>
  <si>
    <t>Sarah</t>
  </si>
  <si>
    <t>Sarah Stevens</t>
  </si>
  <si>
    <t>Maria</t>
  </si>
  <si>
    <t>Maria Andrews</t>
  </si>
  <si>
    <t>April</t>
  </si>
  <si>
    <t>April Kelley</t>
  </si>
  <si>
    <t>Fashion Designer</t>
  </si>
  <si>
    <t>Bruce</t>
  </si>
  <si>
    <t>Bruce Davis</t>
  </si>
  <si>
    <t>Botanist</t>
  </si>
  <si>
    <t>Grace Hall</t>
  </si>
  <si>
    <t>Florist</t>
  </si>
  <si>
    <t>Alexander</t>
  </si>
  <si>
    <t>Ferguson</t>
  </si>
  <si>
    <t>Alexander Ferguson</t>
  </si>
  <si>
    <t>Nicole</t>
  </si>
  <si>
    <t>Morgan</t>
  </si>
  <si>
    <t>Nicole Morgan</t>
  </si>
  <si>
    <t>Dale</t>
  </si>
  <si>
    <t>Dale Tucker</t>
  </si>
  <si>
    <t>Kellan Campbell</t>
  </si>
  <si>
    <t>Kate</t>
  </si>
  <si>
    <t>Kate Robinson</t>
  </si>
  <si>
    <t>Astronomer</t>
  </si>
  <si>
    <t>Isabella</t>
  </si>
  <si>
    <t>Isabella Perry</t>
  </si>
  <si>
    <t>Kevin</t>
  </si>
  <si>
    <t>Evans</t>
  </si>
  <si>
    <t>Kevin Evans</t>
  </si>
  <si>
    <t>Physicist</t>
  </si>
  <si>
    <t>Maximilian</t>
  </si>
  <si>
    <t>Maximilian Ryan</t>
  </si>
  <si>
    <t>Cole</t>
  </si>
  <si>
    <t>Alan Cole</t>
  </si>
  <si>
    <t>Eric</t>
  </si>
  <si>
    <t>Perkins</t>
  </si>
  <si>
    <t>Eric Perkins</t>
  </si>
  <si>
    <t>Hairdresser</t>
  </si>
  <si>
    <t>Eddy Richards</t>
  </si>
  <si>
    <t>Salesman</t>
  </si>
  <si>
    <t>Samantha</t>
  </si>
  <si>
    <t>Clark</t>
  </si>
  <si>
    <t>Samantha Clark</t>
  </si>
  <si>
    <t>Carpenter</t>
  </si>
  <si>
    <t>Sienna</t>
  </si>
  <si>
    <t>Sienna Baker</t>
  </si>
  <si>
    <t>Biochemist</t>
  </si>
  <si>
    <t>Miranda</t>
  </si>
  <si>
    <t>Douglas</t>
  </si>
  <si>
    <t>Miranda Douglas</t>
  </si>
  <si>
    <t>Heather</t>
  </si>
  <si>
    <t>Heather Perry</t>
  </si>
  <si>
    <t>Tony</t>
  </si>
  <si>
    <t>Tony Kelley</t>
  </si>
  <si>
    <t>Vanessa Thomas</t>
  </si>
  <si>
    <t>Haris</t>
  </si>
  <si>
    <t>Ross</t>
  </si>
  <si>
    <t>Haris Ross</t>
  </si>
  <si>
    <t>Samantha Farrell</t>
  </si>
  <si>
    <t>Mary Kelly</t>
  </si>
  <si>
    <t>Agronomist</t>
  </si>
  <si>
    <t>Higgins</t>
  </si>
  <si>
    <t>Sarah Higgins</t>
  </si>
  <si>
    <t>Harper</t>
  </si>
  <si>
    <t>Jacob Harper</t>
  </si>
  <si>
    <t>Belinda Higgins</t>
  </si>
  <si>
    <t>Alen</t>
  </si>
  <si>
    <t>Alen Cunningham</t>
  </si>
  <si>
    <t>Interior Designer</t>
  </si>
  <si>
    <t>Michael</t>
  </si>
  <si>
    <t>Michael Higgins</t>
  </si>
  <si>
    <t>Maria Cole</t>
  </si>
  <si>
    <t>Tara Campbell</t>
  </si>
  <si>
    <t>Richardson</t>
  </si>
  <si>
    <t>Valeria Richardson</t>
  </si>
  <si>
    <t>Robert</t>
  </si>
  <si>
    <t>Phillips</t>
  </si>
  <si>
    <t>Robert Phillips</t>
  </si>
  <si>
    <t>Interpreter</t>
  </si>
  <si>
    <t>Camila</t>
  </si>
  <si>
    <t>Mitchell</t>
  </si>
  <si>
    <t>Camila Mitchell</t>
  </si>
  <si>
    <t>Veterinarian</t>
  </si>
  <si>
    <t>Owen</t>
  </si>
  <si>
    <t>Owen Smith</t>
  </si>
  <si>
    <t>Andrew</t>
  </si>
  <si>
    <t>Reed</t>
  </si>
  <si>
    <t>Andrew Reed</t>
  </si>
  <si>
    <t>Vincent</t>
  </si>
  <si>
    <t>Hawkins</t>
  </si>
  <si>
    <t>Vincent Hawkins</t>
  </si>
  <si>
    <t>Frederick Douglas</t>
  </si>
  <si>
    <t>Actor</t>
  </si>
  <si>
    <t>Ashton Nelson</t>
  </si>
  <si>
    <t>Julia</t>
  </si>
  <si>
    <t>Julia Harrison</t>
  </si>
  <si>
    <t>Scott</t>
  </si>
  <si>
    <t>Jack Scott</t>
  </si>
  <si>
    <t>Florrie</t>
  </si>
  <si>
    <t>Florrie Campbell</t>
  </si>
  <si>
    <t>Stella</t>
  </si>
  <si>
    <t>Stella Ferguson</t>
  </si>
  <si>
    <t>Social Worker</t>
  </si>
  <si>
    <t>Freddie</t>
  </si>
  <si>
    <t>Freddie Owens</t>
  </si>
  <si>
    <t>Graphic Designer</t>
  </si>
  <si>
    <t>Foster</t>
  </si>
  <si>
    <t>Sienna Foster</t>
  </si>
  <si>
    <t>Amanda</t>
  </si>
  <si>
    <t>Amanda Brown</t>
  </si>
  <si>
    <t>Stuart</t>
  </si>
  <si>
    <t>Stuart Cole</t>
  </si>
  <si>
    <t>Victor</t>
  </si>
  <si>
    <t>Holmes</t>
  </si>
  <si>
    <t>Victor Holmes</t>
  </si>
  <si>
    <t>Teacher</t>
  </si>
  <si>
    <t>Arthur</t>
  </si>
  <si>
    <t>Murray</t>
  </si>
  <si>
    <t>Arthur Murray</t>
  </si>
  <si>
    <t>Elian</t>
  </si>
  <si>
    <t>Howard</t>
  </si>
  <si>
    <t>Elian Howard</t>
  </si>
  <si>
    <t>Chloe</t>
  </si>
  <si>
    <t>Chloe Perry</t>
  </si>
  <si>
    <t>Daryl</t>
  </si>
  <si>
    <t>Daryl Allen</t>
  </si>
  <si>
    <t>Hailey</t>
  </si>
  <si>
    <t>Hailey Cooper</t>
  </si>
  <si>
    <t>Rosie</t>
  </si>
  <si>
    <t>Moore</t>
  </si>
  <si>
    <t>Rosie Moore</t>
  </si>
  <si>
    <t>Garry</t>
  </si>
  <si>
    <t>Garry Hall</t>
  </si>
  <si>
    <t>Eric Harper</t>
  </si>
  <si>
    <t>Edgar Holmes</t>
  </si>
  <si>
    <t>Catherine</t>
  </si>
  <si>
    <t>Sullivan</t>
  </si>
  <si>
    <t>Catherine Sullivan</t>
  </si>
  <si>
    <t>Murphy</t>
  </si>
  <si>
    <t>Arthur Murphy</t>
  </si>
  <si>
    <t>Oliver</t>
  </si>
  <si>
    <t>Oliver Cameron</t>
  </si>
  <si>
    <t>Alissa</t>
  </si>
  <si>
    <t>Alissa Ferguson</t>
  </si>
  <si>
    <t>Jared Foster</t>
  </si>
  <si>
    <t>Spike</t>
  </si>
  <si>
    <t>Walker</t>
  </si>
  <si>
    <t>Spike Walker</t>
  </si>
  <si>
    <t>Maddie</t>
  </si>
  <si>
    <t>Hamilton</t>
  </si>
  <si>
    <t>Maddie Hamilton</t>
  </si>
  <si>
    <t>Agata</t>
  </si>
  <si>
    <t>Adams</t>
  </si>
  <si>
    <t>Agata Adams</t>
  </si>
  <si>
    <t>Harold</t>
  </si>
  <si>
    <t>Harold Phillips</t>
  </si>
  <si>
    <t>Amelia Thomas</t>
  </si>
  <si>
    <t>Tiana Howard</t>
  </si>
  <si>
    <t>Aiden</t>
  </si>
  <si>
    <t>Aiden Nelson</t>
  </si>
  <si>
    <t>Marcus</t>
  </si>
  <si>
    <t>Marcus Anderson</t>
  </si>
  <si>
    <t>Brooke</t>
  </si>
  <si>
    <t>Crawford</t>
  </si>
  <si>
    <t>Brooke Crawford</t>
  </si>
  <si>
    <t>Miranda Tucker</t>
  </si>
  <si>
    <t>Carina</t>
  </si>
  <si>
    <t>Carina Williams</t>
  </si>
  <si>
    <t>Arianna</t>
  </si>
  <si>
    <t>Arianna Hall</t>
  </si>
  <si>
    <t>Watson</t>
  </si>
  <si>
    <t>Ryan Watson</t>
  </si>
  <si>
    <t>David</t>
  </si>
  <si>
    <t>Bailey</t>
  </si>
  <si>
    <t>David Bailey</t>
  </si>
  <si>
    <t>Isabella Cunningham</t>
  </si>
  <si>
    <t>Richard Spencer</t>
  </si>
  <si>
    <t>Alexia Crawford</t>
  </si>
  <si>
    <t>Miller</t>
  </si>
  <si>
    <t>Dominik Miller</t>
  </si>
  <si>
    <t>Montgomery</t>
  </si>
  <si>
    <t>Dominik Montgomery</t>
  </si>
  <si>
    <t>Savana</t>
  </si>
  <si>
    <t>Carroll</t>
  </si>
  <si>
    <t>Savana Carroll</t>
  </si>
  <si>
    <t>Accountant</t>
  </si>
  <si>
    <t>Lydia</t>
  </si>
  <si>
    <t>Roberts</t>
  </si>
  <si>
    <t>Lydia Roberts</t>
  </si>
  <si>
    <t>Jack Brooks</t>
  </si>
  <si>
    <t>Eddy Stevens</t>
  </si>
  <si>
    <t>Fiona</t>
  </si>
  <si>
    <t>Fiona Phillips</t>
  </si>
  <si>
    <t>Ashton Dixon</t>
  </si>
  <si>
    <t>Firefighter</t>
  </si>
  <si>
    <t>Kelvin</t>
  </si>
  <si>
    <t>Kelvin Hamilton</t>
  </si>
  <si>
    <t>Daniel</t>
  </si>
  <si>
    <t>Daniel Scott</t>
  </si>
  <si>
    <t>Elian Ferguson</t>
  </si>
  <si>
    <t>Maddie Parker</t>
  </si>
  <si>
    <t>Michael Farrell</t>
  </si>
  <si>
    <t>Ada</t>
  </si>
  <si>
    <t>Ada Hall</t>
  </si>
  <si>
    <t>Grant</t>
  </si>
  <si>
    <t>Myra Grant</t>
  </si>
  <si>
    <t>Hailey Murphy</t>
  </si>
  <si>
    <t>Paige</t>
  </si>
  <si>
    <t>Paige Moore</t>
  </si>
  <si>
    <t>Aston</t>
  </si>
  <si>
    <t>Aston Ellis</t>
  </si>
  <si>
    <t>Tara Howard</t>
  </si>
  <si>
    <t>Adrian</t>
  </si>
  <si>
    <t>Adrian Riley</t>
  </si>
  <si>
    <t>Agata Evans</t>
  </si>
  <si>
    <t>Cherry</t>
  </si>
  <si>
    <t>Cherry Anderson</t>
  </si>
  <si>
    <t>Michael Turner</t>
  </si>
  <si>
    <t>Robert Ellis</t>
  </si>
  <si>
    <t>Maria Evans</t>
  </si>
  <si>
    <t>Max</t>
  </si>
  <si>
    <t>Edwards</t>
  </si>
  <si>
    <t>Max Edwards</t>
  </si>
  <si>
    <t>Roman Farrell</t>
  </si>
  <si>
    <t>Freddie Anderson</t>
  </si>
  <si>
    <t>Daniel Richards</t>
  </si>
  <si>
    <t>Bruce Carter</t>
  </si>
  <si>
    <t>Hill</t>
  </si>
  <si>
    <t>Catherine Hill</t>
  </si>
  <si>
    <t>Vivian</t>
  </si>
  <si>
    <t>Vivian Edwards</t>
  </si>
  <si>
    <t>Lilianna</t>
  </si>
  <si>
    <t>Morrison</t>
  </si>
  <si>
    <t>Lilianna Morrison</t>
  </si>
  <si>
    <t>Tiana Williams</t>
  </si>
  <si>
    <t>Deanna</t>
  </si>
  <si>
    <t>Deanna Spencer</t>
  </si>
  <si>
    <t>Gray</t>
  </si>
  <si>
    <t>Henry Gray</t>
  </si>
  <si>
    <t>Arthur Nelson</t>
  </si>
  <si>
    <t>Thomas Roberts</t>
  </si>
  <si>
    <t>Alen Johnson</t>
  </si>
  <si>
    <t>Tiana Ross</t>
  </si>
  <si>
    <t>Dominik Dixon</t>
  </si>
  <si>
    <t>Kristian</t>
  </si>
  <si>
    <t>Hunt</t>
  </si>
  <si>
    <t>Kristian Hunt</t>
  </si>
  <si>
    <t>Rebecca</t>
  </si>
  <si>
    <t>Rebecca Martin</t>
  </si>
  <si>
    <t>Adelaide</t>
  </si>
  <si>
    <t>Adelaide Farrell</t>
  </si>
  <si>
    <t>James</t>
  </si>
  <si>
    <t>James Owens</t>
  </si>
  <si>
    <t>Jordan Farrell</t>
  </si>
  <si>
    <t>Lyndon Adams</t>
  </si>
  <si>
    <t>Aldus</t>
  </si>
  <si>
    <t>Aldus Sullivan</t>
  </si>
  <si>
    <t>Mike</t>
  </si>
  <si>
    <t>Mike Sullivan</t>
  </si>
  <si>
    <t>Honey Grant</t>
  </si>
  <si>
    <t>Victor Johnson</t>
  </si>
  <si>
    <t>Haris Carter</t>
  </si>
  <si>
    <t>James Johnston</t>
  </si>
  <si>
    <t>Frederick Clark</t>
  </si>
  <si>
    <t>Vanessa Wright</t>
  </si>
  <si>
    <t>James Scott</t>
  </si>
  <si>
    <t>Audrey</t>
  </si>
  <si>
    <t>Audrey Watson</t>
  </si>
  <si>
    <t>Roland</t>
  </si>
  <si>
    <t>Roland Murphy</t>
  </si>
  <si>
    <t>Lily</t>
  </si>
  <si>
    <t>Henderson</t>
  </si>
  <si>
    <t>Lily Henderson</t>
  </si>
  <si>
    <t>Sophia</t>
  </si>
  <si>
    <t>Sophia Kelley</t>
  </si>
  <si>
    <t>Mason</t>
  </si>
  <si>
    <t>Garry Mason</t>
  </si>
  <si>
    <t>Adison</t>
  </si>
  <si>
    <t>Adison Miller</t>
  </si>
  <si>
    <t>Robert Alexander</t>
  </si>
  <si>
    <t>Stuart Nelson</t>
  </si>
  <si>
    <t>Charlie Hunt</t>
  </si>
  <si>
    <t>Kate Roberts</t>
  </si>
  <si>
    <t>Alan Dixon</t>
  </si>
  <si>
    <t>Lydia Scott</t>
  </si>
  <si>
    <t>Rubie</t>
  </si>
  <si>
    <t>Rubie Clark</t>
  </si>
  <si>
    <t>Savana Ross</t>
  </si>
  <si>
    <t>Camila Campbell</t>
  </si>
  <si>
    <t>Gianna</t>
  </si>
  <si>
    <t>West</t>
  </si>
  <si>
    <t>Gianna West</t>
  </si>
  <si>
    <t>Melanie</t>
  </si>
  <si>
    <t>Melanie Craig</t>
  </si>
  <si>
    <t>Charlotte</t>
  </si>
  <si>
    <t>Charlotte Cunningham</t>
  </si>
  <si>
    <t>Julian</t>
  </si>
  <si>
    <t>Julian Mitchell</t>
  </si>
  <si>
    <t>Vivian Allen</t>
  </si>
  <si>
    <t>Paige Andrews</t>
  </si>
  <si>
    <t>Vincent Stewart</t>
  </si>
  <si>
    <t>Albert</t>
  </si>
  <si>
    <t>Albert Allen</t>
  </si>
  <si>
    <t>Luke</t>
  </si>
  <si>
    <t>Luke Morgan</t>
  </si>
  <si>
    <t>Oscar</t>
  </si>
  <si>
    <t>Oscar Parker</t>
  </si>
  <si>
    <t>Reid</t>
  </si>
  <si>
    <t>Reid Farrell</t>
  </si>
  <si>
    <t>Kimberly Cooper</t>
  </si>
  <si>
    <t>Jones</t>
  </si>
  <si>
    <t>Garry Jones</t>
  </si>
  <si>
    <t>Caroline</t>
  </si>
  <si>
    <t>Caroline Alexander</t>
  </si>
  <si>
    <t>Wilson Smith</t>
  </si>
  <si>
    <t>Savana Kelly</t>
  </si>
  <si>
    <t>Myers</t>
  </si>
  <si>
    <t>Arnold Myers</t>
  </si>
  <si>
    <t>Luke Evans</t>
  </si>
  <si>
    <t>Chelsea</t>
  </si>
  <si>
    <t>Chelsea Perkins</t>
  </si>
  <si>
    <t>Jack Johnson</t>
  </si>
  <si>
    <t>Cadie</t>
  </si>
  <si>
    <t>Cadie Taylor</t>
  </si>
  <si>
    <t>Byron</t>
  </si>
  <si>
    <t>Morris</t>
  </si>
  <si>
    <t>Byron Morris</t>
  </si>
  <si>
    <t>Edwin</t>
  </si>
  <si>
    <t>Edwin Hunt</t>
  </si>
  <si>
    <t>Arianna Bailey</t>
  </si>
  <si>
    <t>Arthur Dixon</t>
  </si>
  <si>
    <t>Sawyer Harrison</t>
  </si>
  <si>
    <t>Julia Henderson</t>
  </si>
  <si>
    <t>Mary Stewart</t>
  </si>
  <si>
    <t>Arianna Hill</t>
  </si>
  <si>
    <t>Paul</t>
  </si>
  <si>
    <t>Paul Ferguson</t>
  </si>
  <si>
    <t>Adele</t>
  </si>
  <si>
    <t>Adele Watson</t>
  </si>
  <si>
    <t>Rubie Watson</t>
  </si>
  <si>
    <t>Arianna Adams</t>
  </si>
  <si>
    <t>Brianna</t>
  </si>
  <si>
    <t>Fowler</t>
  </si>
  <si>
    <t>Brianna Fowler</t>
  </si>
  <si>
    <t>Jared Wright</t>
  </si>
  <si>
    <t>Brad Allen</t>
  </si>
  <si>
    <t>Dexter</t>
  </si>
  <si>
    <t>Dexter Tucker</t>
  </si>
  <si>
    <t>Kate Payne</t>
  </si>
  <si>
    <t>Leonardo</t>
  </si>
  <si>
    <t>Leonardo Nelson</t>
  </si>
  <si>
    <t>Elian Cole</t>
  </si>
  <si>
    <t>Lenny</t>
  </si>
  <si>
    <t>Lenny Montgomery</t>
  </si>
  <si>
    <t>Maddie Murray</t>
  </si>
  <si>
    <t>Roland Cunningham</t>
  </si>
  <si>
    <t>Vincent Jones</t>
  </si>
  <si>
    <t>Lana</t>
  </si>
  <si>
    <t>Lana Martin</t>
  </si>
  <si>
    <t>Marcus Miller</t>
  </si>
  <si>
    <t>Lydia Foster</t>
  </si>
  <si>
    <t>Lilianna Hawkins</t>
  </si>
  <si>
    <t>Ada Perkins</t>
  </si>
  <si>
    <t>Kelsey</t>
  </si>
  <si>
    <t>Warren</t>
  </si>
  <si>
    <t>Kelsey Warren</t>
  </si>
  <si>
    <t>Jordan Myers</t>
  </si>
  <si>
    <t>Maria Crawford</t>
  </si>
  <si>
    <t>Casey</t>
  </si>
  <si>
    <t>Belinda Casey</t>
  </si>
  <si>
    <t>Steven Payne</t>
  </si>
  <si>
    <t>Sofia Wilson</t>
  </si>
  <si>
    <t>Naomi</t>
  </si>
  <si>
    <t>Barrett</t>
  </si>
  <si>
    <t>Naomi Barrett</t>
  </si>
  <si>
    <t>David Gray</t>
  </si>
  <si>
    <t>Jack Anderson</t>
  </si>
  <si>
    <t>Ryan Grant</t>
  </si>
  <si>
    <t>Julian Farrell</t>
  </si>
  <si>
    <t>Honey Russell</t>
  </si>
  <si>
    <t>Sam</t>
  </si>
  <si>
    <t>Sam Johnston</t>
  </si>
  <si>
    <t>Alan Smith</t>
  </si>
  <si>
    <t>Andrew Mason</t>
  </si>
  <si>
    <t>Alexander Tucker</t>
  </si>
  <si>
    <t>Alexia Carroll</t>
  </si>
  <si>
    <t>Ryan Richards</t>
  </si>
  <si>
    <t>Max Carroll</t>
  </si>
  <si>
    <t>Rafael</t>
  </si>
  <si>
    <t>Rafael Kelley</t>
  </si>
  <si>
    <t>Alen Harper</t>
  </si>
  <si>
    <t>Emily Walker</t>
  </si>
  <si>
    <t>Gibson</t>
  </si>
  <si>
    <t>Connie Gibson</t>
  </si>
  <si>
    <t>Agata Dixon</t>
  </si>
  <si>
    <t>Jordan Chapman</t>
  </si>
  <si>
    <t>Ned</t>
  </si>
  <si>
    <t>Ned Brown</t>
  </si>
  <si>
    <t>Kelvin Campbell</t>
  </si>
  <si>
    <t>Agata West</t>
  </si>
  <si>
    <t>Alan Payne</t>
  </si>
  <si>
    <t>Sophia West</t>
  </si>
  <si>
    <t>Jared Barnes</t>
  </si>
  <si>
    <t>Tess</t>
  </si>
  <si>
    <t>Tess Adams</t>
  </si>
  <si>
    <t>Spike Richardson</t>
  </si>
  <si>
    <t>Edgar Warren</t>
  </si>
  <si>
    <t>Darcy</t>
  </si>
  <si>
    <t>Darcy Fowler</t>
  </si>
  <si>
    <t>Marcus Chapman</t>
  </si>
  <si>
    <t>Fiona Moore</t>
  </si>
  <si>
    <t>Andrew Sullivan</t>
  </si>
  <si>
    <t>Armstrong</t>
  </si>
  <si>
    <t>April Armstrong</t>
  </si>
  <si>
    <t>Maximilian Crawford</t>
  </si>
  <si>
    <t>Adrianna</t>
  </si>
  <si>
    <t>Bennett</t>
  </si>
  <si>
    <t>Adrianna Bennett</t>
  </si>
  <si>
    <t>Robert Campbell</t>
  </si>
  <si>
    <t>Adelaide Crawford</t>
  </si>
  <si>
    <t>John</t>
  </si>
  <si>
    <t>John Gray</t>
  </si>
  <si>
    <t>Samantha Howard</t>
  </si>
  <si>
    <t>Agata Watson</t>
  </si>
  <si>
    <t>Jared Hunt</t>
  </si>
  <si>
    <t>Julia Bailey</t>
  </si>
  <si>
    <t>Penelope</t>
  </si>
  <si>
    <t>Penelope Henderson</t>
  </si>
  <si>
    <t>Kelvin Warren</t>
  </si>
  <si>
    <t>Alissa Sullivan</t>
  </si>
  <si>
    <t>Edward Wilson</t>
  </si>
  <si>
    <t>Arnold Higgins</t>
  </si>
  <si>
    <t>Myra Barrett</t>
  </si>
  <si>
    <t>Ashton Parker</t>
  </si>
  <si>
    <t>Harris</t>
  </si>
  <si>
    <t>Cadie Harris</t>
  </si>
  <si>
    <t>Dexter Cole</t>
  </si>
  <si>
    <t>Blake</t>
  </si>
  <si>
    <t>Blake Edwards</t>
  </si>
  <si>
    <t>Chelsea Richards</t>
  </si>
  <si>
    <t>Frederick Parker</t>
  </si>
  <si>
    <t>April Morris</t>
  </si>
  <si>
    <t>Kate Grant</t>
  </si>
  <si>
    <t>Brianna Perry</t>
  </si>
  <si>
    <t>Amelia Crawford</t>
  </si>
  <si>
    <t>Paige Alexander</t>
  </si>
  <si>
    <t>Alan Moore</t>
  </si>
  <si>
    <t>Elliott</t>
  </si>
  <si>
    <t>Arianna Elliott</t>
  </si>
  <si>
    <t>Preston</t>
  </si>
  <si>
    <t>Preston Williams</t>
  </si>
  <si>
    <t>Violet</t>
  </si>
  <si>
    <t>Violet Cooper</t>
  </si>
  <si>
    <t>Catherine Montgomery</t>
  </si>
  <si>
    <t>George</t>
  </si>
  <si>
    <t>George Nelson</t>
  </si>
  <si>
    <t>Honey Walker</t>
  </si>
  <si>
    <t>Edwin Reed</t>
  </si>
  <si>
    <t>Alina Parker</t>
  </si>
  <si>
    <t>Elian Allen</t>
  </si>
  <si>
    <t>Tara Grant</t>
  </si>
  <si>
    <t>Maddie Cole</t>
  </si>
  <si>
    <t>Wells</t>
  </si>
  <si>
    <t>Maximilian Wells</t>
  </si>
  <si>
    <t>Charlotte Williams</t>
  </si>
  <si>
    <t>Paul Harrison</t>
  </si>
  <si>
    <t>Ryan Parker</t>
  </si>
  <si>
    <t>Lloyd</t>
  </si>
  <si>
    <t>Cherry Lloyd</t>
  </si>
  <si>
    <t>Ted</t>
  </si>
  <si>
    <t>Ted Watson</t>
  </si>
  <si>
    <t>Albert Robinson</t>
  </si>
  <si>
    <t>Elise</t>
  </si>
  <si>
    <t>Elise Tucker</t>
  </si>
  <si>
    <t>Dale Elliott</t>
  </si>
  <si>
    <t>Charlie Edwards</t>
  </si>
  <si>
    <t>Eleanor</t>
  </si>
  <si>
    <t>Eleanor Thomas</t>
  </si>
  <si>
    <t>Maya</t>
  </si>
  <si>
    <t>Maya Mitchell</t>
  </si>
  <si>
    <t>Edgar Phillips</t>
  </si>
  <si>
    <t>Edgar Barnes</t>
  </si>
  <si>
    <t>Sawyer Wright</t>
  </si>
  <si>
    <t>Edith</t>
  </si>
  <si>
    <t>Edith Hall</t>
  </si>
  <si>
    <t>Jared Perkins</t>
  </si>
  <si>
    <t>Tony Armstrong</t>
  </si>
  <si>
    <t>Aiden Armstrong</t>
  </si>
  <si>
    <t>Darcy Jones</t>
  </si>
  <si>
    <t>Lilianna Bailey</t>
  </si>
  <si>
    <t>Roman Douglas</t>
  </si>
  <si>
    <t>Roland Gray</t>
  </si>
  <si>
    <t>Maddie Perry</t>
  </si>
  <si>
    <t>Elian Scott</t>
  </si>
  <si>
    <t>Vincent Armstrong</t>
  </si>
  <si>
    <t>Kelvin Edwards</t>
  </si>
  <si>
    <t>Thomas Armstrong</t>
  </si>
  <si>
    <t>Julian Watson</t>
  </si>
  <si>
    <t>Sienna Howard</t>
  </si>
  <si>
    <t>Aida</t>
  </si>
  <si>
    <t>Aida Edwards</t>
  </si>
  <si>
    <t>Rubie Montgomery</t>
  </si>
  <si>
    <t>Jessica</t>
  </si>
  <si>
    <t>Jessica Cameron</t>
  </si>
  <si>
    <t>Chester</t>
  </si>
  <si>
    <t>Chester Sullivan</t>
  </si>
  <si>
    <t>Arianna Kelly</t>
  </si>
  <si>
    <t>Ashton Miller</t>
  </si>
  <si>
    <t>Lucas Chapman</t>
  </si>
  <si>
    <t>Bruce Gray</t>
  </si>
  <si>
    <t>Victoria</t>
  </si>
  <si>
    <t>Victoria Foster</t>
  </si>
  <si>
    <t>Carlos</t>
  </si>
  <si>
    <t>Carlos Watson</t>
  </si>
  <si>
    <t>Vincent Foster</t>
  </si>
  <si>
    <t>Thomas Harris</t>
  </si>
  <si>
    <t>Amber</t>
  </si>
  <si>
    <t>Amber Murray</t>
  </si>
  <si>
    <t>Kimberly Brown</t>
  </si>
  <si>
    <t>Edwin Douglas</t>
  </si>
  <si>
    <t>Tiana Smith</t>
  </si>
  <si>
    <t>Kristian Riley</t>
  </si>
  <si>
    <t>Connie Tucker</t>
  </si>
  <si>
    <t>Emma Robinson</t>
  </si>
  <si>
    <t>Tara Thomas</t>
  </si>
  <si>
    <t>Camila Robinson</t>
  </si>
  <si>
    <t>Garry Wilson</t>
  </si>
  <si>
    <t>Preston Moore</t>
  </si>
  <si>
    <t>Nicole Allen</t>
  </si>
  <si>
    <t>Sarah Parker</t>
  </si>
  <si>
    <t>Kevin Kelley</t>
  </si>
  <si>
    <t>Violet Stewart</t>
  </si>
  <si>
    <t>Marcus Roberts</t>
  </si>
  <si>
    <t>Elise Bennett</t>
  </si>
  <si>
    <t>Grace Murphy</t>
  </si>
  <si>
    <t>Savana Harris</t>
  </si>
  <si>
    <t>Rafael Owens</t>
  </si>
  <si>
    <t>Evelyn</t>
  </si>
  <si>
    <t>Evelyn Watson</t>
  </si>
  <si>
    <t>David Myers</t>
  </si>
  <si>
    <t>Aldus Kelley</t>
  </si>
  <si>
    <t>Oscar Richards</t>
  </si>
  <si>
    <t>Myra Montgomery</t>
  </si>
  <si>
    <t>Kirsten</t>
  </si>
  <si>
    <t>Kirsten Perry</t>
  </si>
  <si>
    <t>Carina Hall</t>
  </si>
  <si>
    <t>Maddie Thomas</t>
  </si>
  <si>
    <t>Cherry Ryan</t>
  </si>
  <si>
    <t>Roland Watson</t>
  </si>
  <si>
    <t>Vivian Casey</t>
  </si>
  <si>
    <t>Lucas Kelly</t>
  </si>
  <si>
    <t>Lucia</t>
  </si>
  <si>
    <t>Lucia Cameron</t>
  </si>
  <si>
    <t>Sam Brooks</t>
  </si>
  <si>
    <t>Deanna Foster</t>
  </si>
  <si>
    <t>Fiona Cole</t>
  </si>
  <si>
    <t>Thompson</t>
  </si>
  <si>
    <t>Adelaide Thompson</t>
  </si>
  <si>
    <t>Richard Walker</t>
  </si>
  <si>
    <t>Dexter Higgins</t>
  </si>
  <si>
    <t>Spike Hunt</t>
  </si>
  <si>
    <t>Arianna Walker</t>
  </si>
  <si>
    <t>David Barrett</t>
  </si>
  <si>
    <t>Steven Kelly</t>
  </si>
  <si>
    <t>Jessica Ellis</t>
  </si>
  <si>
    <t>Walter Warren</t>
  </si>
  <si>
    <t>Maya Thomas</t>
  </si>
  <si>
    <t>Tiana Adams</t>
  </si>
  <si>
    <t>Cherry Tucker</t>
  </si>
  <si>
    <t>Justin</t>
  </si>
  <si>
    <t>Justin Dixon</t>
  </si>
  <si>
    <t>Mike Henderson</t>
  </si>
  <si>
    <t>Lucy Hunt</t>
  </si>
  <si>
    <t>Belinda Cameron</t>
  </si>
  <si>
    <t>Alford</t>
  </si>
  <si>
    <t>Alford Elliott</t>
  </si>
  <si>
    <t>Arthur Watson</t>
  </si>
  <si>
    <t>Natalie</t>
  </si>
  <si>
    <t>Natalie Myers</t>
  </si>
  <si>
    <t>Elian Hill</t>
  </si>
  <si>
    <t>Honey Carroll</t>
  </si>
  <si>
    <t>Valeria Howard</t>
  </si>
  <si>
    <t>Carlos Hunt</t>
  </si>
  <si>
    <t>Julian Scott</t>
  </si>
  <si>
    <t>Camila Cameron</t>
  </si>
  <si>
    <t>Kirsten Wilson</t>
  </si>
  <si>
    <t>Adison Bailey</t>
  </si>
  <si>
    <t>Carina Henderson</t>
  </si>
  <si>
    <t>Melanie Riley</t>
  </si>
  <si>
    <t>Ryan Hawkins</t>
  </si>
  <si>
    <t>Connie Chapman</t>
  </si>
  <si>
    <t>Kelsey Rogers</t>
  </si>
  <si>
    <t>Alina Edwards</t>
  </si>
  <si>
    <t>Arthur Myers</t>
  </si>
  <si>
    <t>Tyler Andrews</t>
  </si>
  <si>
    <t>Carina Sullivan</t>
  </si>
  <si>
    <t>Arthur Kelley</t>
  </si>
  <si>
    <t>Michael Alexander</t>
  </si>
  <si>
    <t>James Williams</t>
  </si>
  <si>
    <t>Kate Casey</t>
  </si>
  <si>
    <t>Chester Casey</t>
  </si>
  <si>
    <t>Robert Adams</t>
  </si>
  <si>
    <t>Alina Brooks</t>
  </si>
  <si>
    <t>Agata Sullivan</t>
  </si>
  <si>
    <t>Melissa</t>
  </si>
  <si>
    <t>Melissa Howard</t>
  </si>
  <si>
    <t>Ada Edwards</t>
  </si>
  <si>
    <t>Adrian Farrell</t>
  </si>
  <si>
    <t>Abigail</t>
  </si>
  <si>
    <t>Abigail Ryan</t>
  </si>
  <si>
    <t>Rubie Phillips</t>
  </si>
  <si>
    <t>George Adams</t>
  </si>
  <si>
    <t>Elise Smith</t>
  </si>
  <si>
    <t>Albert Cameron</t>
  </si>
  <si>
    <t>Penelope Thomas</t>
  </si>
  <si>
    <t>Annabella</t>
  </si>
  <si>
    <t>Annabella Parker</t>
  </si>
  <si>
    <t>Eleanor Morgan</t>
  </si>
  <si>
    <t>Heather Gray</t>
  </si>
  <si>
    <t>Arianna Andrews</t>
  </si>
  <si>
    <t>Thomas Hill</t>
  </si>
  <si>
    <t>Sienna Anderson</t>
  </si>
  <si>
    <t>Heather Morris</t>
  </si>
  <si>
    <t>Thomas Harper</t>
  </si>
  <si>
    <t>Alfred</t>
  </si>
  <si>
    <t>Alfred Barnes</t>
  </si>
  <si>
    <t>Audrey Craig</t>
  </si>
  <si>
    <t>Alan Watson</t>
  </si>
  <si>
    <t>Jacob Jones</t>
  </si>
  <si>
    <t>Albert Myers</t>
  </si>
  <si>
    <t>Annabella Evans</t>
  </si>
  <si>
    <t>Maximilian Perry</t>
  </si>
  <si>
    <t>Victoria Perkins</t>
  </si>
  <si>
    <t>James Harrison</t>
  </si>
  <si>
    <t>Alen Hill</t>
  </si>
  <si>
    <t>Elian Stevens</t>
  </si>
  <si>
    <t>Adison Harper</t>
  </si>
  <si>
    <t>Carina Edwards</t>
  </si>
  <si>
    <t>Edgar Richardson</t>
  </si>
  <si>
    <t>Reid Fowler</t>
  </si>
  <si>
    <t>Honey Owens</t>
  </si>
  <si>
    <t>Owen Baker</t>
  </si>
  <si>
    <t>Amelia Perry</t>
  </si>
  <si>
    <t>Rosie Ross</t>
  </si>
  <si>
    <t>Victoria Stewart</t>
  </si>
  <si>
    <t>Eddy Roberts</t>
  </si>
  <si>
    <t>Bruce Thompson</t>
  </si>
  <si>
    <t>Amelia Hunt</t>
  </si>
  <si>
    <t>Fenton Davis</t>
  </si>
  <si>
    <t>Amelia Murphy</t>
  </si>
  <si>
    <t>Frederick Martin</t>
  </si>
  <si>
    <t>Alina Fowler</t>
  </si>
  <si>
    <t>Preston Barrett</t>
  </si>
  <si>
    <t>Vincent Russell</t>
  </si>
  <si>
    <t>Dainton</t>
  </si>
  <si>
    <t>Dainton Robinson</t>
  </si>
  <si>
    <t>Maya Payne</t>
  </si>
  <si>
    <t>Julia Miller</t>
  </si>
  <si>
    <t>Dominik Andrews</t>
  </si>
  <si>
    <t>Madaline</t>
  </si>
  <si>
    <t>Madaline Grant</t>
  </si>
  <si>
    <t>Nicholas Turner</t>
  </si>
  <si>
    <t>Ashton Russell</t>
  </si>
  <si>
    <t>Byron Chapman</t>
  </si>
  <si>
    <t>Aston Baker</t>
  </si>
  <si>
    <t>Emily Kelly</t>
  </si>
  <si>
    <t>Bruce Parker</t>
  </si>
  <si>
    <t>Gianna Jones</t>
  </si>
  <si>
    <t>Roland Gibson</t>
  </si>
  <si>
    <t>Roland Crawford</t>
  </si>
  <si>
    <t>Oscar Taylor</t>
  </si>
  <si>
    <t>Sienna Riley</t>
  </si>
  <si>
    <t>Tara West</t>
  </si>
  <si>
    <t>Max Grant</t>
  </si>
  <si>
    <t>Carl</t>
  </si>
  <si>
    <t>Carl Morgan</t>
  </si>
  <si>
    <t>Lily Wilson</t>
  </si>
  <si>
    <t>Stuart Owens</t>
  </si>
  <si>
    <t>Harold Sullivan</t>
  </si>
  <si>
    <t>Julian Phillips</t>
  </si>
  <si>
    <t>Heather Perkins</t>
  </si>
  <si>
    <t>Alen Owens</t>
  </si>
  <si>
    <t>Emily Carter</t>
  </si>
  <si>
    <t>Robert Harper</t>
  </si>
  <si>
    <t>Emily Campbell</t>
  </si>
  <si>
    <t>Kate Elliott</t>
  </si>
  <si>
    <t>Cherry Montgomery</t>
  </si>
  <si>
    <t>Edith Harper</t>
  </si>
  <si>
    <t>Alen Lloyd</t>
  </si>
  <si>
    <t>Deanna Howard</t>
  </si>
  <si>
    <t>Hailey Wright</t>
  </si>
  <si>
    <t>Cherry Walker</t>
  </si>
  <si>
    <t>Eric Thomas</t>
  </si>
  <si>
    <t>Edith Miller</t>
  </si>
  <si>
    <t>Amanda Stevens</t>
  </si>
  <si>
    <t>Arianna Baker</t>
  </si>
  <si>
    <t>Roland Harrison</t>
  </si>
  <si>
    <t>Nicole Wilson</t>
  </si>
  <si>
    <t>Mary Scott</t>
  </si>
  <si>
    <t>Kimberly Ellis</t>
  </si>
  <si>
    <t>Edwin Carroll</t>
  </si>
  <si>
    <t>Lydia Ellis</t>
  </si>
  <si>
    <t>Ryan Adams</t>
  </si>
  <si>
    <t>Oscar Myers</t>
  </si>
  <si>
    <t>Blake Richards</t>
  </si>
  <si>
    <t>Heather Thomas</t>
  </si>
  <si>
    <t>Olivia</t>
  </si>
  <si>
    <t>Olivia Taylor</t>
  </si>
  <si>
    <t>Ryan Morrison</t>
  </si>
  <si>
    <t>Jared Morris</t>
  </si>
  <si>
    <t>David Campbell</t>
  </si>
  <si>
    <t>Jordan Williams</t>
  </si>
  <si>
    <t>Sarah Bailey</t>
  </si>
  <si>
    <t>Clark Wells</t>
  </si>
  <si>
    <t>Alexander Richardson</t>
  </si>
  <si>
    <t>Anna Higgins</t>
  </si>
  <si>
    <t>Deanna Cole</t>
  </si>
  <si>
    <t>Nicholas Hall</t>
  </si>
  <si>
    <t>Leonardo Myers</t>
  </si>
  <si>
    <t>Chelsea Walker</t>
  </si>
  <si>
    <t>Julian Barrett</t>
  </si>
  <si>
    <t>Daryl Turner</t>
  </si>
  <si>
    <t>Oscar Cunningham</t>
  </si>
  <si>
    <t>Rubie Warren</t>
  </si>
  <si>
    <t>Jordan Martin</t>
  </si>
  <si>
    <t>Alissa Jones</t>
  </si>
  <si>
    <t>Jenna Barnes</t>
  </si>
  <si>
    <t>Evelyn Dixon</t>
  </si>
  <si>
    <t>Frederick Wilson</t>
  </si>
  <si>
    <t>Maria Watson</t>
  </si>
  <si>
    <t>Arianna Lloyd</t>
  </si>
  <si>
    <t>Nicole Rogers</t>
  </si>
  <si>
    <t>Eleanor Wells</t>
  </si>
  <si>
    <t>Kimberly Morrison</t>
  </si>
  <si>
    <t>Patrick</t>
  </si>
  <si>
    <t>Patrick Bennett</t>
  </si>
  <si>
    <t>Catherine Fowler</t>
  </si>
  <si>
    <t>Lilianna Kelly</t>
  </si>
  <si>
    <t>Tess Baker</t>
  </si>
  <si>
    <t>Lilianna Holmes</t>
  </si>
  <si>
    <t>Alberta</t>
  </si>
  <si>
    <t>Alberta Murray</t>
  </si>
  <si>
    <t>Preston Hill</t>
  </si>
  <si>
    <t>Penelope Parker</t>
  </si>
  <si>
    <t>Miley</t>
  </si>
  <si>
    <t>Miley Perkins</t>
  </si>
  <si>
    <t>Dominik Foster</t>
  </si>
  <si>
    <t>Harold Kelly</t>
  </si>
  <si>
    <t>Caroline Carter</t>
  </si>
  <si>
    <t>Albert Ryan</t>
  </si>
  <si>
    <t>Kirsten Stevens</t>
  </si>
  <si>
    <t>Melanie Reed</t>
  </si>
  <si>
    <t>Charlotte Russell</t>
  </si>
  <si>
    <t>Maria Johnston</t>
  </si>
  <si>
    <t>Chelsea Lloyd</t>
  </si>
  <si>
    <t>Alina Richardson</t>
  </si>
  <si>
    <t>Florrie Hall</t>
  </si>
  <si>
    <t>Carina Johnston</t>
  </si>
  <si>
    <t>Aiden Carter</t>
  </si>
  <si>
    <t>Amber Nelson</t>
  </si>
  <si>
    <t>Sam Perry</t>
  </si>
  <si>
    <t>Eleanor Perry</t>
  </si>
  <si>
    <t>Edgar Owens</t>
  </si>
  <si>
    <t>Abraham</t>
  </si>
  <si>
    <t>Abraham Perry</t>
  </si>
  <si>
    <t>Wilson West</t>
  </si>
  <si>
    <t>Valeria Sullivan</t>
  </si>
  <si>
    <t>Michael Harper</t>
  </si>
  <si>
    <t>Bruce Hall</t>
  </si>
  <si>
    <t>Tara Hall</t>
  </si>
  <si>
    <t>Leonardo Montgomery</t>
  </si>
  <si>
    <t>Chloe Sullivan</t>
  </si>
  <si>
    <t>Ellia</t>
  </si>
  <si>
    <t>Ellia Kelly</t>
  </si>
  <si>
    <t>Wilson Stewart</t>
  </si>
  <si>
    <t>Antony</t>
  </si>
  <si>
    <t>Antony Mitchell</t>
  </si>
  <si>
    <t>Lucia Andrews</t>
  </si>
  <si>
    <t>Amanda Foster</t>
  </si>
  <si>
    <t>Rubie Owens</t>
  </si>
  <si>
    <t>Lyndon Casey</t>
  </si>
  <si>
    <t>Edith Montgomery</t>
  </si>
  <si>
    <t>Nicholas Russell</t>
  </si>
  <si>
    <t>Wilson Brooks</t>
  </si>
  <si>
    <t>Sawyer Clark</t>
  </si>
  <si>
    <t>Chester Moore</t>
  </si>
  <si>
    <t>Wilson Davis</t>
  </si>
  <si>
    <t>Lilianna Gray</t>
  </si>
  <si>
    <t>Henry Craig</t>
  </si>
  <si>
    <t>Melanie Russell</t>
  </si>
  <si>
    <t>George Thompson</t>
  </si>
  <si>
    <t>Belinda Holmes</t>
  </si>
  <si>
    <t>Richard Owens</t>
  </si>
  <si>
    <t>Reid Armstrong</t>
  </si>
  <si>
    <t>Olivia Gibson</t>
  </si>
  <si>
    <t>Fenton Williams</t>
  </si>
  <si>
    <t>George Mitchell</t>
  </si>
  <si>
    <t>Miley Thomas</t>
  </si>
  <si>
    <t>Clark West</t>
  </si>
  <si>
    <t>Rubie Brown</t>
  </si>
  <si>
    <t>Adison Williams</t>
  </si>
  <si>
    <t>Dale Hawkins</t>
  </si>
  <si>
    <t>Charlotte Cameron</t>
  </si>
  <si>
    <t>Myra Foster</t>
  </si>
  <si>
    <t>Daisy</t>
  </si>
  <si>
    <t>Daisy Casey</t>
  </si>
  <si>
    <t>Naomi Payne</t>
  </si>
  <si>
    <t>Eddy Murray</t>
  </si>
  <si>
    <t>Walter Ryan</t>
  </si>
  <si>
    <t>Alisa</t>
  </si>
  <si>
    <t>Alisa Wright</t>
  </si>
  <si>
    <t>Mary Richards</t>
  </si>
  <si>
    <t>Sabrina</t>
  </si>
  <si>
    <t>Sabrina Higgins</t>
  </si>
  <si>
    <t>Eddy Farrell</t>
  </si>
  <si>
    <t>Jordan Montgomery</t>
  </si>
  <si>
    <t>Honey Crawford</t>
  </si>
  <si>
    <t>Stella Carroll</t>
  </si>
  <si>
    <t>Alan Grant</t>
  </si>
  <si>
    <t>Mary Ellis</t>
  </si>
  <si>
    <t>James Anderson</t>
  </si>
  <si>
    <t>Alissa Perkins</t>
  </si>
  <si>
    <t>Caroline Rogers</t>
  </si>
  <si>
    <t>Byron Thomas</t>
  </si>
  <si>
    <t>Edgar Higgins</t>
  </si>
  <si>
    <t>Jasmine</t>
  </si>
  <si>
    <t>Jasmine Martin</t>
  </si>
  <si>
    <t>Tara Miller</t>
  </si>
  <si>
    <t>Charlotte Warren</t>
  </si>
  <si>
    <t>Daisy Alexander</t>
  </si>
  <si>
    <t>John Edwards</t>
  </si>
  <si>
    <t>Florrie Elliott</t>
  </si>
  <si>
    <t>Arianna Cooper</t>
  </si>
  <si>
    <t>Robert Morrison</t>
  </si>
  <si>
    <t>Blake Bennett</t>
  </si>
  <si>
    <t>Justin Taylor</t>
  </si>
  <si>
    <t>Haris Elliott</t>
  </si>
  <si>
    <t>Lily Williams</t>
  </si>
  <si>
    <t>Annabella Russell</t>
  </si>
  <si>
    <t>Michael Perkins</t>
  </si>
  <si>
    <t>Nicole Owens</t>
  </si>
  <si>
    <t>Kristian Walker</t>
  </si>
  <si>
    <t>Tara Richardson</t>
  </si>
  <si>
    <t>Ned Farrell</t>
  </si>
  <si>
    <t>Justin Mason</t>
  </si>
  <si>
    <t>Adrianna Cooper</t>
  </si>
  <si>
    <t>Lana Harper</t>
  </si>
  <si>
    <t>Ada Moore</t>
  </si>
  <si>
    <t>Clark Hawkins</t>
  </si>
  <si>
    <t>Alfred Riley</t>
  </si>
  <si>
    <t>Sofia Gibson</t>
  </si>
  <si>
    <t>Nicholas Evans</t>
  </si>
  <si>
    <t>Sienna Adams</t>
  </si>
  <si>
    <t>Heather Davis</t>
  </si>
  <si>
    <t>Owen Barrett</t>
  </si>
  <si>
    <t>Ada Dixon</t>
  </si>
  <si>
    <t>Joyce</t>
  </si>
  <si>
    <t>Joyce Johnson</t>
  </si>
  <si>
    <t>Catherine Scott</t>
  </si>
  <si>
    <t>Antony West</t>
  </si>
  <si>
    <t>Carina Clark</t>
  </si>
  <si>
    <t>Alford Hall</t>
  </si>
  <si>
    <t>Tiana Owens</t>
  </si>
  <si>
    <t>Lilianna Foster</t>
  </si>
  <si>
    <t>Jasmine Fowler</t>
  </si>
  <si>
    <t>Adrianna Kelley</t>
  </si>
  <si>
    <t>Brad Howard</t>
  </si>
  <si>
    <t>Jenna Stewart</t>
  </si>
  <si>
    <t>Marcus Campbell</t>
  </si>
  <si>
    <t>Gianna Wells</t>
  </si>
  <si>
    <t>Lucas Thomas</t>
  </si>
  <si>
    <t>April Turner</t>
  </si>
  <si>
    <t>Eric Barrett</t>
  </si>
  <si>
    <t>Ted Evans</t>
  </si>
  <si>
    <t>Cadie Hawkins</t>
  </si>
  <si>
    <t>Lily Wright</t>
  </si>
  <si>
    <t>Nicholas Warren</t>
  </si>
  <si>
    <t>Fiona Hill</t>
  </si>
  <si>
    <t>Fiona Kelly</t>
  </si>
  <si>
    <t>William</t>
  </si>
  <si>
    <t>William Carroll</t>
  </si>
  <si>
    <t>Melissa Turner</t>
  </si>
  <si>
    <t>Alfred Henderson</t>
  </si>
  <si>
    <t>Deanna Warren</t>
  </si>
  <si>
    <t>Ryan Roberts</t>
  </si>
  <si>
    <t>Blake Morgan</t>
  </si>
  <si>
    <t>Rubie Hunt</t>
  </si>
  <si>
    <t>Victoria Hill</t>
  </si>
  <si>
    <t>Catherine Higgins</t>
  </si>
  <si>
    <t>Heather Hawkins</t>
  </si>
  <si>
    <t>Alford Myers</t>
  </si>
  <si>
    <t>Preston Mason</t>
  </si>
  <si>
    <t>Alexander Allen</t>
  </si>
  <si>
    <t>Lucy Richardson</t>
  </si>
  <si>
    <t>Connie Hall</t>
  </si>
  <si>
    <t>Reid West</t>
  </si>
  <si>
    <t>Ada Parker</t>
  </si>
  <si>
    <t>Oliver Mitchell</t>
  </si>
  <si>
    <t>Edgar Carter</t>
  </si>
  <si>
    <t>Garry Higgins</t>
  </si>
  <si>
    <t>Julian Reed</t>
  </si>
  <si>
    <t>Albert Stewart</t>
  </si>
  <si>
    <t>Byron Bennett</t>
  </si>
  <si>
    <t>Nicole Hill</t>
  </si>
  <si>
    <t>Emma Parker</t>
  </si>
  <si>
    <t>Spike Adams</t>
  </si>
  <si>
    <t>Ryan Harrison</t>
  </si>
  <si>
    <t>Jack Henderson</t>
  </si>
  <si>
    <t>Derek</t>
  </si>
  <si>
    <t>Derek Parker</t>
  </si>
  <si>
    <t>Paul Sullivan</t>
  </si>
  <si>
    <t>Elian Riley</t>
  </si>
  <si>
    <t>Henry Richardson</t>
  </si>
  <si>
    <t>Olivia Thomas</t>
  </si>
  <si>
    <t>Adison Johnston</t>
  </si>
  <si>
    <t>Savana Hill</t>
  </si>
  <si>
    <t>Byron Casey</t>
  </si>
  <si>
    <t>Dominik Edwards</t>
  </si>
  <si>
    <t>Patrick Grant</t>
  </si>
  <si>
    <t>Sarah Watson</t>
  </si>
  <si>
    <t>Anna Parker</t>
  </si>
  <si>
    <t>Tony Moore</t>
  </si>
  <si>
    <t>Alberta Holmes</t>
  </si>
  <si>
    <t>Michael Johnson</t>
  </si>
  <si>
    <t>Hailey Grant</t>
  </si>
  <si>
    <t>Stella Henderson</t>
  </si>
  <si>
    <t>George Tucker</t>
  </si>
  <si>
    <t>Daryl Carroll</t>
  </si>
  <si>
    <t>Savana Spencer</t>
  </si>
  <si>
    <t>Kevin Grant</t>
  </si>
  <si>
    <t>Kirsten Morris</t>
  </si>
  <si>
    <t>Chloe Bailey</t>
  </si>
  <si>
    <t>Sam Kelly</t>
  </si>
  <si>
    <t>Adele Cunningham</t>
  </si>
  <si>
    <t>Edwin Baker</t>
  </si>
  <si>
    <t>Adrian Ferguson</t>
  </si>
  <si>
    <t>William Lloyd</t>
  </si>
  <si>
    <t>Alissa Cunningham</t>
  </si>
  <si>
    <t>Ryan Phillips</t>
  </si>
  <si>
    <t>Freddie Warren</t>
  </si>
  <si>
    <t>Alina Watson</t>
  </si>
  <si>
    <t>Tony Carroll</t>
  </si>
  <si>
    <t>Melanie Nelson</t>
  </si>
  <si>
    <t>Adrian Wilson</t>
  </si>
  <si>
    <t>Roland Taylor</t>
  </si>
  <si>
    <t>Charlie Wells</t>
  </si>
  <si>
    <t>Ryan Gibson</t>
  </si>
  <si>
    <t>April Morrison</t>
  </si>
  <si>
    <t>Grace Edwards</t>
  </si>
  <si>
    <t>Frederick Miller</t>
  </si>
  <si>
    <t>Belinda Moore</t>
  </si>
  <si>
    <t>Stella Bennett</t>
  </si>
  <si>
    <t>Clark Gibson</t>
  </si>
  <si>
    <t>Marcus Nelson</t>
  </si>
  <si>
    <t>Julia Mitchell</t>
  </si>
  <si>
    <t>Emily Johnston</t>
  </si>
  <si>
    <t>Rubie Rogers</t>
  </si>
  <si>
    <t>Miley Moore</t>
  </si>
  <si>
    <t>Sarah Cunningham</t>
  </si>
  <si>
    <t>Violet Thomas</t>
  </si>
  <si>
    <t>Clark Owens</t>
  </si>
  <si>
    <t>April Walker</t>
  </si>
  <si>
    <t>Adrian Carter</t>
  </si>
  <si>
    <t>Alen Carroll</t>
  </si>
  <si>
    <t>Frederick Ryan</t>
  </si>
  <si>
    <t>Garry Turner</t>
  </si>
  <si>
    <t>Brooke Taylor</t>
  </si>
  <si>
    <t>Agata Higgins</t>
  </si>
  <si>
    <t>Naomi Russell</t>
  </si>
  <si>
    <t>Patrick Cooper</t>
  </si>
  <si>
    <t>Chester Ryan</t>
  </si>
  <si>
    <t>Carlos Perry</t>
  </si>
  <si>
    <t>Justin Cole</t>
  </si>
  <si>
    <t>Ned Thompson</t>
  </si>
  <si>
    <t>Lilianna Baker</t>
  </si>
  <si>
    <t>Kellan Elliott</t>
  </si>
  <si>
    <t>Maddie Cooper</t>
  </si>
  <si>
    <t>April Stevens</t>
  </si>
  <si>
    <t>Aida Gibson</t>
  </si>
  <si>
    <t>Vivian Taylor</t>
  </si>
  <si>
    <t>Emily Thomas</t>
  </si>
  <si>
    <t>Miley Martin</t>
  </si>
  <si>
    <t>Fiona Hawkins</t>
  </si>
  <si>
    <t>Clark Stewart</t>
  </si>
  <si>
    <t>Vincent Montgomery</t>
  </si>
  <si>
    <t>Alford Mason</t>
  </si>
  <si>
    <t>Robert Andrews</t>
  </si>
  <si>
    <t>Kirsten Allen</t>
  </si>
  <si>
    <t>Julian Clark</t>
  </si>
  <si>
    <t>Edward Elliott</t>
  </si>
  <si>
    <t>Roman Foster</t>
  </si>
  <si>
    <t>Maximilian Cunningham</t>
  </si>
  <si>
    <t>Julian Baker</t>
  </si>
  <si>
    <t>Harold Barnes</t>
  </si>
  <si>
    <t>Lyndon Watson</t>
  </si>
  <si>
    <t>Edith Bailey</t>
  </si>
  <si>
    <t>Thomas Wilson</t>
  </si>
  <si>
    <t>Edward Kelly</t>
  </si>
  <si>
    <t>Martin Chapman</t>
  </si>
  <si>
    <t>Jessica Moore</t>
  </si>
  <si>
    <t>Paige Baker</t>
  </si>
  <si>
    <t>Jasmine Higgins</t>
  </si>
  <si>
    <t>Arnold Robinson</t>
  </si>
  <si>
    <t>Carina Ferguson</t>
  </si>
  <si>
    <t>Michelle</t>
  </si>
  <si>
    <t>Michelle Fowler</t>
  </si>
  <si>
    <t>Lucia Gray</t>
  </si>
  <si>
    <t>Oliver Robinson</t>
  </si>
  <si>
    <t>Alberta Wells</t>
  </si>
  <si>
    <t>Aiden Cameron</t>
  </si>
  <si>
    <t>John Mason</t>
  </si>
  <si>
    <t>Justin Perry</t>
  </si>
  <si>
    <t>Alisa Phillips</t>
  </si>
  <si>
    <t>Arnold Barnes</t>
  </si>
  <si>
    <t>Jack Robinson</t>
  </si>
  <si>
    <t>Derek Taylor</t>
  </si>
  <si>
    <t>Nicholas Dixon</t>
  </si>
  <si>
    <t>Julian Myers</t>
  </si>
  <si>
    <t>Brooke Harrison</t>
  </si>
  <si>
    <t>Naomi Elliott</t>
  </si>
  <si>
    <t>Penelope Robinson</t>
  </si>
  <si>
    <t>Alford Hamilton</t>
  </si>
  <si>
    <t>Sydney</t>
  </si>
  <si>
    <t>Sydney Craig</t>
  </si>
  <si>
    <t>Olivia Murray</t>
  </si>
  <si>
    <t>Alissa Armstrong</t>
  </si>
  <si>
    <t>Jordan Allen</t>
  </si>
  <si>
    <t>Alina Henderson</t>
  </si>
  <si>
    <t>Agata Barnes</t>
  </si>
  <si>
    <t>Bruce Wright</t>
  </si>
  <si>
    <t>Julia Taylor</t>
  </si>
  <si>
    <t>Rubie Bailey</t>
  </si>
  <si>
    <t>William Richardson</t>
  </si>
  <si>
    <t>Samantha Anderson</t>
  </si>
  <si>
    <t>Edith Edwards</t>
  </si>
  <si>
    <t>Violet Dixon</t>
  </si>
  <si>
    <t>Arthur Smith</t>
  </si>
  <si>
    <t>Camila Carter</t>
  </si>
  <si>
    <t>Dale Richards</t>
  </si>
  <si>
    <t>Abigail Fowler</t>
  </si>
  <si>
    <t>Jared Ellis</t>
  </si>
  <si>
    <t>Samantha Foster</t>
  </si>
  <si>
    <t>Tess Williams</t>
  </si>
  <si>
    <t>Mike Miller</t>
  </si>
  <si>
    <t>Chester Smith</t>
  </si>
  <si>
    <t>Darcy Myers</t>
  </si>
  <si>
    <t>Thomas Chapman</t>
  </si>
  <si>
    <t>Arnold Johnston</t>
  </si>
  <si>
    <t>Lyndon Murphy</t>
  </si>
  <si>
    <t>Miranda Spencer</t>
  </si>
  <si>
    <t>Lyndon Fowler</t>
  </si>
  <si>
    <t>Hailey Cole</t>
  </si>
  <si>
    <t>Maddie Jones</t>
  </si>
  <si>
    <t>Frederick Craig</t>
  </si>
  <si>
    <t>Cherry Barnes</t>
  </si>
  <si>
    <t>Emma Wright</t>
  </si>
  <si>
    <t>Belinda Brown</t>
  </si>
  <si>
    <t>Ryan Bennett</t>
  </si>
  <si>
    <t>Amelia Barrett</t>
  </si>
  <si>
    <t>Thomas Baker</t>
  </si>
  <si>
    <t>Alberta Robinson</t>
  </si>
  <si>
    <t>Violet Ellis</t>
  </si>
  <si>
    <t>Brooke Walker</t>
  </si>
  <si>
    <t>Alfred Ryan</t>
  </si>
  <si>
    <t>Briony</t>
  </si>
  <si>
    <t>Briony Higgins</t>
  </si>
  <si>
    <t>Tara Owens</t>
  </si>
  <si>
    <t>Adele Adams</t>
  </si>
  <si>
    <t>Byron Tucker</t>
  </si>
  <si>
    <t>Eddy Hamilton</t>
  </si>
  <si>
    <t>Jenna Montgomery</t>
  </si>
  <si>
    <t>Paige Murphy</t>
  </si>
  <si>
    <t>William Brown</t>
  </si>
  <si>
    <t>Kellan Crawford</t>
  </si>
  <si>
    <t>James Carroll</t>
  </si>
  <si>
    <t>Deanna Adams</t>
  </si>
  <si>
    <t>David Rogers</t>
  </si>
  <si>
    <t>Edith Wright</t>
  </si>
  <si>
    <t>Leonardo Brooks</t>
  </si>
  <si>
    <t>Antony Higgins</t>
  </si>
  <si>
    <t>Sarah Dixon</t>
  </si>
  <si>
    <t>Patrick Evans</t>
  </si>
  <si>
    <t>Evelyn Tucker</t>
  </si>
  <si>
    <t>Luke Alexander</t>
  </si>
  <si>
    <t>Heather Harper</t>
  </si>
  <si>
    <t>Fiona Harper</t>
  </si>
  <si>
    <t>Max Tucker</t>
  </si>
  <si>
    <t>Carlos Fowler</t>
  </si>
  <si>
    <t>Dominik Carroll</t>
  </si>
  <si>
    <t>Ned Morgan</t>
  </si>
  <si>
    <t>Tess Elliott</t>
  </si>
  <si>
    <t>Jessica Wells</t>
  </si>
  <si>
    <t>Frederick Henderson</t>
  </si>
  <si>
    <t>Dexter Robinson</t>
  </si>
  <si>
    <t>Tony Douglas</t>
  </si>
  <si>
    <t>Ted Foster</t>
  </si>
  <si>
    <t>Roman Payne</t>
  </si>
  <si>
    <t>Audrey Johnston</t>
  </si>
  <si>
    <t>Adam Hunt</t>
  </si>
  <si>
    <t>Carlos Edwards</t>
  </si>
  <si>
    <t>Lyndon Kelley</t>
  </si>
  <si>
    <t>Carl Walker</t>
  </si>
  <si>
    <t>Victoria Richards</t>
  </si>
  <si>
    <t>Bruce Ellis</t>
  </si>
  <si>
    <t>Preston Harper</t>
  </si>
  <si>
    <t>Aldus Higgins</t>
  </si>
  <si>
    <t>Roman Cole</t>
  </si>
  <si>
    <t>Derek Adams</t>
  </si>
  <si>
    <t>Arthur Stevens</t>
  </si>
  <si>
    <t>Brooke Morrison</t>
  </si>
  <si>
    <t>Tiana Thompson</t>
  </si>
  <si>
    <t>Julia Ferguson</t>
  </si>
  <si>
    <t>Chloe Gibson</t>
  </si>
  <si>
    <t>Amy</t>
  </si>
  <si>
    <t>Amy Wilson</t>
  </si>
  <si>
    <t>Rebecca Holmes</t>
  </si>
  <si>
    <t>Nicholas Taylor</t>
  </si>
  <si>
    <t>Adison Elliott</t>
  </si>
  <si>
    <t>Eric Hamilton</t>
  </si>
  <si>
    <t>Byron Warren</t>
  </si>
  <si>
    <t>Sydney Douglas</t>
  </si>
  <si>
    <t>William Miller</t>
  </si>
  <si>
    <t>Edwin Crawford</t>
  </si>
  <si>
    <t>Ashton Williams</t>
  </si>
  <si>
    <t>Cadie Richards</t>
  </si>
  <si>
    <t>Reid Scott</t>
  </si>
  <si>
    <t>Briony Tucker</t>
  </si>
  <si>
    <t>Emily Smith</t>
  </si>
  <si>
    <t>Aiden Foster</t>
  </si>
  <si>
    <t>Edgar Wilson</t>
  </si>
  <si>
    <t>Paige Tucker</t>
  </si>
  <si>
    <t>Elise Wells</t>
  </si>
  <si>
    <t>Antony Roberts</t>
  </si>
  <si>
    <t>Adison Hall</t>
  </si>
  <si>
    <t>Steven Andrews</t>
  </si>
  <si>
    <t>Alexia Gray</t>
  </si>
  <si>
    <t>Oscar Alexander</t>
  </si>
  <si>
    <t>Jessica Fowler</t>
  </si>
  <si>
    <t>Jasmine Anderson</t>
  </si>
  <si>
    <t>Lucas Jones</t>
  </si>
  <si>
    <t>Ryan Thomas</t>
  </si>
  <si>
    <t>Roman Martin</t>
  </si>
  <si>
    <t>Penelope Gibson</t>
  </si>
  <si>
    <t>Anna Tucker</t>
  </si>
  <si>
    <t>Lucia Holmes</t>
  </si>
  <si>
    <t>Adelaide Montgomery</t>
  </si>
  <si>
    <t>Rosie Harper</t>
  </si>
  <si>
    <t>Sophia Ferguson</t>
  </si>
  <si>
    <t>Fenton Stewart</t>
  </si>
  <si>
    <t>Emily Baker</t>
  </si>
  <si>
    <t>Alina Cameron</t>
  </si>
  <si>
    <t>Lydia Chapman</t>
  </si>
  <si>
    <t>Aiden Chapman</t>
  </si>
  <si>
    <t>Rosie Douglas</t>
  </si>
  <si>
    <t>Dexter Williams</t>
  </si>
  <si>
    <t>First Name</t>
  </si>
  <si>
    <t>Last Name</t>
  </si>
  <si>
    <t>Full Name</t>
  </si>
  <si>
    <t>Gender</t>
  </si>
  <si>
    <t>Age</t>
  </si>
  <si>
    <t>Occupation</t>
  </si>
  <si>
    <t>Salary</t>
  </si>
  <si>
    <t>Marital Status</t>
  </si>
  <si>
    <t>No. of Children</t>
  </si>
  <si>
    <t>Row Labels</t>
  </si>
  <si>
    <t>Grand Total</t>
  </si>
  <si>
    <t>Average of Salary</t>
  </si>
  <si>
    <t>Column Labels</t>
  </si>
  <si>
    <t>Age Bracket</t>
  </si>
  <si>
    <t>Middle Age</t>
  </si>
  <si>
    <t>Old</t>
  </si>
  <si>
    <t>Young</t>
  </si>
  <si>
    <t>Sum of No. of Children</t>
  </si>
  <si>
    <t>Average Total</t>
  </si>
  <si>
    <t>Average Salary</t>
  </si>
  <si>
    <t>SURVEY DASHBOARD</t>
  </si>
  <si>
    <t>Lawyer</t>
  </si>
  <si>
    <r>
      <t>Unique Occupations:</t>
    </r>
    <r>
      <rPr>
        <sz val="11"/>
        <color rgb="FF000000"/>
        <rFont val="Arial"/>
        <family val="2"/>
      </rPr>
      <t xml:space="preserve"> There are 53 unique occupations in the dataset.</t>
    </r>
  </si>
  <si>
    <r>
      <t xml:space="preserve"> </t>
    </r>
    <r>
      <rPr>
        <b/>
        <u/>
        <sz val="11"/>
        <color rgb="FF000000"/>
        <rFont val="Arial"/>
        <family val="2"/>
      </rPr>
      <t>Gender Distribution:</t>
    </r>
    <r>
      <rPr>
        <sz val="11"/>
        <color rgb="FF000000"/>
        <rFont val="Arial"/>
        <family val="2"/>
      </rPr>
      <t xml:space="preserve"> The gender distribution is </t>
    </r>
    <r>
      <rPr>
        <u/>
        <sz val="11"/>
        <color rgb="FF000000"/>
        <rFont val="Arial"/>
        <family val="2"/>
      </rPr>
      <t>514 males</t>
    </r>
    <r>
      <rPr>
        <sz val="11"/>
        <color rgb="FF000000"/>
        <rFont val="Arial"/>
        <family val="2"/>
      </rPr>
      <t xml:space="preserve"> and </t>
    </r>
    <r>
      <rPr>
        <u/>
        <sz val="11"/>
        <color rgb="FF000000"/>
        <rFont val="Arial"/>
        <family val="2"/>
      </rPr>
      <t>486 females</t>
    </r>
    <r>
      <rPr>
        <sz val="11"/>
        <color rgb="FF000000"/>
        <rFont val="Arial"/>
        <family val="2"/>
      </rPr>
      <t>.</t>
    </r>
  </si>
  <si>
    <r>
      <t>Age Statistics:</t>
    </r>
    <r>
      <rPr>
        <sz val="11"/>
        <color rgb="FF000000"/>
        <rFont val="Arial"/>
        <family val="2"/>
      </rPr>
      <t xml:space="preserve"> The </t>
    </r>
    <r>
      <rPr>
        <u/>
        <sz val="11"/>
        <color rgb="FF000000"/>
        <rFont val="Arial"/>
        <family val="2"/>
      </rPr>
      <t>average age is 39.5 years</t>
    </r>
    <r>
      <rPr>
        <sz val="11"/>
        <color rgb="FF000000"/>
        <rFont val="Arial"/>
        <family val="2"/>
      </rPr>
      <t xml:space="preserve">, with a </t>
    </r>
    <r>
      <rPr>
        <u/>
        <sz val="11"/>
        <color rgb="FF000000"/>
        <rFont val="Arial"/>
        <family val="2"/>
      </rPr>
      <t>minimum age of 18</t>
    </r>
    <r>
      <rPr>
        <sz val="11"/>
        <color rgb="FF000000"/>
        <rFont val="Arial"/>
        <family val="2"/>
      </rPr>
      <t xml:space="preserve"> and a </t>
    </r>
    <r>
      <rPr>
        <u/>
        <sz val="11"/>
        <color rgb="FF000000"/>
        <rFont val="Arial"/>
        <family val="2"/>
      </rPr>
      <t>maximum age of 60.</t>
    </r>
  </si>
  <si>
    <r>
      <t>Most Common Age Bracket:</t>
    </r>
    <r>
      <rPr>
        <sz val="11"/>
        <color rgb="FF000000"/>
        <rFont val="Arial"/>
        <family val="2"/>
      </rPr>
      <t xml:space="preserve"> The most common age bracket is "Middle Age," with 468 individuals.</t>
    </r>
  </si>
  <si>
    <r>
      <t>Average Salary by Gender:</t>
    </r>
    <r>
      <rPr>
        <sz val="11"/>
        <color rgb="FF000000"/>
        <rFont val="Arial"/>
        <family val="2"/>
      </rPr>
      <t xml:space="preserve"> The average salary for </t>
    </r>
    <r>
      <rPr>
        <u/>
        <sz val="11"/>
        <color rgb="FF000000"/>
        <rFont val="Arial"/>
        <family val="2"/>
      </rPr>
      <t>females is $5,226</t>
    </r>
    <r>
      <rPr>
        <sz val="11"/>
        <color rgb="FF000000"/>
        <rFont val="Arial"/>
        <family val="2"/>
      </rPr>
      <t xml:space="preserve">, while for </t>
    </r>
    <r>
      <rPr>
        <u/>
        <sz val="11"/>
        <color rgb="FF000000"/>
        <rFont val="Arial"/>
        <family val="2"/>
      </rPr>
      <t>males, it's $5,377</t>
    </r>
    <r>
      <rPr>
        <sz val="11"/>
        <color rgb="FF000000"/>
        <rFont val="Arial"/>
        <family val="2"/>
      </rPr>
      <t>.</t>
    </r>
  </si>
  <si>
    <r>
      <t>Highest Paying Occupation:</t>
    </r>
    <r>
      <rPr>
        <sz val="11"/>
        <color rgb="FF000000"/>
        <rFont val="Arial"/>
        <family val="2"/>
      </rPr>
      <t xml:space="preserve"> The occupation with the </t>
    </r>
    <r>
      <rPr>
        <u/>
        <sz val="11"/>
        <color rgb="FF000000"/>
        <rFont val="Arial"/>
        <family val="2"/>
      </rPr>
      <t>highest average salary is "Mechanic,"</t>
    </r>
    <r>
      <rPr>
        <sz val="11"/>
        <color rgb="FF000000"/>
        <rFont val="Arial"/>
        <family val="2"/>
      </rPr>
      <t xml:space="preserve"> with an </t>
    </r>
    <r>
      <rPr>
        <u/>
        <sz val="11"/>
        <color rgb="FF000000"/>
        <rFont val="Arial"/>
        <family val="2"/>
      </rPr>
      <t>average salary of $6,885</t>
    </r>
    <r>
      <rPr>
        <sz val="11"/>
        <color rgb="FF000000"/>
        <rFont val="Arial"/>
        <family val="2"/>
      </rPr>
      <t>.</t>
    </r>
  </si>
  <si>
    <r>
      <t>Marital Status:</t>
    </r>
    <r>
      <rPr>
        <sz val="11"/>
        <color rgb="FF000000"/>
        <rFont val="Arial"/>
        <family val="2"/>
      </rPr>
      <t xml:space="preserve"> 48.7% of the individuals are married.</t>
    </r>
  </si>
  <si>
    <r>
      <t>Individuals with Children:</t>
    </r>
    <r>
      <rPr>
        <sz val="11"/>
        <color rgb="FF000000"/>
        <rFont val="Arial"/>
        <family val="2"/>
      </rPr>
      <t xml:space="preserve"> 830 individuals have at least one child.</t>
    </r>
  </si>
  <si>
    <r>
      <t>Most Common Occupation:</t>
    </r>
    <r>
      <rPr>
        <sz val="11"/>
        <color rgb="FF000000"/>
        <rFont val="Arial"/>
        <family val="2"/>
      </rPr>
      <t xml:space="preserve"> The most common occupation is "Insurer."</t>
    </r>
  </si>
  <si>
    <r>
      <t>Highest Salary:</t>
    </r>
    <r>
      <rPr>
        <sz val="11"/>
        <color rgb="FF000000"/>
        <rFont val="Arial"/>
        <family val="2"/>
      </rPr>
      <t xml:space="preserve"> The highest salary in the dataset is $10,000.</t>
    </r>
  </si>
  <si>
    <r>
      <t>Lowest Salary:</t>
    </r>
    <r>
      <rPr>
        <sz val="11"/>
        <color rgb="FF000000"/>
        <rFont val="Arial"/>
        <family val="2"/>
      </rPr>
      <t xml:space="preserve"> The lowest salary is $520.</t>
    </r>
  </si>
  <si>
    <r>
      <t>Gender with Highest Average Number of Children:</t>
    </r>
    <r>
      <rPr>
        <sz val="11"/>
        <color rgb="FF000000"/>
        <rFont val="Arial"/>
        <family val="2"/>
      </rPr>
      <t xml:space="preserve"> Males have the highest average number of children.</t>
    </r>
  </si>
  <si>
    <r>
      <t>Age Bracket with Highest Salary:</t>
    </r>
    <r>
      <rPr>
        <sz val="11"/>
        <color rgb="FF000000"/>
        <rFont val="Arial"/>
        <family val="2"/>
      </rPr>
      <t xml:space="preserve"> The "Young" age bracket has the highest average salary.</t>
    </r>
  </si>
  <si>
    <r>
      <t>Most Common Salary Range:</t>
    </r>
    <r>
      <rPr>
        <sz val="11"/>
        <color rgb="FF000000"/>
        <rFont val="Arial"/>
        <family val="2"/>
      </rPr>
      <t xml:space="preserve"> The salary range is between $520 to $10,000.</t>
    </r>
  </si>
  <si>
    <r>
      <t>Maximum Count Of Children by Maritial Status:</t>
    </r>
    <r>
      <rPr>
        <sz val="11"/>
        <color rgb="FF000000"/>
        <rFont val="Arial"/>
        <family val="2"/>
      </rPr>
      <t xml:space="preserve"> Singles have maximum count of children as compare to the married peoples.</t>
    </r>
  </si>
  <si>
    <r>
      <t>Average Salary by Marital Status:</t>
    </r>
    <r>
      <rPr>
        <sz val="11"/>
        <color rgb="FF000000"/>
        <rFont val="Arial"/>
        <family val="2"/>
      </rPr>
      <t xml:space="preserve"> Married individuals have an average salary of $5,233, while single individuals have $5,370.</t>
    </r>
  </si>
  <si>
    <r>
      <t>Most Common Number of Children:</t>
    </r>
    <r>
      <rPr>
        <sz val="11"/>
        <color rgb="FF000000"/>
        <rFont val="Arial"/>
        <family val="2"/>
      </rPr>
      <t xml:space="preserve"> The most common number of children is 1.</t>
    </r>
  </si>
  <si>
    <r>
      <t>Occupation with Most Married Individuals:</t>
    </r>
    <r>
      <rPr>
        <sz val="11"/>
        <color rgb="FF000000"/>
        <rFont val="Arial"/>
        <family val="2"/>
      </rPr>
      <t xml:space="preserve"> The occupation with the highest number of married individuals is "Biochemist" And "Insurer".</t>
    </r>
  </si>
  <si>
    <r>
      <t>Average Age by Occupation:</t>
    </r>
    <r>
      <rPr>
        <sz val="11"/>
        <color rgb="FF000000"/>
        <rFont val="Arial"/>
        <family val="2"/>
      </rPr>
      <t xml:space="preserve"> The average age varies significantly by occupation, with "Accountant" having an average age of 44.5 and "Mechanic" having an average age of 35.25.</t>
    </r>
  </si>
  <si>
    <r>
      <t>Gender with Highest Salary:</t>
    </r>
    <r>
      <rPr>
        <sz val="11"/>
        <color rgb="FF000000"/>
        <rFont val="Arial"/>
        <family val="2"/>
      </rPr>
      <t xml:space="preserve"> Males have the highest average salary. ​</t>
    </r>
  </si>
  <si>
    <t>20 interesting observations from the data</t>
  </si>
  <si>
    <r>
      <t xml:space="preserve">1.  </t>
    </r>
    <r>
      <rPr>
        <b/>
        <u/>
        <sz val="11"/>
        <color theme="1"/>
        <rFont val="Calibri"/>
        <family val="2"/>
      </rPr>
      <t>Steps involved in an analytical project:</t>
    </r>
  </si>
  <si>
    <r>
      <t>1.</t>
    </r>
    <r>
      <rPr>
        <sz val="7"/>
        <color theme="1"/>
        <rFont val="Times New Roman"/>
        <family val="1"/>
      </rPr>
      <t xml:space="preserve">      </t>
    </r>
    <r>
      <rPr>
        <sz val="11"/>
        <color theme="1"/>
        <rFont val="Calibri"/>
        <family val="2"/>
      </rPr>
      <t>Problem Definition</t>
    </r>
  </si>
  <si>
    <r>
      <t>2.</t>
    </r>
    <r>
      <rPr>
        <sz val="7"/>
        <color theme="1"/>
        <rFont val="Times New Roman"/>
        <family val="1"/>
      </rPr>
      <t xml:space="preserve">      </t>
    </r>
    <r>
      <rPr>
        <sz val="11"/>
        <color theme="1"/>
        <rFont val="Calibri"/>
        <family val="2"/>
      </rPr>
      <t>Data Collection</t>
    </r>
  </si>
  <si>
    <r>
      <t>3.</t>
    </r>
    <r>
      <rPr>
        <sz val="7"/>
        <color theme="1"/>
        <rFont val="Times New Roman"/>
        <family val="1"/>
      </rPr>
      <t xml:space="preserve">      </t>
    </r>
    <r>
      <rPr>
        <sz val="11"/>
        <color theme="1"/>
        <rFont val="Calibri"/>
        <family val="2"/>
      </rPr>
      <t>Data Preparation</t>
    </r>
  </si>
  <si>
    <r>
      <t>4.</t>
    </r>
    <r>
      <rPr>
        <sz val="7"/>
        <color theme="1"/>
        <rFont val="Times New Roman"/>
        <family val="1"/>
      </rPr>
      <t xml:space="preserve">      </t>
    </r>
    <r>
      <rPr>
        <sz val="11"/>
        <color theme="1"/>
        <rFont val="Calibri"/>
        <family val="2"/>
      </rPr>
      <t>Exploratory Data Analysis (EDA)</t>
    </r>
  </si>
  <si>
    <r>
      <t>5.</t>
    </r>
    <r>
      <rPr>
        <sz val="7"/>
        <color theme="1"/>
        <rFont val="Times New Roman"/>
        <family val="1"/>
      </rPr>
      <t xml:space="preserve">      </t>
    </r>
    <r>
      <rPr>
        <sz val="11"/>
        <color theme="1"/>
        <rFont val="Calibri"/>
        <family val="2"/>
      </rPr>
      <t>Modeling/Analysis</t>
    </r>
  </si>
  <si>
    <r>
      <t>6.</t>
    </r>
    <r>
      <rPr>
        <sz val="7"/>
        <color theme="1"/>
        <rFont val="Times New Roman"/>
        <family val="1"/>
      </rPr>
      <t xml:space="preserve">      </t>
    </r>
    <r>
      <rPr>
        <sz val="11"/>
        <color theme="1"/>
        <rFont val="Calibri"/>
        <family val="2"/>
      </rPr>
      <t>Interpretation and Insights</t>
    </r>
  </si>
  <si>
    <r>
      <t>7.</t>
    </r>
    <r>
      <rPr>
        <sz val="7"/>
        <color theme="1"/>
        <rFont val="Times New Roman"/>
        <family val="1"/>
      </rPr>
      <t xml:space="preserve">      </t>
    </r>
    <r>
      <rPr>
        <sz val="11"/>
        <color theme="1"/>
        <rFont val="Calibri"/>
        <family val="2"/>
      </rPr>
      <t>Communication of Results</t>
    </r>
  </si>
  <si>
    <r>
      <t>8.</t>
    </r>
    <r>
      <rPr>
        <sz val="7"/>
        <color theme="1"/>
        <rFont val="Times New Roman"/>
        <family val="1"/>
      </rPr>
      <t xml:space="preserve">      </t>
    </r>
    <r>
      <rPr>
        <sz val="11"/>
        <color theme="1"/>
        <rFont val="Calibri"/>
        <family val="2"/>
      </rPr>
      <t>Implementation</t>
    </r>
  </si>
  <si>
    <r>
      <t>9.</t>
    </r>
    <r>
      <rPr>
        <sz val="7"/>
        <color theme="1"/>
        <rFont val="Times New Roman"/>
        <family val="1"/>
      </rPr>
      <t xml:space="preserve">      </t>
    </r>
    <r>
      <rPr>
        <sz val="11"/>
        <color theme="1"/>
        <rFont val="Calibri"/>
        <family val="2"/>
      </rPr>
      <t>Documentation</t>
    </r>
  </si>
  <si>
    <r>
      <t>10.</t>
    </r>
    <r>
      <rPr>
        <sz val="7"/>
        <color theme="1"/>
        <rFont val="Times New Roman"/>
        <family val="1"/>
      </rPr>
      <t xml:space="preserve">   </t>
    </r>
    <r>
      <rPr>
        <sz val="11"/>
        <color theme="1"/>
        <rFont val="Calibri"/>
        <family val="2"/>
      </rPr>
      <t>Review and Iteration</t>
    </r>
  </si>
  <si>
    <r>
      <t xml:space="preserve">2. </t>
    </r>
    <r>
      <rPr>
        <b/>
        <u/>
        <sz val="11"/>
        <color theme="1"/>
        <rFont val="Calibri"/>
        <family val="2"/>
      </rPr>
      <t>Technical tools I have used for data analysis and presentation:</t>
    </r>
  </si>
  <si>
    <r>
      <t>Excel</t>
    </r>
    <r>
      <rPr>
        <sz val="11"/>
        <color theme="1"/>
        <rFont val="Calibri"/>
        <family val="2"/>
      </rPr>
      <t xml:space="preserve"> (for data cleaning, analysis, and basic visualization)</t>
    </r>
  </si>
  <si>
    <r>
      <t>Excel</t>
    </r>
    <r>
      <rPr>
        <sz val="11"/>
        <color theme="1"/>
        <rFont val="Calibri"/>
        <family val="2"/>
      </rPr>
      <t xml:space="preserve"> (for generating charts and graphs in presentations)</t>
    </r>
  </si>
  <si>
    <r>
      <t>Power BI</t>
    </r>
    <r>
      <rPr>
        <sz val="11"/>
        <color theme="1"/>
        <rFont val="Calibri"/>
        <family val="2"/>
      </rPr>
      <t xml:space="preserve"> (for sharing interactive reports and dashboards)</t>
    </r>
  </si>
  <si>
    <r>
      <t xml:space="preserve">3. </t>
    </r>
    <r>
      <rPr>
        <b/>
        <u/>
        <sz val="11"/>
        <color theme="1"/>
        <rFont val="Calibri"/>
        <family val="2"/>
      </rPr>
      <t>My strengths and weaknesses as a data analyst:</t>
    </r>
  </si>
  <si>
    <t>Strengths:</t>
  </si>
  <si>
    <r>
      <t>1.</t>
    </r>
    <r>
      <rPr>
        <sz val="7"/>
        <color theme="1"/>
        <rFont val="Times New Roman"/>
        <family val="1"/>
      </rPr>
      <t xml:space="preserve">      </t>
    </r>
    <r>
      <rPr>
        <sz val="11"/>
        <color theme="1"/>
        <rFont val="Calibri"/>
        <family val="2"/>
      </rPr>
      <t>Strong skills in tools like Excel, SQL and data visualization platforms (e.g., Power BI, Tableau).</t>
    </r>
  </si>
  <si>
    <r>
      <t>2.</t>
    </r>
    <r>
      <rPr>
        <sz val="7"/>
        <color theme="1"/>
        <rFont val="Times New Roman"/>
        <family val="1"/>
      </rPr>
      <t xml:space="preserve">      </t>
    </r>
    <r>
      <rPr>
        <sz val="11"/>
        <color theme="1"/>
        <rFont val="Calibri"/>
        <family val="2"/>
      </rPr>
      <t>I have ability to break down complex problems and identify patterns, trends, and insights from data.</t>
    </r>
  </si>
  <si>
    <t>Weaknesses:</t>
  </si>
  <si>
    <r>
      <t>1.</t>
    </r>
    <r>
      <rPr>
        <sz val="7"/>
        <color theme="1"/>
        <rFont val="Times New Roman"/>
        <family val="1"/>
      </rPr>
      <t xml:space="preserve">      </t>
    </r>
    <r>
      <rPr>
        <sz val="11"/>
        <color theme="1"/>
        <rFont val="Calibri"/>
        <family val="2"/>
      </rPr>
      <t>To become a perfect data analyst, I need to learn a lot more which I don’t know at the advance level yet.</t>
    </r>
  </si>
  <si>
    <r>
      <t>2.</t>
    </r>
    <r>
      <rPr>
        <sz val="7"/>
        <color theme="1"/>
        <rFont val="Times New Roman"/>
        <family val="1"/>
      </rPr>
      <t xml:space="preserve">      </t>
    </r>
    <r>
      <rPr>
        <sz val="11"/>
        <color theme="1"/>
        <rFont val="Calibri"/>
        <family val="2"/>
      </rPr>
      <t>I need to improve my communication skills.</t>
    </r>
  </si>
  <si>
    <r>
      <t xml:space="preserve">4. </t>
    </r>
    <r>
      <rPr>
        <b/>
        <u/>
        <sz val="11"/>
        <color theme="1"/>
        <rFont val="Calibri"/>
        <family val="2"/>
      </rPr>
      <t>What was the most difficult data analysis project you Worked On?</t>
    </r>
  </si>
  <si>
    <r>
      <t xml:space="preserve">     </t>
    </r>
    <r>
      <rPr>
        <sz val="11"/>
        <color theme="1"/>
        <rFont val="Calibri"/>
        <family val="2"/>
      </rPr>
      <t>I did a project in the final year of my master’s whose name was “Prediction and analysis of heart attack”. Compared to all my projects till now, it was a difficult project for me.</t>
    </r>
  </si>
  <si>
    <t>married</t>
  </si>
  <si>
    <t>single</t>
  </si>
  <si>
    <t>Name</t>
  </si>
  <si>
    <t>Maritial Status</t>
  </si>
  <si>
    <t>Middle age</t>
  </si>
  <si>
    <t>Sumifs</t>
  </si>
  <si>
    <t>Countifs</t>
  </si>
  <si>
    <t>MALE</t>
  </si>
  <si>
    <t>Unique</t>
  </si>
  <si>
    <t>Sumif</t>
  </si>
  <si>
    <t>ramesh</t>
  </si>
  <si>
    <t>suresh</t>
  </si>
  <si>
    <t>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</si>
</sst>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409]* #,##0_ ;_-[$$-409]* \-#,##0\ ;_-[$$-409]* &quot;-&quot;??_ ;_-@_ "/>
    <numFmt numFmtId="165" formatCode="General\ "/>
  </numFmts>
  <fonts count="19" x14ac:knownFonts="1">
    <font>
      <sz val="11"/>
      <color theme="1"/>
      <name val="Century Gothic"/>
      <family val="2"/>
      <scheme val="minor"/>
    </font>
    <font>
      <sz val="11"/>
      <color theme="1"/>
      <name val="Century Gothic"/>
      <family val="2"/>
      <scheme val="minor"/>
    </font>
    <font>
      <sz val="48"/>
      <color theme="1"/>
      <name val="Century Gothic"/>
      <family val="2"/>
      <scheme val="minor"/>
    </font>
    <font>
      <b/>
      <sz val="11"/>
      <color theme="1"/>
      <name val="Century Gothic"/>
      <family val="2"/>
      <scheme val="minor"/>
    </font>
    <font>
      <sz val="11"/>
      <color theme="1"/>
      <name val="Calibri"/>
      <family val="2"/>
    </font>
    <font>
      <sz val="7"/>
      <color theme="1"/>
      <name val="Times New Roman"/>
      <family val="1"/>
    </font>
    <font>
      <b/>
      <sz val="11"/>
      <color theme="1"/>
      <name val="Calibri"/>
      <family val="2"/>
    </font>
    <font>
      <b/>
      <u/>
      <sz val="11"/>
      <color theme="1"/>
      <name val="Calibri"/>
      <family val="2"/>
    </font>
    <font>
      <b/>
      <sz val="11"/>
      <color rgb="FF000000"/>
      <name val="Century Gothic"/>
      <family val="2"/>
    </font>
    <font>
      <b/>
      <u/>
      <sz val="11"/>
      <color rgb="FF000000"/>
      <name val="Arial"/>
      <family val="2"/>
    </font>
    <font>
      <sz val="11"/>
      <color rgb="FF000000"/>
      <name val="Arial"/>
      <family val="2"/>
    </font>
    <font>
      <sz val="7"/>
      <color rgb="FF000000"/>
      <name val="Arial"/>
      <family val="2"/>
    </font>
    <font>
      <u/>
      <sz val="11"/>
      <color rgb="FF000000"/>
      <name val="Arial"/>
      <family val="2"/>
    </font>
    <font>
      <b/>
      <u/>
      <sz val="20"/>
      <color theme="1"/>
      <name val="Century Gothic"/>
      <family val="2"/>
      <scheme val="minor"/>
    </font>
    <font>
      <u/>
      <sz val="11"/>
      <color theme="1"/>
      <name val="Century Gothic"/>
      <family val="2"/>
      <scheme val="minor"/>
    </font>
    <font>
      <b/>
      <u/>
      <sz val="12"/>
      <color theme="4"/>
      <name val="Century Gothic"/>
      <family val="2"/>
      <scheme val="minor"/>
    </font>
    <font>
      <b/>
      <sz val="11"/>
      <color theme="4"/>
      <name val="Century Gothic"/>
      <family val="2"/>
      <scheme val="minor"/>
    </font>
    <font>
      <b/>
      <u/>
      <sz val="11"/>
      <color theme="1"/>
      <name val="Century Gothic"/>
      <family val="2"/>
      <scheme val="minor"/>
    </font>
    <font>
      <b/>
      <u/>
      <sz val="12"/>
      <color theme="1"/>
      <name val="Century Gothic"/>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164" fontId="0" fillId="0" borderId="0" xfId="1" applyNumberFormat="1" applyFont="1"/>
    <xf numFmtId="164" fontId="0" fillId="0" borderId="0" xfId="1" applyNumberFormat="1" applyFont="1" applyAlignment="1">
      <alignment horizontal="left"/>
    </xf>
    <xf numFmtId="164" fontId="0" fillId="0" borderId="0" xfId="0" applyNumberFormat="1"/>
    <xf numFmtId="0" fontId="3" fillId="0" borderId="0" xfId="0" applyFont="1"/>
    <xf numFmtId="0" fontId="8" fillId="0" borderId="0" xfId="0" applyFont="1" applyAlignment="1">
      <alignment horizontal="right" vertical="center"/>
    </xf>
    <xf numFmtId="0" fontId="9" fillId="0" borderId="0" xfId="0" applyFont="1" applyAlignment="1">
      <alignment vertical="center"/>
    </xf>
    <xf numFmtId="0" fontId="11" fillId="0" borderId="0" xfId="0" applyFont="1" applyAlignment="1">
      <alignment vertical="center"/>
    </xf>
    <xf numFmtId="0" fontId="4" fillId="0" borderId="0" xfId="0" applyFont="1" applyAlignment="1">
      <alignment horizontal="left" vertical="center" indent="4"/>
    </xf>
    <xf numFmtId="0" fontId="6" fillId="0" borderId="0" xfId="0" applyFont="1" applyAlignment="1">
      <alignment horizontal="left" vertical="center" indent="4"/>
    </xf>
    <xf numFmtId="0" fontId="6" fillId="0" borderId="0" xfId="0" applyFont="1" applyAlignment="1">
      <alignment vertical="center"/>
    </xf>
    <xf numFmtId="0" fontId="4" fillId="0" borderId="0" xfId="0" applyFont="1" applyAlignment="1">
      <alignment horizontal="left" vertical="center" indent="2"/>
    </xf>
    <xf numFmtId="0" fontId="6" fillId="0" borderId="0" xfId="0" applyFont="1" applyAlignment="1">
      <alignment horizontal="left" vertical="center" indent="2"/>
    </xf>
    <xf numFmtId="0" fontId="4" fillId="0" borderId="0" xfId="0" applyFont="1" applyAlignment="1">
      <alignment horizontal="left" vertical="center" indent="6"/>
    </xf>
    <xf numFmtId="0" fontId="15" fillId="0" borderId="0" xfId="0" applyFont="1"/>
    <xf numFmtId="0" fontId="16" fillId="0" borderId="0" xfId="0" applyFont="1"/>
    <xf numFmtId="165" fontId="0" fillId="0" borderId="0" xfId="0" applyNumberFormat="1"/>
    <xf numFmtId="0" fontId="17" fillId="0" borderId="0" xfId="0" applyFont="1"/>
    <xf numFmtId="9" fontId="0" fillId="0" borderId="0" xfId="2" applyFont="1"/>
    <xf numFmtId="9" fontId="15" fillId="0" borderId="0" xfId="2" applyFont="1"/>
    <xf numFmtId="0" fontId="15" fillId="0" borderId="0" xfId="2" applyNumberFormat="1" applyFont="1"/>
    <xf numFmtId="0" fontId="0" fillId="0" borderId="0" xfId="2" applyNumberFormat="1" applyFont="1"/>
    <xf numFmtId="0" fontId="18" fillId="0" borderId="0" xfId="0" applyFont="1"/>
    <xf numFmtId="0" fontId="15" fillId="0" borderId="0" xfId="1" applyNumberFormat="1" applyFont="1"/>
    <xf numFmtId="0" fontId="0" fillId="0" borderId="0" xfId="1" applyNumberFormat="1" applyFont="1"/>
    <xf numFmtId="0" fontId="2" fillId="2" borderId="0" xfId="0" applyFont="1" applyFill="1" applyAlignment="1">
      <alignment horizontal="center"/>
    </xf>
    <xf numFmtId="0" fontId="13" fillId="0" borderId="0" xfId="0" applyFont="1" applyAlignment="1">
      <alignment horizontal="center"/>
    </xf>
    <xf numFmtId="0" fontId="14" fillId="0" borderId="0" xfId="0" applyFont="1" applyAlignment="1">
      <alignment horizontal="center"/>
    </xf>
  </cellXfs>
  <cellStyles count="3">
    <cellStyle name="Comma" xfId="1" builtinId="3"/>
    <cellStyle name="Normal" xfId="0" builtinId="0"/>
    <cellStyle name="Percent" xfId="2" builtinId="5"/>
  </cellStyles>
  <dxfs count="4">
    <dxf>
      <numFmt numFmtId="164" formatCode="_-[$$-409]* #,##0_ ;_-[$$-409]* \-#,##0\ ;_-[$$-409]* &quot;-&quot;??_ ;_-@_ "/>
    </dxf>
    <dxf>
      <numFmt numFmtId="164" formatCode="_-[$$-409]* #,##0_ ;_-[$$-409]* \-#,##0\ ;_-[$$-409]* &quot;-&quot;??_ ;_-@_ "/>
    </dxf>
    <dxf>
      <numFmt numFmtId="164" formatCode="_-[$$-409]* #,##0_ ;_-[$$-409]* \-#,##0\ ;_-[$$-409]* &quot;-&quot;??_ ;_-@_ "/>
    </dxf>
    <dxf>
      <font>
        <b val="0"/>
        <i val="0"/>
        <strike val="0"/>
        <condense val="0"/>
        <extend val="0"/>
        <outline val="0"/>
        <shadow val="0"/>
        <u val="none"/>
        <vertAlign val="baseline"/>
        <sz val="11"/>
        <color theme="1"/>
        <name val="Century Gothic"/>
        <family val="2"/>
        <scheme val="minor"/>
      </font>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[Assesment_Project.xlsx]pivot!PivotTable2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The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c:f>
              <c:strCache>
                <c:ptCount val="1"/>
                <c:pt idx="0">
                  <c:v>Total</c:v>
                </c:pt>
              </c:strCache>
            </c:strRef>
          </c:cat>
          <c:val>
            <c:numRef>
              <c:f>pivot!$B$7</c:f>
              <c:numCache>
                <c:formatCode>_-[$$-409]* #,##0_ ;_-[$$-409]* \-#,##0\ ;_-[$$-409]* "-"??_ ;_-@_ </c:formatCode>
                <c:ptCount val="1"/>
                <c:pt idx="0">
                  <c:v>5225.7818930041149</c:v>
                </c:pt>
              </c:numCache>
            </c:numRef>
          </c:val>
          <c:extLst>
            <c:ext xmlns:c16="http://schemas.microsoft.com/office/drawing/2014/chart" uri="{C3380CC4-5D6E-409C-BE32-E72D297353CC}">
              <c16:uniqueId val="{00000000-BF59-4F99-8F6B-C00EFB9C0760}"/>
            </c:ext>
          </c:extLst>
        </c:ser>
        <c:ser>
          <c:idx val="1"/>
          <c:order val="1"/>
          <c:tx>
            <c:strRef>
              <c:f>pivot!$C$5:$C$6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c:f>
              <c:strCache>
                <c:ptCount val="1"/>
                <c:pt idx="0">
                  <c:v>Total</c:v>
                </c:pt>
              </c:strCache>
            </c:strRef>
          </c:cat>
          <c:val>
            <c:numRef>
              <c:f>pivot!$C$7</c:f>
              <c:numCache>
                <c:formatCode>_-[$$-409]* #,##0_ ;_-[$$-409]* \-#,##0\ ;_-[$$-409]* "-"??_ ;_-@_ </c:formatCode>
                <c:ptCount val="1"/>
                <c:pt idx="0">
                  <c:v>5376.9066147859921</c:v>
                </c:pt>
              </c:numCache>
            </c:numRef>
          </c:val>
          <c:extLst>
            <c:ext xmlns:c16="http://schemas.microsoft.com/office/drawing/2014/chart" uri="{C3380CC4-5D6E-409C-BE32-E72D297353CC}">
              <c16:uniqueId val="{00000003-1595-417E-AC10-D64C169AF01D}"/>
            </c:ext>
          </c:extLst>
        </c:ser>
        <c:dLbls>
          <c:dLblPos val="outEnd"/>
          <c:showLegendKey val="0"/>
          <c:showVal val="1"/>
          <c:showCatName val="0"/>
          <c:showSerName val="0"/>
          <c:showPercent val="0"/>
          <c:showBubbleSize val="0"/>
        </c:dLbls>
        <c:gapWidth val="219"/>
        <c:overlap val="-27"/>
        <c:axId val="183037360"/>
        <c:axId val="183036400"/>
      </c:barChart>
      <c:catAx>
        <c:axId val="18303736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83036400"/>
        <c:crosses val="autoZero"/>
        <c:auto val="1"/>
        <c:lblAlgn val="ctr"/>
        <c:lblOffset val="100"/>
        <c:noMultiLvlLbl val="0"/>
      </c:catAx>
      <c:valAx>
        <c:axId val="18303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3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[Assesment_Project.xlsx]pivot!PivotTable3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pivot!$B$19:$B$20</c:f>
              <c:strCache>
                <c:ptCount val="1"/>
                <c:pt idx="0">
                  <c:v>Middle 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c:f>
              <c:strCache>
                <c:ptCount val="1"/>
                <c:pt idx="0">
                  <c:v>Total</c:v>
                </c:pt>
              </c:strCache>
            </c:strRef>
          </c:cat>
          <c:val>
            <c:numRef>
              <c:f>pivot!$B$21</c:f>
              <c:numCache>
                <c:formatCode>_-[$$-409]* #,##0_ ;_-[$$-409]* \-#,##0\ ;_-[$$-409]* "-"??_ ;_-@_ </c:formatCode>
                <c:ptCount val="1"/>
                <c:pt idx="0">
                  <c:v>5194.485042735043</c:v>
                </c:pt>
              </c:numCache>
            </c:numRef>
          </c:val>
          <c:extLst>
            <c:ext xmlns:c16="http://schemas.microsoft.com/office/drawing/2014/chart" uri="{C3380CC4-5D6E-409C-BE32-E72D297353CC}">
              <c16:uniqueId val="{00000000-3AD9-4D67-93BC-3AFF047CEB0B}"/>
            </c:ext>
          </c:extLst>
        </c:ser>
        <c:ser>
          <c:idx val="1"/>
          <c:order val="1"/>
          <c:tx>
            <c:strRef>
              <c:f>pivot!$C$19:$C$20</c:f>
              <c:strCache>
                <c:ptCount val="1"/>
                <c:pt idx="0">
                  <c:v>Old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c:f>
              <c:strCache>
                <c:ptCount val="1"/>
                <c:pt idx="0">
                  <c:v>Total</c:v>
                </c:pt>
              </c:strCache>
            </c:strRef>
          </c:cat>
          <c:val>
            <c:numRef>
              <c:f>pivot!$C$21</c:f>
              <c:numCache>
                <c:formatCode>_-[$$-409]* #,##0_ ;_-[$$-409]* \-#,##0\ ;_-[$$-409]* "-"??_ ;_-@_ </c:formatCode>
                <c:ptCount val="1"/>
                <c:pt idx="0">
                  <c:v>5209.3109243697481</c:v>
                </c:pt>
              </c:numCache>
            </c:numRef>
          </c:val>
          <c:extLst>
            <c:ext xmlns:c16="http://schemas.microsoft.com/office/drawing/2014/chart" uri="{C3380CC4-5D6E-409C-BE32-E72D297353CC}">
              <c16:uniqueId val="{00000002-32D5-4823-8F82-E0ABD2B75A75}"/>
            </c:ext>
          </c:extLst>
        </c:ser>
        <c:ser>
          <c:idx val="2"/>
          <c:order val="2"/>
          <c:tx>
            <c:strRef>
              <c:f>pivot!$D$19:$D$20</c:f>
              <c:strCache>
                <c:ptCount val="1"/>
                <c:pt idx="0">
                  <c:v>Young</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c:f>
              <c:strCache>
                <c:ptCount val="1"/>
                <c:pt idx="0">
                  <c:v>Total</c:v>
                </c:pt>
              </c:strCache>
            </c:strRef>
          </c:cat>
          <c:val>
            <c:numRef>
              <c:f>pivot!$D$21</c:f>
              <c:numCache>
                <c:formatCode>_-[$$-409]* #,##0_ ;_-[$$-409]* \-#,##0\ ;_-[$$-409]* "-"??_ ;_-@_ </c:formatCode>
                <c:ptCount val="1"/>
                <c:pt idx="0">
                  <c:v>5553.1462585034014</c:v>
                </c:pt>
              </c:numCache>
            </c:numRef>
          </c:val>
          <c:extLst>
            <c:ext xmlns:c16="http://schemas.microsoft.com/office/drawing/2014/chart" uri="{C3380CC4-5D6E-409C-BE32-E72D297353CC}">
              <c16:uniqueId val="{00000003-32D5-4823-8F82-E0ABD2B75A75}"/>
            </c:ext>
          </c:extLst>
        </c:ser>
        <c:dLbls>
          <c:dLblPos val="outEnd"/>
          <c:showLegendKey val="0"/>
          <c:showVal val="1"/>
          <c:showCatName val="0"/>
          <c:showSerName val="0"/>
          <c:showPercent val="0"/>
          <c:showBubbleSize val="0"/>
        </c:dLbls>
        <c:gapWidth val="219"/>
        <c:overlap val="-27"/>
        <c:axId val="1674280304"/>
        <c:axId val="1674280784"/>
      </c:barChart>
      <c:catAx>
        <c:axId val="167428030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74280784"/>
        <c:crosses val="autoZero"/>
        <c:auto val="1"/>
        <c:lblAlgn val="ctr"/>
        <c:lblOffset val="100"/>
        <c:noMultiLvlLbl val="0"/>
      </c:catAx>
      <c:valAx>
        <c:axId val="167428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2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[Assesment_Project.xlsx]pivot!PivotTable4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Highly Paid</a:t>
            </a:r>
            <a:r>
              <a:rPr lang="en-IN" baseline="0"/>
              <a:t> Proffesion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pivot!$B$36:$B$37</c:f>
              <c:strCache>
                <c:ptCount val="1"/>
                <c:pt idx="0">
                  <c:v>Mechanic</c:v>
                </c:pt>
              </c:strCache>
            </c:strRef>
          </c:tx>
          <c:spPr>
            <a:solidFill>
              <a:schemeClr val="accent1"/>
            </a:solidFill>
            <a:ln>
              <a:noFill/>
            </a:ln>
            <a:effectLst/>
          </c:spPr>
          <c:invertIfNegative val="0"/>
          <c:cat>
            <c:strRef>
              <c:f>pivot!$A$38</c:f>
              <c:strCache>
                <c:ptCount val="1"/>
                <c:pt idx="0">
                  <c:v>Total</c:v>
                </c:pt>
              </c:strCache>
            </c:strRef>
          </c:cat>
          <c:val>
            <c:numRef>
              <c:f>pivot!$B$38</c:f>
              <c:numCache>
                <c:formatCode>_-[$$-409]* #,##0_ ;_-[$$-409]* \-#,##0\ ;_-[$$-409]* "-"??_ ;_-@_ </c:formatCode>
                <c:ptCount val="1"/>
                <c:pt idx="0">
                  <c:v>6884.5</c:v>
                </c:pt>
              </c:numCache>
            </c:numRef>
          </c:val>
          <c:extLst>
            <c:ext xmlns:c16="http://schemas.microsoft.com/office/drawing/2014/chart" uri="{C3380CC4-5D6E-409C-BE32-E72D297353CC}">
              <c16:uniqueId val="{00000000-C094-472A-9655-23C89284F291}"/>
            </c:ext>
          </c:extLst>
        </c:ser>
        <c:ser>
          <c:idx val="1"/>
          <c:order val="1"/>
          <c:tx>
            <c:strRef>
              <c:f>pivot!$C$36:$C$37</c:f>
              <c:strCache>
                <c:ptCount val="1"/>
                <c:pt idx="0">
                  <c:v>Aeroplane Pilot</c:v>
                </c:pt>
              </c:strCache>
            </c:strRef>
          </c:tx>
          <c:spPr>
            <a:solidFill>
              <a:schemeClr val="accent2"/>
            </a:solidFill>
            <a:ln>
              <a:noFill/>
            </a:ln>
            <a:effectLst/>
          </c:spPr>
          <c:invertIfNegative val="0"/>
          <c:cat>
            <c:strRef>
              <c:f>pivot!$A$38</c:f>
              <c:strCache>
                <c:ptCount val="1"/>
                <c:pt idx="0">
                  <c:v>Total</c:v>
                </c:pt>
              </c:strCache>
            </c:strRef>
          </c:cat>
          <c:val>
            <c:numRef>
              <c:f>pivot!$C$38</c:f>
              <c:numCache>
                <c:formatCode>_-[$$-409]* #,##0_ ;_-[$$-409]* \-#,##0\ ;_-[$$-409]* "-"??_ ;_-@_ </c:formatCode>
                <c:ptCount val="1"/>
                <c:pt idx="0">
                  <c:v>6691.166666666667</c:v>
                </c:pt>
              </c:numCache>
            </c:numRef>
          </c:val>
          <c:extLst>
            <c:ext xmlns:c16="http://schemas.microsoft.com/office/drawing/2014/chart" uri="{C3380CC4-5D6E-409C-BE32-E72D297353CC}">
              <c16:uniqueId val="{0000002C-D956-45ED-9FEA-B151AE7F8749}"/>
            </c:ext>
          </c:extLst>
        </c:ser>
        <c:ser>
          <c:idx val="2"/>
          <c:order val="2"/>
          <c:tx>
            <c:strRef>
              <c:f>pivot!$D$36:$D$37</c:f>
              <c:strCache>
                <c:ptCount val="1"/>
                <c:pt idx="0">
                  <c:v>Accountant</c:v>
                </c:pt>
              </c:strCache>
            </c:strRef>
          </c:tx>
          <c:spPr>
            <a:solidFill>
              <a:schemeClr val="accent3"/>
            </a:solidFill>
            <a:ln>
              <a:noFill/>
            </a:ln>
            <a:effectLst/>
          </c:spPr>
          <c:invertIfNegative val="0"/>
          <c:cat>
            <c:strRef>
              <c:f>pivot!$A$38</c:f>
              <c:strCache>
                <c:ptCount val="1"/>
                <c:pt idx="0">
                  <c:v>Total</c:v>
                </c:pt>
              </c:strCache>
            </c:strRef>
          </c:cat>
          <c:val>
            <c:numRef>
              <c:f>pivot!$D$38</c:f>
              <c:numCache>
                <c:formatCode>_-[$$-409]* #,##0_ ;_-[$$-409]* \-#,##0\ ;_-[$$-409]* "-"??_ ;_-@_ </c:formatCode>
                <c:ptCount val="1"/>
                <c:pt idx="0">
                  <c:v>6615</c:v>
                </c:pt>
              </c:numCache>
            </c:numRef>
          </c:val>
          <c:extLst>
            <c:ext xmlns:c16="http://schemas.microsoft.com/office/drawing/2014/chart" uri="{C3380CC4-5D6E-409C-BE32-E72D297353CC}">
              <c16:uniqueId val="{0000002D-D956-45ED-9FEA-B151AE7F8749}"/>
            </c:ext>
          </c:extLst>
        </c:ser>
        <c:ser>
          <c:idx val="3"/>
          <c:order val="3"/>
          <c:tx>
            <c:strRef>
              <c:f>pivot!$E$36:$E$37</c:f>
              <c:strCache>
                <c:ptCount val="1"/>
                <c:pt idx="0">
                  <c:v>Firefighter</c:v>
                </c:pt>
              </c:strCache>
            </c:strRef>
          </c:tx>
          <c:spPr>
            <a:solidFill>
              <a:schemeClr val="accent4"/>
            </a:solidFill>
            <a:ln>
              <a:noFill/>
            </a:ln>
            <a:effectLst/>
          </c:spPr>
          <c:invertIfNegative val="0"/>
          <c:cat>
            <c:strRef>
              <c:f>pivot!$A$38</c:f>
              <c:strCache>
                <c:ptCount val="1"/>
                <c:pt idx="0">
                  <c:v>Total</c:v>
                </c:pt>
              </c:strCache>
            </c:strRef>
          </c:cat>
          <c:val>
            <c:numRef>
              <c:f>pivot!$E$38</c:f>
              <c:numCache>
                <c:formatCode>_-[$$-409]* #,##0_ ;_-[$$-409]* \-#,##0\ ;_-[$$-409]* "-"??_ ;_-@_ </c:formatCode>
                <c:ptCount val="1"/>
                <c:pt idx="0">
                  <c:v>6578.6</c:v>
                </c:pt>
              </c:numCache>
            </c:numRef>
          </c:val>
          <c:extLst>
            <c:ext xmlns:c16="http://schemas.microsoft.com/office/drawing/2014/chart" uri="{C3380CC4-5D6E-409C-BE32-E72D297353CC}">
              <c16:uniqueId val="{0000002E-D956-45ED-9FEA-B151AE7F8749}"/>
            </c:ext>
          </c:extLst>
        </c:ser>
        <c:ser>
          <c:idx val="4"/>
          <c:order val="4"/>
          <c:tx>
            <c:strRef>
              <c:f>pivot!$F$36:$F$37</c:f>
              <c:strCache>
                <c:ptCount val="1"/>
                <c:pt idx="0">
                  <c:v>Police Officer</c:v>
                </c:pt>
              </c:strCache>
            </c:strRef>
          </c:tx>
          <c:spPr>
            <a:solidFill>
              <a:schemeClr val="accent5"/>
            </a:solidFill>
            <a:ln>
              <a:noFill/>
            </a:ln>
            <a:effectLst/>
          </c:spPr>
          <c:invertIfNegative val="0"/>
          <c:cat>
            <c:strRef>
              <c:f>pivot!$A$38</c:f>
              <c:strCache>
                <c:ptCount val="1"/>
                <c:pt idx="0">
                  <c:v>Total</c:v>
                </c:pt>
              </c:strCache>
            </c:strRef>
          </c:cat>
          <c:val>
            <c:numRef>
              <c:f>pivot!$F$38</c:f>
              <c:numCache>
                <c:formatCode>_-[$$-409]* #,##0_ ;_-[$$-409]* \-#,##0\ ;_-[$$-409]* "-"??_ ;_-@_ </c:formatCode>
                <c:ptCount val="1"/>
                <c:pt idx="0">
                  <c:v>6554.8666666666668</c:v>
                </c:pt>
              </c:numCache>
            </c:numRef>
          </c:val>
          <c:extLst>
            <c:ext xmlns:c16="http://schemas.microsoft.com/office/drawing/2014/chart" uri="{C3380CC4-5D6E-409C-BE32-E72D297353CC}">
              <c16:uniqueId val="{0000002F-D956-45ED-9FEA-B151AE7F8749}"/>
            </c:ext>
          </c:extLst>
        </c:ser>
        <c:ser>
          <c:idx val="5"/>
          <c:order val="5"/>
          <c:tx>
            <c:strRef>
              <c:f>pivot!$G$36:$G$37</c:f>
              <c:strCache>
                <c:ptCount val="1"/>
                <c:pt idx="0">
                  <c:v>Dancer</c:v>
                </c:pt>
              </c:strCache>
            </c:strRef>
          </c:tx>
          <c:spPr>
            <a:solidFill>
              <a:schemeClr val="accent6"/>
            </a:solidFill>
            <a:ln>
              <a:noFill/>
            </a:ln>
            <a:effectLst/>
          </c:spPr>
          <c:invertIfNegative val="0"/>
          <c:cat>
            <c:strRef>
              <c:f>pivot!$A$38</c:f>
              <c:strCache>
                <c:ptCount val="1"/>
                <c:pt idx="0">
                  <c:v>Total</c:v>
                </c:pt>
              </c:strCache>
            </c:strRef>
          </c:cat>
          <c:val>
            <c:numRef>
              <c:f>pivot!$G$38</c:f>
              <c:numCache>
                <c:formatCode>_-[$$-409]* #,##0_ ;_-[$$-409]* \-#,##0\ ;_-[$$-409]* "-"??_ ;_-@_ </c:formatCode>
                <c:ptCount val="1"/>
                <c:pt idx="0">
                  <c:v>6206.7142857142853</c:v>
                </c:pt>
              </c:numCache>
            </c:numRef>
          </c:val>
          <c:extLst>
            <c:ext xmlns:c16="http://schemas.microsoft.com/office/drawing/2014/chart" uri="{C3380CC4-5D6E-409C-BE32-E72D297353CC}">
              <c16:uniqueId val="{00000030-D956-45ED-9FEA-B151AE7F8749}"/>
            </c:ext>
          </c:extLst>
        </c:ser>
        <c:ser>
          <c:idx val="6"/>
          <c:order val="6"/>
          <c:tx>
            <c:strRef>
              <c:f>pivot!$H$36:$H$37</c:f>
              <c:strCache>
                <c:ptCount val="1"/>
                <c:pt idx="0">
                  <c:v>Meteorologist</c:v>
                </c:pt>
              </c:strCache>
            </c:strRef>
          </c:tx>
          <c:spPr>
            <a:solidFill>
              <a:schemeClr val="accent1">
                <a:lumMod val="60000"/>
              </a:schemeClr>
            </a:solidFill>
            <a:ln>
              <a:noFill/>
            </a:ln>
            <a:effectLst/>
          </c:spPr>
          <c:invertIfNegative val="0"/>
          <c:cat>
            <c:strRef>
              <c:f>pivot!$A$38</c:f>
              <c:strCache>
                <c:ptCount val="1"/>
                <c:pt idx="0">
                  <c:v>Total</c:v>
                </c:pt>
              </c:strCache>
            </c:strRef>
          </c:cat>
          <c:val>
            <c:numRef>
              <c:f>pivot!$H$38</c:f>
              <c:numCache>
                <c:formatCode>_-[$$-409]* #,##0_ ;_-[$$-409]* \-#,##0\ ;_-[$$-409]* "-"??_ ;_-@_ </c:formatCode>
                <c:ptCount val="1"/>
                <c:pt idx="0">
                  <c:v>6166.3157894736842</c:v>
                </c:pt>
              </c:numCache>
            </c:numRef>
          </c:val>
          <c:extLst>
            <c:ext xmlns:c16="http://schemas.microsoft.com/office/drawing/2014/chart" uri="{C3380CC4-5D6E-409C-BE32-E72D297353CC}">
              <c16:uniqueId val="{00000031-D956-45ED-9FEA-B151AE7F8749}"/>
            </c:ext>
          </c:extLst>
        </c:ser>
        <c:ser>
          <c:idx val="7"/>
          <c:order val="7"/>
          <c:tx>
            <c:strRef>
              <c:f>pivot!$I$36:$I$37</c:f>
              <c:strCache>
                <c:ptCount val="1"/>
                <c:pt idx="0">
                  <c:v>Chef</c:v>
                </c:pt>
              </c:strCache>
            </c:strRef>
          </c:tx>
          <c:spPr>
            <a:solidFill>
              <a:schemeClr val="accent2">
                <a:lumMod val="60000"/>
              </a:schemeClr>
            </a:solidFill>
            <a:ln>
              <a:noFill/>
            </a:ln>
            <a:effectLst/>
          </c:spPr>
          <c:invertIfNegative val="0"/>
          <c:cat>
            <c:strRef>
              <c:f>pivot!$A$38</c:f>
              <c:strCache>
                <c:ptCount val="1"/>
                <c:pt idx="0">
                  <c:v>Total</c:v>
                </c:pt>
              </c:strCache>
            </c:strRef>
          </c:cat>
          <c:val>
            <c:numRef>
              <c:f>pivot!$I$38</c:f>
              <c:numCache>
                <c:formatCode>_-[$$-409]* #,##0_ ;_-[$$-409]* \-#,##0\ ;_-[$$-409]* "-"??_ ;_-@_ </c:formatCode>
                <c:ptCount val="1"/>
                <c:pt idx="0">
                  <c:v>6125.5</c:v>
                </c:pt>
              </c:numCache>
            </c:numRef>
          </c:val>
          <c:extLst>
            <c:ext xmlns:c16="http://schemas.microsoft.com/office/drawing/2014/chart" uri="{C3380CC4-5D6E-409C-BE32-E72D297353CC}">
              <c16:uniqueId val="{00000032-D956-45ED-9FEA-B151AE7F8749}"/>
            </c:ext>
          </c:extLst>
        </c:ser>
        <c:ser>
          <c:idx val="8"/>
          <c:order val="8"/>
          <c:tx>
            <c:strRef>
              <c:f>pivot!$J$36:$J$37</c:f>
              <c:strCache>
                <c:ptCount val="1"/>
                <c:pt idx="0">
                  <c:v>Archeologist</c:v>
                </c:pt>
              </c:strCache>
            </c:strRef>
          </c:tx>
          <c:spPr>
            <a:solidFill>
              <a:schemeClr val="accent3">
                <a:lumMod val="60000"/>
              </a:schemeClr>
            </a:solidFill>
            <a:ln>
              <a:noFill/>
            </a:ln>
            <a:effectLst/>
          </c:spPr>
          <c:invertIfNegative val="0"/>
          <c:cat>
            <c:strRef>
              <c:f>pivot!$A$38</c:f>
              <c:strCache>
                <c:ptCount val="1"/>
                <c:pt idx="0">
                  <c:v>Total</c:v>
                </c:pt>
              </c:strCache>
            </c:strRef>
          </c:cat>
          <c:val>
            <c:numRef>
              <c:f>pivot!$J$38</c:f>
              <c:numCache>
                <c:formatCode>_-[$$-409]* #,##0_ ;_-[$$-409]* \-#,##0\ ;_-[$$-409]* "-"??_ ;_-@_ </c:formatCode>
                <c:ptCount val="1"/>
                <c:pt idx="0">
                  <c:v>6117.3</c:v>
                </c:pt>
              </c:numCache>
            </c:numRef>
          </c:val>
          <c:extLst>
            <c:ext xmlns:c16="http://schemas.microsoft.com/office/drawing/2014/chart" uri="{C3380CC4-5D6E-409C-BE32-E72D297353CC}">
              <c16:uniqueId val="{00000033-D956-45ED-9FEA-B151AE7F8749}"/>
            </c:ext>
          </c:extLst>
        </c:ser>
        <c:ser>
          <c:idx val="9"/>
          <c:order val="9"/>
          <c:tx>
            <c:strRef>
              <c:f>pivot!$K$36:$K$37</c:f>
              <c:strCache>
                <c:ptCount val="1"/>
                <c:pt idx="0">
                  <c:v>Journalist</c:v>
                </c:pt>
              </c:strCache>
            </c:strRef>
          </c:tx>
          <c:spPr>
            <a:solidFill>
              <a:schemeClr val="accent4">
                <a:lumMod val="60000"/>
              </a:schemeClr>
            </a:solidFill>
            <a:ln>
              <a:noFill/>
            </a:ln>
            <a:effectLst/>
          </c:spPr>
          <c:invertIfNegative val="0"/>
          <c:cat>
            <c:strRef>
              <c:f>pivot!$A$38</c:f>
              <c:strCache>
                <c:ptCount val="1"/>
                <c:pt idx="0">
                  <c:v>Total</c:v>
                </c:pt>
              </c:strCache>
            </c:strRef>
          </c:cat>
          <c:val>
            <c:numRef>
              <c:f>pivot!$K$38</c:f>
              <c:numCache>
                <c:formatCode>_-[$$-409]* #,##0_ ;_-[$$-409]* \-#,##0\ ;_-[$$-409]* "-"??_ ;_-@_ </c:formatCode>
                <c:ptCount val="1"/>
                <c:pt idx="0">
                  <c:v>6035.1428571428569</c:v>
                </c:pt>
              </c:numCache>
            </c:numRef>
          </c:val>
          <c:extLst>
            <c:ext xmlns:c16="http://schemas.microsoft.com/office/drawing/2014/chart" uri="{C3380CC4-5D6E-409C-BE32-E72D297353CC}">
              <c16:uniqueId val="{00000034-D956-45ED-9FEA-B151AE7F8749}"/>
            </c:ext>
          </c:extLst>
        </c:ser>
        <c:dLbls>
          <c:showLegendKey val="0"/>
          <c:showVal val="0"/>
          <c:showCatName val="0"/>
          <c:showSerName val="0"/>
          <c:showPercent val="0"/>
          <c:showBubbleSize val="0"/>
        </c:dLbls>
        <c:gapWidth val="219"/>
        <c:overlap val="-27"/>
        <c:axId val="185357008"/>
        <c:axId val="2085071888"/>
      </c:barChart>
      <c:catAx>
        <c:axId val="18535700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2085071888"/>
        <c:crosses val="autoZero"/>
        <c:auto val="1"/>
        <c:lblAlgn val="ctr"/>
        <c:lblOffset val="100"/>
        <c:noMultiLvlLbl val="0"/>
      </c:catAx>
      <c:valAx>
        <c:axId val="2085071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[Assesment_Project.xlsx]pivot!PivotTable5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Children By</a:t>
            </a:r>
            <a:r>
              <a:rPr lang="en-IN" baseline="0"/>
              <a:t> The Maritial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pivot!$A$58:$A$60</c:f>
              <c:strCache>
                <c:ptCount val="2"/>
                <c:pt idx="0">
                  <c:v>Married</c:v>
                </c:pt>
                <c:pt idx="1">
                  <c:v>Single</c:v>
                </c:pt>
              </c:strCache>
            </c:strRef>
          </c:cat>
          <c:val>
            <c:numRef>
              <c:f>pivot!$B$58:$B$60</c:f>
              <c:numCache>
                <c:formatCode>General</c:formatCode>
                <c:ptCount val="2"/>
                <c:pt idx="0">
                  <c:v>1175</c:v>
                </c:pt>
                <c:pt idx="1">
                  <c:v>1272</c:v>
                </c:pt>
              </c:numCache>
            </c:numRef>
          </c:val>
          <c:extLst>
            <c:ext xmlns:c16="http://schemas.microsoft.com/office/drawing/2014/chart" uri="{C3380CC4-5D6E-409C-BE32-E72D297353CC}">
              <c16:uniqueId val="{00000000-480E-4157-8118-973A41764EF5}"/>
            </c:ext>
          </c:extLst>
        </c:ser>
        <c:dLbls>
          <c:dLblPos val="outEnd"/>
          <c:showLegendKey val="0"/>
          <c:showVal val="1"/>
          <c:showCatName val="0"/>
          <c:showSerName val="0"/>
          <c:showPercent val="0"/>
          <c:showBubbleSize val="0"/>
        </c:dLbls>
        <c:gapWidth val="219"/>
        <c:axId val="379682912"/>
        <c:axId val="379676672"/>
      </c:barChart>
      <c:catAx>
        <c:axId val="379682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Maritial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76672"/>
        <c:crosses val="autoZero"/>
        <c:auto val="1"/>
        <c:lblAlgn val="ctr"/>
        <c:lblOffset val="100"/>
        <c:noMultiLvlLbl val="0"/>
      </c:catAx>
      <c:valAx>
        <c:axId val="3796766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a:t>
                </a:r>
                <a:r>
                  <a:rPr lang="en-IN" baseline="0"/>
                  <a:t> Children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829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[Assesment_Project.xlsx]pivot!PivotTable2</c:name>
    <c:fmtId val="7"/>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b="1" u="sng"/>
              <a:t>Average Income By The Gender</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c:f>
              <c:strCache>
                <c:ptCount val="1"/>
                <c:pt idx="0">
                  <c:v>Total</c:v>
                </c:pt>
              </c:strCache>
            </c:strRef>
          </c:cat>
          <c:val>
            <c:numRef>
              <c:f>pivot!$B$7</c:f>
              <c:numCache>
                <c:formatCode>_-[$$-409]* #,##0_ ;_-[$$-409]* \-#,##0\ ;_-[$$-409]* "-"??_ ;_-@_ </c:formatCode>
                <c:ptCount val="1"/>
                <c:pt idx="0">
                  <c:v>5225.7818930041149</c:v>
                </c:pt>
              </c:numCache>
            </c:numRef>
          </c:val>
          <c:extLst>
            <c:ext xmlns:c16="http://schemas.microsoft.com/office/drawing/2014/chart" uri="{C3380CC4-5D6E-409C-BE32-E72D297353CC}">
              <c16:uniqueId val="{00000000-7946-477C-AA1E-2EC8E9D1B654}"/>
            </c:ext>
          </c:extLst>
        </c:ser>
        <c:ser>
          <c:idx val="1"/>
          <c:order val="1"/>
          <c:tx>
            <c:strRef>
              <c:f>pivot!$C$5:$C$6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c:f>
              <c:strCache>
                <c:ptCount val="1"/>
                <c:pt idx="0">
                  <c:v>Total</c:v>
                </c:pt>
              </c:strCache>
            </c:strRef>
          </c:cat>
          <c:val>
            <c:numRef>
              <c:f>pivot!$C$7</c:f>
              <c:numCache>
                <c:formatCode>_-[$$-409]* #,##0_ ;_-[$$-409]* \-#,##0\ ;_-[$$-409]* "-"??_ ;_-@_ </c:formatCode>
                <c:ptCount val="1"/>
                <c:pt idx="0">
                  <c:v>5376.9066147859921</c:v>
                </c:pt>
              </c:numCache>
            </c:numRef>
          </c:val>
          <c:extLst>
            <c:ext xmlns:c16="http://schemas.microsoft.com/office/drawing/2014/chart" uri="{C3380CC4-5D6E-409C-BE32-E72D297353CC}">
              <c16:uniqueId val="{00000003-81B3-4190-8A5B-9AF99C33B884}"/>
            </c:ext>
          </c:extLst>
        </c:ser>
        <c:dLbls>
          <c:dLblPos val="outEnd"/>
          <c:showLegendKey val="0"/>
          <c:showVal val="1"/>
          <c:showCatName val="0"/>
          <c:showSerName val="0"/>
          <c:showPercent val="0"/>
          <c:showBubbleSize val="0"/>
        </c:dLbls>
        <c:gapWidth val="219"/>
        <c:overlap val="-27"/>
        <c:axId val="183037360"/>
        <c:axId val="183036400"/>
      </c:barChart>
      <c:catAx>
        <c:axId val="183037360"/>
        <c:scaling>
          <c:orientation val="minMax"/>
        </c:scaling>
        <c:delete val="1"/>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183036400"/>
        <c:crosses val="autoZero"/>
        <c:auto val="1"/>
        <c:lblAlgn val="ctr"/>
        <c:lblOffset val="100"/>
        <c:noMultiLvlLbl val="0"/>
      </c:catAx>
      <c:valAx>
        <c:axId val="18303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303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[Assesment_Project.xlsx]pivot!PivotTable3</c:name>
    <c:fmtId val="2"/>
  </c:pivotSource>
  <c:chart>
    <c:title>
      <c:tx>
        <c:rich>
          <a:bodyPr rot="0" spcFirstLastPara="1" vertOverflow="ellipsis" vert="horz" wrap="square" anchor="ctr" anchorCtr="1"/>
          <a:lstStyle/>
          <a:p>
            <a:pPr algn="ctr" rtl="0">
              <a:defRPr lang="en-IN" sz="1200" b="1" i="0" u="sng" strike="noStrike" kern="1200" spc="0" baseline="0">
                <a:solidFill>
                  <a:sysClr val="windowText" lastClr="000000"/>
                </a:solidFill>
                <a:latin typeface="+mn-lt"/>
                <a:ea typeface="+mn-ea"/>
                <a:cs typeface="+mn-cs"/>
              </a:defRPr>
            </a:pPr>
            <a:r>
              <a:rPr lang="en-IN" sz="1200" b="1" i="0" u="sng" strike="noStrike" kern="1200" spc="0" baseline="0">
                <a:solidFill>
                  <a:sysClr val="windowText" lastClr="000000"/>
                </a:solidFill>
                <a:latin typeface="+mn-lt"/>
                <a:ea typeface="+mn-ea"/>
                <a:cs typeface="+mn-cs"/>
              </a:rPr>
              <a:t>Average Income By Age Bracket</a:t>
            </a:r>
          </a:p>
        </c:rich>
      </c:tx>
      <c:overlay val="0"/>
      <c:spPr>
        <a:noFill/>
        <a:ln>
          <a:noFill/>
        </a:ln>
        <a:effectLst/>
      </c:spPr>
      <c:txPr>
        <a:bodyPr rot="0" spcFirstLastPara="1" vertOverflow="ellipsis" vert="horz" wrap="square" anchor="ctr" anchorCtr="1"/>
        <a:lstStyle/>
        <a:p>
          <a:pPr algn="ctr" rtl="0">
            <a:defRPr lang="en-IN" sz="12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pivot!$B$19:$B$20</c:f>
              <c:strCache>
                <c:ptCount val="1"/>
                <c:pt idx="0">
                  <c:v>Middle Age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c:f>
              <c:strCache>
                <c:ptCount val="1"/>
                <c:pt idx="0">
                  <c:v>Total</c:v>
                </c:pt>
              </c:strCache>
            </c:strRef>
          </c:cat>
          <c:val>
            <c:numRef>
              <c:f>pivot!$B$21</c:f>
              <c:numCache>
                <c:formatCode>_-[$$-409]* #,##0_ ;_-[$$-409]* \-#,##0\ ;_-[$$-409]* "-"??_ ;_-@_ </c:formatCode>
                <c:ptCount val="1"/>
                <c:pt idx="0">
                  <c:v>5194.485042735043</c:v>
                </c:pt>
              </c:numCache>
            </c:numRef>
          </c:val>
          <c:extLst>
            <c:ext xmlns:c16="http://schemas.microsoft.com/office/drawing/2014/chart" uri="{C3380CC4-5D6E-409C-BE32-E72D297353CC}">
              <c16:uniqueId val="{00000000-D4E6-4E0A-96C8-A851449698DC}"/>
            </c:ext>
          </c:extLst>
        </c:ser>
        <c:ser>
          <c:idx val="1"/>
          <c:order val="1"/>
          <c:tx>
            <c:strRef>
              <c:f>pivot!$C$19:$C$20</c:f>
              <c:strCache>
                <c:ptCount val="1"/>
                <c:pt idx="0">
                  <c:v>Old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c:f>
              <c:strCache>
                <c:ptCount val="1"/>
                <c:pt idx="0">
                  <c:v>Total</c:v>
                </c:pt>
              </c:strCache>
            </c:strRef>
          </c:cat>
          <c:val>
            <c:numRef>
              <c:f>pivot!$C$21</c:f>
              <c:numCache>
                <c:formatCode>_-[$$-409]* #,##0_ ;_-[$$-409]* \-#,##0\ ;_-[$$-409]* "-"??_ ;_-@_ </c:formatCode>
                <c:ptCount val="1"/>
                <c:pt idx="0">
                  <c:v>5209.3109243697481</c:v>
                </c:pt>
              </c:numCache>
            </c:numRef>
          </c:val>
          <c:extLst>
            <c:ext xmlns:c16="http://schemas.microsoft.com/office/drawing/2014/chart" uri="{C3380CC4-5D6E-409C-BE32-E72D297353CC}">
              <c16:uniqueId val="{00000003-5BC2-4337-9844-4CE33F663520}"/>
            </c:ext>
          </c:extLst>
        </c:ser>
        <c:ser>
          <c:idx val="2"/>
          <c:order val="2"/>
          <c:tx>
            <c:strRef>
              <c:f>pivot!$D$19:$D$20</c:f>
              <c:strCache>
                <c:ptCount val="1"/>
                <c:pt idx="0">
                  <c:v>Young</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c:f>
              <c:strCache>
                <c:ptCount val="1"/>
                <c:pt idx="0">
                  <c:v>Total</c:v>
                </c:pt>
              </c:strCache>
            </c:strRef>
          </c:cat>
          <c:val>
            <c:numRef>
              <c:f>pivot!$D$21</c:f>
              <c:numCache>
                <c:formatCode>_-[$$-409]* #,##0_ ;_-[$$-409]* \-#,##0\ ;_-[$$-409]* "-"??_ ;_-@_ </c:formatCode>
                <c:ptCount val="1"/>
                <c:pt idx="0">
                  <c:v>5553.1462585034014</c:v>
                </c:pt>
              </c:numCache>
            </c:numRef>
          </c:val>
          <c:extLst>
            <c:ext xmlns:c16="http://schemas.microsoft.com/office/drawing/2014/chart" uri="{C3380CC4-5D6E-409C-BE32-E72D297353CC}">
              <c16:uniqueId val="{00000004-5BC2-4337-9844-4CE33F663520}"/>
            </c:ext>
          </c:extLst>
        </c:ser>
        <c:dLbls>
          <c:dLblPos val="outEnd"/>
          <c:showLegendKey val="0"/>
          <c:showVal val="1"/>
          <c:showCatName val="0"/>
          <c:showSerName val="0"/>
          <c:showPercent val="0"/>
          <c:showBubbleSize val="0"/>
        </c:dLbls>
        <c:gapWidth val="219"/>
        <c:overlap val="-27"/>
        <c:axId val="1674280304"/>
        <c:axId val="1674280784"/>
      </c:barChart>
      <c:catAx>
        <c:axId val="1674280304"/>
        <c:scaling>
          <c:orientation val="minMax"/>
        </c:scaling>
        <c:delete val="1"/>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 Age Bracket</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1674280784"/>
        <c:crosses val="autoZero"/>
        <c:auto val="1"/>
        <c:lblAlgn val="ctr"/>
        <c:lblOffset val="100"/>
        <c:noMultiLvlLbl val="0"/>
      </c:catAx>
      <c:valAx>
        <c:axId val="167428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742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[Assesment_Project.xlsx]pivot!PivotTable4</c:name>
    <c:fmtId val="5"/>
  </c:pivotSource>
  <c:chart>
    <c:title>
      <c:tx>
        <c:rich>
          <a:bodyPr rot="0" spcFirstLastPara="1" vertOverflow="ellipsis" vert="horz" wrap="square" anchor="ctr" anchorCtr="1"/>
          <a:lstStyle/>
          <a:p>
            <a:pPr algn="ctr" rtl="0">
              <a:defRPr lang="en-IN" sz="1200" b="1" i="0" u="sng" strike="noStrike" kern="1200" spc="0" baseline="0">
                <a:solidFill>
                  <a:sysClr val="windowText" lastClr="000000"/>
                </a:solidFill>
                <a:latin typeface="+mn-lt"/>
                <a:ea typeface="+mn-ea"/>
                <a:cs typeface="+mn-cs"/>
              </a:defRPr>
            </a:pPr>
            <a:r>
              <a:rPr lang="en-IN" sz="1200" b="1" i="0" u="sng" strike="noStrike" kern="1200" spc="0" baseline="0">
                <a:solidFill>
                  <a:sysClr val="windowText" lastClr="000000"/>
                </a:solidFill>
                <a:latin typeface="+mn-lt"/>
                <a:ea typeface="+mn-ea"/>
                <a:cs typeface="+mn-cs"/>
              </a:rPr>
              <a:t>Top 10 Highly Paid Proffesions</a:t>
            </a:r>
          </a:p>
        </c:rich>
      </c:tx>
      <c:overlay val="0"/>
      <c:spPr>
        <a:noFill/>
        <a:ln>
          <a:noFill/>
        </a:ln>
        <a:effectLst/>
      </c:spPr>
      <c:txPr>
        <a:bodyPr rot="0" spcFirstLastPara="1" vertOverflow="ellipsis" vert="horz" wrap="square" anchor="ctr" anchorCtr="1"/>
        <a:lstStyle/>
        <a:p>
          <a:pPr algn="ctr" rtl="0">
            <a:defRPr lang="en-IN" sz="1200" b="1" i="0" u="sng"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pivotFmt>
    </c:pivotFmts>
    <c:plotArea>
      <c:layout/>
      <c:barChart>
        <c:barDir val="col"/>
        <c:grouping val="clustered"/>
        <c:varyColors val="0"/>
        <c:ser>
          <c:idx val="0"/>
          <c:order val="0"/>
          <c:tx>
            <c:strRef>
              <c:f>pivot!$B$36:$B$37</c:f>
              <c:strCache>
                <c:ptCount val="1"/>
                <c:pt idx="0">
                  <c:v>Mechanic</c:v>
                </c:pt>
              </c:strCache>
            </c:strRef>
          </c:tx>
          <c:spPr>
            <a:solidFill>
              <a:schemeClr val="accent1"/>
            </a:solidFill>
            <a:ln>
              <a:noFill/>
            </a:ln>
            <a:effectLst/>
          </c:spPr>
          <c:invertIfNegative val="0"/>
          <c:cat>
            <c:strRef>
              <c:f>pivot!$A$38</c:f>
              <c:strCache>
                <c:ptCount val="1"/>
                <c:pt idx="0">
                  <c:v>Total</c:v>
                </c:pt>
              </c:strCache>
            </c:strRef>
          </c:cat>
          <c:val>
            <c:numRef>
              <c:f>pivot!$B$38</c:f>
              <c:numCache>
                <c:formatCode>_-[$$-409]* #,##0_ ;_-[$$-409]* \-#,##0\ ;_-[$$-409]* "-"??_ ;_-@_ </c:formatCode>
                <c:ptCount val="1"/>
                <c:pt idx="0">
                  <c:v>6884.5</c:v>
                </c:pt>
              </c:numCache>
            </c:numRef>
          </c:val>
          <c:extLst>
            <c:ext xmlns:c16="http://schemas.microsoft.com/office/drawing/2014/chart" uri="{C3380CC4-5D6E-409C-BE32-E72D297353CC}">
              <c16:uniqueId val="{00000000-1BA4-4379-B62D-C3E1B4989E56}"/>
            </c:ext>
          </c:extLst>
        </c:ser>
        <c:ser>
          <c:idx val="1"/>
          <c:order val="1"/>
          <c:tx>
            <c:strRef>
              <c:f>pivot!$C$36:$C$37</c:f>
              <c:strCache>
                <c:ptCount val="1"/>
                <c:pt idx="0">
                  <c:v>Aeroplane Pilot</c:v>
                </c:pt>
              </c:strCache>
            </c:strRef>
          </c:tx>
          <c:spPr>
            <a:solidFill>
              <a:schemeClr val="accent2"/>
            </a:solidFill>
            <a:ln>
              <a:noFill/>
            </a:ln>
            <a:effectLst/>
          </c:spPr>
          <c:invertIfNegative val="0"/>
          <c:cat>
            <c:strRef>
              <c:f>pivot!$A$38</c:f>
              <c:strCache>
                <c:ptCount val="1"/>
                <c:pt idx="0">
                  <c:v>Total</c:v>
                </c:pt>
              </c:strCache>
            </c:strRef>
          </c:cat>
          <c:val>
            <c:numRef>
              <c:f>pivot!$C$38</c:f>
              <c:numCache>
                <c:formatCode>_-[$$-409]* #,##0_ ;_-[$$-409]* \-#,##0\ ;_-[$$-409]* "-"??_ ;_-@_ </c:formatCode>
                <c:ptCount val="1"/>
                <c:pt idx="0">
                  <c:v>6691.166666666667</c:v>
                </c:pt>
              </c:numCache>
            </c:numRef>
          </c:val>
          <c:extLst>
            <c:ext xmlns:c16="http://schemas.microsoft.com/office/drawing/2014/chart" uri="{C3380CC4-5D6E-409C-BE32-E72D297353CC}">
              <c16:uniqueId val="{0000002B-0C75-474C-85EC-E087DE12D5F8}"/>
            </c:ext>
          </c:extLst>
        </c:ser>
        <c:ser>
          <c:idx val="2"/>
          <c:order val="2"/>
          <c:tx>
            <c:strRef>
              <c:f>pivot!$D$36:$D$37</c:f>
              <c:strCache>
                <c:ptCount val="1"/>
                <c:pt idx="0">
                  <c:v>Accountant</c:v>
                </c:pt>
              </c:strCache>
            </c:strRef>
          </c:tx>
          <c:spPr>
            <a:solidFill>
              <a:schemeClr val="accent3"/>
            </a:solidFill>
            <a:ln>
              <a:noFill/>
            </a:ln>
            <a:effectLst/>
          </c:spPr>
          <c:invertIfNegative val="0"/>
          <c:cat>
            <c:strRef>
              <c:f>pivot!$A$38</c:f>
              <c:strCache>
                <c:ptCount val="1"/>
                <c:pt idx="0">
                  <c:v>Total</c:v>
                </c:pt>
              </c:strCache>
            </c:strRef>
          </c:cat>
          <c:val>
            <c:numRef>
              <c:f>pivot!$D$38</c:f>
              <c:numCache>
                <c:formatCode>_-[$$-409]* #,##0_ ;_-[$$-409]* \-#,##0\ ;_-[$$-409]* "-"??_ ;_-@_ </c:formatCode>
                <c:ptCount val="1"/>
                <c:pt idx="0">
                  <c:v>6615</c:v>
                </c:pt>
              </c:numCache>
            </c:numRef>
          </c:val>
          <c:extLst>
            <c:ext xmlns:c16="http://schemas.microsoft.com/office/drawing/2014/chart" uri="{C3380CC4-5D6E-409C-BE32-E72D297353CC}">
              <c16:uniqueId val="{0000002C-0C75-474C-85EC-E087DE12D5F8}"/>
            </c:ext>
          </c:extLst>
        </c:ser>
        <c:ser>
          <c:idx val="3"/>
          <c:order val="3"/>
          <c:tx>
            <c:strRef>
              <c:f>pivot!$E$36:$E$37</c:f>
              <c:strCache>
                <c:ptCount val="1"/>
                <c:pt idx="0">
                  <c:v>Firefighter</c:v>
                </c:pt>
              </c:strCache>
            </c:strRef>
          </c:tx>
          <c:spPr>
            <a:solidFill>
              <a:schemeClr val="accent4"/>
            </a:solidFill>
            <a:ln>
              <a:noFill/>
            </a:ln>
            <a:effectLst/>
          </c:spPr>
          <c:invertIfNegative val="0"/>
          <c:cat>
            <c:strRef>
              <c:f>pivot!$A$38</c:f>
              <c:strCache>
                <c:ptCount val="1"/>
                <c:pt idx="0">
                  <c:v>Total</c:v>
                </c:pt>
              </c:strCache>
            </c:strRef>
          </c:cat>
          <c:val>
            <c:numRef>
              <c:f>pivot!$E$38</c:f>
              <c:numCache>
                <c:formatCode>_-[$$-409]* #,##0_ ;_-[$$-409]* \-#,##0\ ;_-[$$-409]* "-"??_ ;_-@_ </c:formatCode>
                <c:ptCount val="1"/>
                <c:pt idx="0">
                  <c:v>6578.6</c:v>
                </c:pt>
              </c:numCache>
            </c:numRef>
          </c:val>
          <c:extLst>
            <c:ext xmlns:c16="http://schemas.microsoft.com/office/drawing/2014/chart" uri="{C3380CC4-5D6E-409C-BE32-E72D297353CC}">
              <c16:uniqueId val="{0000002D-0C75-474C-85EC-E087DE12D5F8}"/>
            </c:ext>
          </c:extLst>
        </c:ser>
        <c:ser>
          <c:idx val="4"/>
          <c:order val="4"/>
          <c:tx>
            <c:strRef>
              <c:f>pivot!$F$36:$F$37</c:f>
              <c:strCache>
                <c:ptCount val="1"/>
                <c:pt idx="0">
                  <c:v>Police Officer</c:v>
                </c:pt>
              </c:strCache>
            </c:strRef>
          </c:tx>
          <c:spPr>
            <a:solidFill>
              <a:schemeClr val="accent5"/>
            </a:solidFill>
            <a:ln>
              <a:noFill/>
            </a:ln>
            <a:effectLst/>
          </c:spPr>
          <c:invertIfNegative val="0"/>
          <c:cat>
            <c:strRef>
              <c:f>pivot!$A$38</c:f>
              <c:strCache>
                <c:ptCount val="1"/>
                <c:pt idx="0">
                  <c:v>Total</c:v>
                </c:pt>
              </c:strCache>
            </c:strRef>
          </c:cat>
          <c:val>
            <c:numRef>
              <c:f>pivot!$F$38</c:f>
              <c:numCache>
                <c:formatCode>_-[$$-409]* #,##0_ ;_-[$$-409]* \-#,##0\ ;_-[$$-409]* "-"??_ ;_-@_ </c:formatCode>
                <c:ptCount val="1"/>
                <c:pt idx="0">
                  <c:v>6554.8666666666668</c:v>
                </c:pt>
              </c:numCache>
            </c:numRef>
          </c:val>
          <c:extLst>
            <c:ext xmlns:c16="http://schemas.microsoft.com/office/drawing/2014/chart" uri="{C3380CC4-5D6E-409C-BE32-E72D297353CC}">
              <c16:uniqueId val="{0000002E-0C75-474C-85EC-E087DE12D5F8}"/>
            </c:ext>
          </c:extLst>
        </c:ser>
        <c:ser>
          <c:idx val="5"/>
          <c:order val="5"/>
          <c:tx>
            <c:strRef>
              <c:f>pivot!$G$36:$G$37</c:f>
              <c:strCache>
                <c:ptCount val="1"/>
                <c:pt idx="0">
                  <c:v>Dancer</c:v>
                </c:pt>
              </c:strCache>
            </c:strRef>
          </c:tx>
          <c:spPr>
            <a:solidFill>
              <a:schemeClr val="accent6"/>
            </a:solidFill>
            <a:ln>
              <a:noFill/>
            </a:ln>
            <a:effectLst/>
          </c:spPr>
          <c:invertIfNegative val="0"/>
          <c:cat>
            <c:strRef>
              <c:f>pivot!$A$38</c:f>
              <c:strCache>
                <c:ptCount val="1"/>
                <c:pt idx="0">
                  <c:v>Total</c:v>
                </c:pt>
              </c:strCache>
            </c:strRef>
          </c:cat>
          <c:val>
            <c:numRef>
              <c:f>pivot!$G$38</c:f>
              <c:numCache>
                <c:formatCode>_-[$$-409]* #,##0_ ;_-[$$-409]* \-#,##0\ ;_-[$$-409]* "-"??_ ;_-@_ </c:formatCode>
                <c:ptCount val="1"/>
                <c:pt idx="0">
                  <c:v>6206.7142857142853</c:v>
                </c:pt>
              </c:numCache>
            </c:numRef>
          </c:val>
          <c:extLst>
            <c:ext xmlns:c16="http://schemas.microsoft.com/office/drawing/2014/chart" uri="{C3380CC4-5D6E-409C-BE32-E72D297353CC}">
              <c16:uniqueId val="{0000002F-0C75-474C-85EC-E087DE12D5F8}"/>
            </c:ext>
          </c:extLst>
        </c:ser>
        <c:ser>
          <c:idx val="6"/>
          <c:order val="6"/>
          <c:tx>
            <c:strRef>
              <c:f>pivot!$H$36:$H$37</c:f>
              <c:strCache>
                <c:ptCount val="1"/>
                <c:pt idx="0">
                  <c:v>Meteorologist</c:v>
                </c:pt>
              </c:strCache>
            </c:strRef>
          </c:tx>
          <c:spPr>
            <a:solidFill>
              <a:schemeClr val="accent1">
                <a:lumMod val="60000"/>
              </a:schemeClr>
            </a:solidFill>
            <a:ln>
              <a:noFill/>
            </a:ln>
            <a:effectLst/>
          </c:spPr>
          <c:invertIfNegative val="0"/>
          <c:cat>
            <c:strRef>
              <c:f>pivot!$A$38</c:f>
              <c:strCache>
                <c:ptCount val="1"/>
                <c:pt idx="0">
                  <c:v>Total</c:v>
                </c:pt>
              </c:strCache>
            </c:strRef>
          </c:cat>
          <c:val>
            <c:numRef>
              <c:f>pivot!$H$38</c:f>
              <c:numCache>
                <c:formatCode>_-[$$-409]* #,##0_ ;_-[$$-409]* \-#,##0\ ;_-[$$-409]* "-"??_ ;_-@_ </c:formatCode>
                <c:ptCount val="1"/>
                <c:pt idx="0">
                  <c:v>6166.3157894736842</c:v>
                </c:pt>
              </c:numCache>
            </c:numRef>
          </c:val>
          <c:extLst>
            <c:ext xmlns:c16="http://schemas.microsoft.com/office/drawing/2014/chart" uri="{C3380CC4-5D6E-409C-BE32-E72D297353CC}">
              <c16:uniqueId val="{00000030-0C75-474C-85EC-E087DE12D5F8}"/>
            </c:ext>
          </c:extLst>
        </c:ser>
        <c:ser>
          <c:idx val="7"/>
          <c:order val="7"/>
          <c:tx>
            <c:strRef>
              <c:f>pivot!$I$36:$I$37</c:f>
              <c:strCache>
                <c:ptCount val="1"/>
                <c:pt idx="0">
                  <c:v>Chef</c:v>
                </c:pt>
              </c:strCache>
            </c:strRef>
          </c:tx>
          <c:spPr>
            <a:solidFill>
              <a:schemeClr val="accent2">
                <a:lumMod val="60000"/>
              </a:schemeClr>
            </a:solidFill>
            <a:ln>
              <a:noFill/>
            </a:ln>
            <a:effectLst/>
          </c:spPr>
          <c:invertIfNegative val="0"/>
          <c:cat>
            <c:strRef>
              <c:f>pivot!$A$38</c:f>
              <c:strCache>
                <c:ptCount val="1"/>
                <c:pt idx="0">
                  <c:v>Total</c:v>
                </c:pt>
              </c:strCache>
            </c:strRef>
          </c:cat>
          <c:val>
            <c:numRef>
              <c:f>pivot!$I$38</c:f>
              <c:numCache>
                <c:formatCode>_-[$$-409]* #,##0_ ;_-[$$-409]* \-#,##0\ ;_-[$$-409]* "-"??_ ;_-@_ </c:formatCode>
                <c:ptCount val="1"/>
                <c:pt idx="0">
                  <c:v>6125.5</c:v>
                </c:pt>
              </c:numCache>
            </c:numRef>
          </c:val>
          <c:extLst>
            <c:ext xmlns:c16="http://schemas.microsoft.com/office/drawing/2014/chart" uri="{C3380CC4-5D6E-409C-BE32-E72D297353CC}">
              <c16:uniqueId val="{00000031-0C75-474C-85EC-E087DE12D5F8}"/>
            </c:ext>
          </c:extLst>
        </c:ser>
        <c:ser>
          <c:idx val="8"/>
          <c:order val="8"/>
          <c:tx>
            <c:strRef>
              <c:f>pivot!$J$36:$J$37</c:f>
              <c:strCache>
                <c:ptCount val="1"/>
                <c:pt idx="0">
                  <c:v>Archeologist</c:v>
                </c:pt>
              </c:strCache>
            </c:strRef>
          </c:tx>
          <c:spPr>
            <a:solidFill>
              <a:schemeClr val="accent3">
                <a:lumMod val="60000"/>
              </a:schemeClr>
            </a:solidFill>
            <a:ln>
              <a:noFill/>
            </a:ln>
            <a:effectLst/>
          </c:spPr>
          <c:invertIfNegative val="0"/>
          <c:cat>
            <c:strRef>
              <c:f>pivot!$A$38</c:f>
              <c:strCache>
                <c:ptCount val="1"/>
                <c:pt idx="0">
                  <c:v>Total</c:v>
                </c:pt>
              </c:strCache>
            </c:strRef>
          </c:cat>
          <c:val>
            <c:numRef>
              <c:f>pivot!$J$38</c:f>
              <c:numCache>
                <c:formatCode>_-[$$-409]* #,##0_ ;_-[$$-409]* \-#,##0\ ;_-[$$-409]* "-"??_ ;_-@_ </c:formatCode>
                <c:ptCount val="1"/>
                <c:pt idx="0">
                  <c:v>6117.3</c:v>
                </c:pt>
              </c:numCache>
            </c:numRef>
          </c:val>
          <c:extLst>
            <c:ext xmlns:c16="http://schemas.microsoft.com/office/drawing/2014/chart" uri="{C3380CC4-5D6E-409C-BE32-E72D297353CC}">
              <c16:uniqueId val="{00000032-0C75-474C-85EC-E087DE12D5F8}"/>
            </c:ext>
          </c:extLst>
        </c:ser>
        <c:ser>
          <c:idx val="9"/>
          <c:order val="9"/>
          <c:tx>
            <c:strRef>
              <c:f>pivot!$K$36:$K$37</c:f>
              <c:strCache>
                <c:ptCount val="1"/>
                <c:pt idx="0">
                  <c:v>Journalist</c:v>
                </c:pt>
              </c:strCache>
            </c:strRef>
          </c:tx>
          <c:spPr>
            <a:solidFill>
              <a:schemeClr val="accent4">
                <a:lumMod val="60000"/>
              </a:schemeClr>
            </a:solidFill>
            <a:ln>
              <a:noFill/>
            </a:ln>
            <a:effectLst/>
          </c:spPr>
          <c:invertIfNegative val="0"/>
          <c:cat>
            <c:strRef>
              <c:f>pivot!$A$38</c:f>
              <c:strCache>
                <c:ptCount val="1"/>
                <c:pt idx="0">
                  <c:v>Total</c:v>
                </c:pt>
              </c:strCache>
            </c:strRef>
          </c:cat>
          <c:val>
            <c:numRef>
              <c:f>pivot!$K$38</c:f>
              <c:numCache>
                <c:formatCode>_-[$$-409]* #,##0_ ;_-[$$-409]* \-#,##0\ ;_-[$$-409]* "-"??_ ;_-@_ </c:formatCode>
                <c:ptCount val="1"/>
                <c:pt idx="0">
                  <c:v>6035.1428571428569</c:v>
                </c:pt>
              </c:numCache>
            </c:numRef>
          </c:val>
          <c:extLst>
            <c:ext xmlns:c16="http://schemas.microsoft.com/office/drawing/2014/chart" uri="{C3380CC4-5D6E-409C-BE32-E72D297353CC}">
              <c16:uniqueId val="{00000033-0C75-474C-85EC-E087DE12D5F8}"/>
            </c:ext>
          </c:extLst>
        </c:ser>
        <c:dLbls>
          <c:showLegendKey val="0"/>
          <c:showVal val="0"/>
          <c:showCatName val="0"/>
          <c:showSerName val="0"/>
          <c:showPercent val="0"/>
          <c:showBubbleSize val="0"/>
        </c:dLbls>
        <c:gapWidth val="219"/>
        <c:overlap val="-27"/>
        <c:axId val="185357008"/>
        <c:axId val="2085071888"/>
      </c:barChart>
      <c:catAx>
        <c:axId val="185357008"/>
        <c:scaling>
          <c:orientation val="minMax"/>
        </c:scaling>
        <c:delete val="1"/>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crossAx val="2085071888"/>
        <c:crosses val="autoZero"/>
        <c:auto val="1"/>
        <c:lblAlgn val="ctr"/>
        <c:lblOffset val="100"/>
        <c:noMultiLvlLbl val="0"/>
      </c:catAx>
      <c:valAx>
        <c:axId val="2085071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535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[Assesment_Project.xlsx]pivot!PivotTable5</c:name>
    <c:fmtId val="6"/>
  </c:pivotSource>
  <c:chart>
    <c:title>
      <c:tx>
        <c:rich>
          <a:bodyPr rot="0" spcFirstLastPara="1" vertOverflow="ellipsis" vert="horz" wrap="square" anchor="ctr" anchorCtr="1"/>
          <a:lstStyle/>
          <a:p>
            <a:pPr algn="ctr" rtl="0">
              <a:defRPr lang="en-IN" sz="1200" b="1" i="0" u="sng" strike="noStrike" kern="1200" spc="0" baseline="0">
                <a:solidFill>
                  <a:sysClr val="windowText" lastClr="000000"/>
                </a:solidFill>
                <a:latin typeface="+mn-lt"/>
                <a:ea typeface="+mn-ea"/>
                <a:cs typeface="+mn-cs"/>
              </a:defRPr>
            </a:pPr>
            <a:r>
              <a:rPr lang="en-IN" sz="1200" b="1" i="0" u="sng" strike="noStrike" kern="1200" spc="0" baseline="0">
                <a:solidFill>
                  <a:sysClr val="windowText" lastClr="000000"/>
                </a:solidFill>
                <a:latin typeface="+mn-lt"/>
                <a:ea typeface="+mn-ea"/>
                <a:cs typeface="+mn-cs"/>
              </a:rPr>
              <a:t>Count Of Children By The Maritial Status</a:t>
            </a:r>
          </a:p>
        </c:rich>
      </c:tx>
      <c:overlay val="0"/>
      <c:spPr>
        <a:noFill/>
        <a:ln>
          <a:noFill/>
        </a:ln>
        <a:effectLst/>
      </c:spPr>
      <c:txPr>
        <a:bodyPr rot="0" spcFirstLastPara="1" vertOverflow="ellipsis" vert="horz" wrap="square" anchor="ctr" anchorCtr="1"/>
        <a:lstStyle/>
        <a:p>
          <a:pPr algn="ctr" rtl="0">
            <a:defRPr lang="en-IN" sz="12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pivot!$A$58:$A$60</c:f>
              <c:strCache>
                <c:ptCount val="2"/>
                <c:pt idx="0">
                  <c:v>Married</c:v>
                </c:pt>
                <c:pt idx="1">
                  <c:v>Single</c:v>
                </c:pt>
              </c:strCache>
            </c:strRef>
          </c:cat>
          <c:val>
            <c:numRef>
              <c:f>pivot!$B$58:$B$60</c:f>
              <c:numCache>
                <c:formatCode>General</c:formatCode>
                <c:ptCount val="2"/>
                <c:pt idx="0">
                  <c:v>1175</c:v>
                </c:pt>
                <c:pt idx="1">
                  <c:v>1272</c:v>
                </c:pt>
              </c:numCache>
            </c:numRef>
          </c:val>
          <c:extLst>
            <c:ext xmlns:c16="http://schemas.microsoft.com/office/drawing/2014/chart" uri="{C3380CC4-5D6E-409C-BE32-E72D297353CC}">
              <c16:uniqueId val="{00000000-F66A-4C6B-ACBA-847FA299C102}"/>
            </c:ext>
          </c:extLst>
        </c:ser>
        <c:dLbls>
          <c:dLblPos val="outEnd"/>
          <c:showLegendKey val="0"/>
          <c:showVal val="1"/>
          <c:showCatName val="0"/>
          <c:showSerName val="0"/>
          <c:showPercent val="0"/>
          <c:showBubbleSize val="0"/>
        </c:dLbls>
        <c:gapWidth val="219"/>
        <c:axId val="379682912"/>
        <c:axId val="379676672"/>
      </c:barChart>
      <c:catAx>
        <c:axId val="379682912"/>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Maritial Status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79676672"/>
        <c:crosses val="autoZero"/>
        <c:auto val="1"/>
        <c:lblAlgn val="ctr"/>
        <c:lblOffset val="100"/>
        <c:noMultiLvlLbl val="0"/>
      </c:catAx>
      <c:valAx>
        <c:axId val="3796766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Count Of Children</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796829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10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38100</xdr:colOff>
      <xdr:row>1</xdr:row>
      <xdr:rowOff>3810</xdr:rowOff>
    </xdr:from>
    <xdr:to>
      <xdr:col>11</xdr:col>
      <xdr:colOff>190500</xdr:colOff>
      <xdr:row>16</xdr:row>
      <xdr:rowOff>3810</xdr:rowOff>
    </xdr:to>
    <xdr:graphicFrame macro="">
      <xdr:nvGraphicFramePr>
        <xdr:cNvPr id="2" name="Chart 1">
          <a:extLst>
            <a:ext uri="{FF2B5EF4-FFF2-40B4-BE49-F238E27FC236}">
              <a16:creationId xmlns:a16="http://schemas.microsoft.com/office/drawing/2014/main" id="{153AF226-A350-F23B-2B78-19981370A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16</xdr:row>
      <xdr:rowOff>163830</xdr:rowOff>
    </xdr:from>
    <xdr:to>
      <xdr:col>11</xdr:col>
      <xdr:colOff>251460</xdr:colOff>
      <xdr:row>31</xdr:row>
      <xdr:rowOff>163830</xdr:rowOff>
    </xdr:to>
    <xdr:graphicFrame macro="">
      <xdr:nvGraphicFramePr>
        <xdr:cNvPr id="3" name="Chart 2">
          <a:extLst>
            <a:ext uri="{FF2B5EF4-FFF2-40B4-BE49-F238E27FC236}">
              <a16:creationId xmlns:a16="http://schemas.microsoft.com/office/drawing/2014/main" id="{B807F3F1-B7EE-981A-07E6-34D0A4562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38</xdr:row>
      <xdr:rowOff>171450</xdr:rowOff>
    </xdr:from>
    <xdr:to>
      <xdr:col>10</xdr:col>
      <xdr:colOff>274320</xdr:colOff>
      <xdr:row>53</xdr:row>
      <xdr:rowOff>171450</xdr:rowOff>
    </xdr:to>
    <xdr:graphicFrame macro="">
      <xdr:nvGraphicFramePr>
        <xdr:cNvPr id="4" name="Chart 3">
          <a:extLst>
            <a:ext uri="{FF2B5EF4-FFF2-40B4-BE49-F238E27FC236}">
              <a16:creationId xmlns:a16="http://schemas.microsoft.com/office/drawing/2014/main" id="{F1B7DA9C-211D-995B-D65C-1FB63F3AD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601980</xdr:colOff>
      <xdr:row>54</xdr:row>
      <xdr:rowOff>156210</xdr:rowOff>
    </xdr:from>
    <xdr:to>
      <xdr:col>9</xdr:col>
      <xdr:colOff>167640</xdr:colOff>
      <xdr:row>69</xdr:row>
      <xdr:rowOff>156210</xdr:rowOff>
    </xdr:to>
    <xdr:graphicFrame macro="">
      <xdr:nvGraphicFramePr>
        <xdr:cNvPr id="6" name="Chart 5">
          <a:extLst>
            <a:ext uri="{FF2B5EF4-FFF2-40B4-BE49-F238E27FC236}">
              <a16:creationId xmlns:a16="http://schemas.microsoft.com/office/drawing/2014/main" id="{4129FDB1-C681-8027-8D33-526B9A6C1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308429</xdr:colOff>
      <xdr:row>4</xdr:row>
      <xdr:rowOff>56637</xdr:rowOff>
    </xdr:from>
    <xdr:to>
      <xdr:col>10</xdr:col>
      <xdr:colOff>453572</xdr:colOff>
      <xdr:row>22</xdr:row>
      <xdr:rowOff>18143</xdr:rowOff>
    </xdr:to>
    <xdr:graphicFrame macro="">
      <xdr:nvGraphicFramePr>
        <xdr:cNvPr id="2" name="Chart 1">
          <a:extLst>
            <a:ext uri="{FF2B5EF4-FFF2-40B4-BE49-F238E27FC236}">
              <a16:creationId xmlns:a16="http://schemas.microsoft.com/office/drawing/2014/main" id="{D473B94C-3AF3-46D7-A2F0-207C8A7FA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498929</xdr:colOff>
      <xdr:row>4</xdr:row>
      <xdr:rowOff>56637</xdr:rowOff>
    </xdr:from>
    <xdr:to>
      <xdr:col>19</xdr:col>
      <xdr:colOff>0</xdr:colOff>
      <xdr:row>22</xdr:row>
      <xdr:rowOff>18143</xdr:rowOff>
    </xdr:to>
    <xdr:graphicFrame macro="">
      <xdr:nvGraphicFramePr>
        <xdr:cNvPr id="3" name="Chart 2">
          <a:extLst>
            <a:ext uri="{FF2B5EF4-FFF2-40B4-BE49-F238E27FC236}">
              <a16:creationId xmlns:a16="http://schemas.microsoft.com/office/drawing/2014/main" id="{3BBA6FB6-7E8E-4F29-BBAC-45F91C5D8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22</xdr:row>
      <xdr:rowOff>65282</xdr:rowOff>
    </xdr:from>
    <xdr:to>
      <xdr:col>10</xdr:col>
      <xdr:colOff>0</xdr:colOff>
      <xdr:row>37</xdr:row>
      <xdr:rowOff>65281</xdr:rowOff>
    </xdr:to>
    <xdr:graphicFrame macro="">
      <xdr:nvGraphicFramePr>
        <xdr:cNvPr id="4" name="Chart 3">
          <a:extLst>
            <a:ext uri="{FF2B5EF4-FFF2-40B4-BE49-F238E27FC236}">
              <a16:creationId xmlns:a16="http://schemas.microsoft.com/office/drawing/2014/main" id="{08758C97-C9A4-46BB-B919-6CF0C927C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22746</xdr:colOff>
      <xdr:row>22</xdr:row>
      <xdr:rowOff>65281</xdr:rowOff>
    </xdr:from>
    <xdr:to>
      <xdr:col>19</xdr:col>
      <xdr:colOff>0</xdr:colOff>
      <xdr:row>37</xdr:row>
      <xdr:rowOff>65280</xdr:rowOff>
    </xdr:to>
    <xdr:graphicFrame macro="">
      <xdr:nvGraphicFramePr>
        <xdr:cNvPr id="5" name="Chart 4">
          <a:extLst>
            <a:ext uri="{FF2B5EF4-FFF2-40B4-BE49-F238E27FC236}">
              <a16:creationId xmlns:a16="http://schemas.microsoft.com/office/drawing/2014/main" id="{DAE6A3C9-AAE3-44F7-8CA5-3EF417C79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41910</xdr:colOff>
      <xdr:row>4</xdr:row>
      <xdr:rowOff>56637</xdr:rowOff>
    </xdr:from>
    <xdr:to>
      <xdr:col>2</xdr:col>
      <xdr:colOff>248219</xdr:colOff>
      <xdr:row>11</xdr:row>
      <xdr:rowOff>72901</xdr:rowOff>
    </xdr:to>
    <mc:AlternateContent xmlns:mc="http://schemas.openxmlformats.org/markup-compatibility/2006" xmlns:a14="http://schemas.microsoft.com/office/drawing/2010/main">
      <mc:Choice Requires="a14">
        <xdr:graphicFrame macro="">
          <xdr:nvGraphicFramePr>
            <xdr:cNvPr id="7" name="Age Bracket">
              <a:extLst>
                <a:ext uri="{FF2B5EF4-FFF2-40B4-BE49-F238E27FC236}">
                  <a16:creationId xmlns:a16="http://schemas.microsoft.com/office/drawing/2014/main" id="{301571A7-DD49-246D-1BF7-2A8BBC4AA3EF}"/>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41910" y="746066"/>
              <a:ext cx="1548880" cy="1222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xdr:colOff>
      <xdr:row>11</xdr:row>
      <xdr:rowOff>90984</xdr:rowOff>
    </xdr:from>
    <xdr:to>
      <xdr:col>2</xdr:col>
      <xdr:colOff>248219</xdr:colOff>
      <xdr:row>16</xdr:row>
      <xdr:rowOff>151603</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E0E9AF9A-FE33-E1FF-E07A-54D57479C9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670" y="1986913"/>
              <a:ext cx="1564120" cy="922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0</xdr:rowOff>
    </xdr:from>
    <xdr:to>
      <xdr:col>2</xdr:col>
      <xdr:colOff>248219</xdr:colOff>
      <xdr:row>22</xdr:row>
      <xdr:rowOff>36285</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BE10DF43-990D-2493-EEA6-038446A58F1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9050" y="2930071"/>
              <a:ext cx="1571740" cy="904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524.036897337966" createdVersion="8" refreshedVersion="8" minRefreshableVersion="3" recordCount="1000" xr:uid="{59930E79-902F-4056-9434-5C373A61DA0C}">
  <cacheSource type="worksheet">
    <worksheetSource ref="A1:J1001" sheet="updated sheet"/>
  </cacheSource>
  <cacheFields count="10">
    <cacheField name="First Name" numFmtId="0">
      <sharedItems count="206">
        <s v="Jacob"/>
        <s v="Grace"/>
        <s v="Charlie"/>
        <s v="Vanessa"/>
        <s v="Fenton"/>
        <s v="Lucas"/>
        <s v="Belinda"/>
        <s v="Ashton"/>
        <s v="Kellan"/>
        <s v="Tyler"/>
        <s v="Alina"/>
        <s v="Tiana"/>
        <s v="Kimberly"/>
        <s v="Amelia"/>
        <s v="Connie"/>
        <s v="Edgar"/>
        <s v="Steven"/>
        <s v="Richard"/>
        <s v="Alan"/>
        <s v="Nicholas"/>
        <s v="Sawyer"/>
        <s v="Lyndon"/>
        <s v="Sofia"/>
        <s v="Walter"/>
        <s v="Emily"/>
        <s v="Lucy"/>
        <s v="Edward"/>
        <s v="Frederick"/>
        <s v="Jenna"/>
        <s v="Adam"/>
        <s v="Anna"/>
        <s v="Tara"/>
        <s v="Dominik"/>
        <s v="Roman"/>
        <s v="Eddy"/>
        <s v="Valeria"/>
        <s v="Wilson"/>
        <s v="Emma"/>
        <s v="Alexia"/>
        <s v="Myra"/>
        <s v="Henry"/>
        <s v="Honey"/>
        <s v="Jordan"/>
        <s v="Mary"/>
        <s v="Arnold"/>
        <s v="Jack"/>
        <s v="Brad"/>
        <s v="Jared"/>
        <s v="Sarah"/>
        <s v="Maria"/>
        <s v="April"/>
        <s v="Bruce"/>
        <s v="Alexander"/>
        <s v="Nicole"/>
        <s v="Dale"/>
        <s v="Kate"/>
        <s v="Isabella"/>
        <s v="Kevin"/>
        <s v="Maximilian"/>
        <s v="Eric"/>
        <s v="Samantha"/>
        <s v="Sienna"/>
        <s v="Miranda"/>
        <s v="Heather"/>
        <s v="Tony"/>
        <s v="Haris"/>
        <s v="Alen"/>
        <s v="Michael"/>
        <s v="Robert"/>
        <s v="Camila"/>
        <s v="Owen"/>
        <s v="Andrew"/>
        <s v="Vincent"/>
        <s v="Julia"/>
        <s v="Florrie"/>
        <s v="Stella"/>
        <s v="Freddie"/>
        <s v="Amanda"/>
        <s v="Stuart"/>
        <s v="Victor"/>
        <s v="Arthur"/>
        <s v="Elian"/>
        <s v="Chloe"/>
        <s v="Daryl"/>
        <s v="Hailey"/>
        <s v="Rosie"/>
        <s v="Garry"/>
        <s v="Catherine"/>
        <s v="Oliver"/>
        <s v="Alissa"/>
        <s v="Spike"/>
        <s v="Maddie"/>
        <s v="Agata"/>
        <s v="Harold"/>
        <s v="Aiden"/>
        <s v="Marcus"/>
        <s v="Brooke"/>
        <s v="Carina"/>
        <s v="Arianna"/>
        <s v="Ryan"/>
        <s v="David"/>
        <s v="Savana"/>
        <s v="Lydia"/>
        <s v="Fiona"/>
        <s v="Kelvin"/>
        <s v="Daniel"/>
        <s v="Ada"/>
        <s v="Paige"/>
        <s v="Aston"/>
        <s v="Adrian"/>
        <s v="Cherry"/>
        <s v="Max"/>
        <s v="Vivian"/>
        <s v="Lilianna"/>
        <s v="Deanna"/>
        <s v="Thomas"/>
        <s v="Kristian"/>
        <s v="Rebecca"/>
        <s v="Adelaide"/>
        <s v="James"/>
        <s v="Aldus"/>
        <s v="Mike"/>
        <s v="Audrey"/>
        <s v="Roland"/>
        <s v="Lily"/>
        <s v="Sophia"/>
        <s v="Adison"/>
        <s v="Rubie"/>
        <s v="Gianna"/>
        <s v="Melanie"/>
        <s v="Charlotte"/>
        <s v="Julian"/>
        <s v="Albert"/>
        <s v="Luke"/>
        <s v="Oscar"/>
        <s v="Reid"/>
        <s v="Caroline"/>
        <s v="Chelsea"/>
        <s v="Cadie"/>
        <s v="Byron"/>
        <s v="Edwin"/>
        <s v="Paul"/>
        <s v="Adele"/>
        <s v="Brianna"/>
        <s v="Dexter"/>
        <s v="Leonardo"/>
        <s v="Lenny"/>
        <s v="Lana"/>
        <s v="Kelsey"/>
        <s v="Naomi"/>
        <s v="Sam"/>
        <s v="Rafael"/>
        <s v="Ned"/>
        <s v="Tess"/>
        <s v="Darcy"/>
        <s v="Adrianna"/>
        <s v="John"/>
        <s v="Penelope"/>
        <s v="Blake"/>
        <s v="Preston"/>
        <s v="Violet"/>
        <s v="George"/>
        <s v="Ted"/>
        <s v="Elise"/>
        <s v="Eleanor"/>
        <s v="Maya"/>
        <s v="Edith"/>
        <s v="Aida"/>
        <s v="Jessica"/>
        <s v="Chester"/>
        <s v="Victoria"/>
        <s v="Carlos"/>
        <s v="Amber"/>
        <s v="Evelyn"/>
        <s v="Kirsten"/>
        <s v="Lucia"/>
        <s v="Justin"/>
        <s v="Alford"/>
        <s v="Natalie"/>
        <s v="Melissa"/>
        <s v="Abigail"/>
        <s v="Annabella"/>
        <s v="Alfred"/>
        <s v="Dainton"/>
        <s v="Madaline"/>
        <s v="Carl"/>
        <s v="Olivia"/>
        <s v="Clark"/>
        <s v="Patrick"/>
        <s v="Alberta"/>
        <s v="Miley"/>
        <s v="Abraham"/>
        <s v="Ellia"/>
        <s v="Antony"/>
        <s v="Daisy"/>
        <s v="Alisa"/>
        <s v="Sabrina"/>
        <s v="Jasmine"/>
        <s v="Joyce"/>
        <s v="William"/>
        <s v="Derek"/>
        <s v="Martin"/>
        <s v="Michelle"/>
        <s v="Sydney"/>
        <s v="Briony"/>
        <s v="Amy"/>
      </sharedItems>
    </cacheField>
    <cacheField name="Last Name" numFmtId="0">
      <sharedItems/>
    </cacheField>
    <cacheField name="Full Name" numFmtId="0">
      <sharedItems/>
    </cacheField>
    <cacheField name="Gender" numFmtId="0">
      <sharedItems count="2">
        <s v="Male"/>
        <s v="Female"/>
      </sharedItems>
    </cacheField>
    <cacheField name="Age" numFmtId="0">
      <sharedItems containsSemiMixedTypes="0" containsString="0" containsNumber="1" containsInteger="1" minValue="18" maxValue="60"/>
    </cacheField>
    <cacheField name="Age Bracket" numFmtId="0">
      <sharedItems count="3">
        <s v="Old"/>
        <s v="Middle Age"/>
        <s v="Young"/>
      </sharedItems>
    </cacheField>
    <cacheField name="Occupation" numFmtId="0">
      <sharedItems count="53">
        <s v="Lawer"/>
        <s v="Insurer"/>
        <s v="Aeroplane Pilot"/>
        <s v="Architect"/>
        <s v="Auditor"/>
        <s v="Dancer"/>
        <s v="Cook"/>
        <s v="Police Officer"/>
        <s v="Engineer"/>
        <s v="Composer"/>
        <s v="Geologist"/>
        <s v="Scientist"/>
        <s v="Economist"/>
        <s v="Driver"/>
        <s v="Mathematician"/>
        <s v="Singer"/>
        <s v="Fine Artist"/>
        <s v="Programmer"/>
        <s v="Medic"/>
        <s v="Manager"/>
        <s v="Producer"/>
        <s v="Baker"/>
        <s v="Photographer"/>
        <s v="Chef"/>
        <s v="Jeweller"/>
        <s v="Lecturer"/>
        <s v="Archeologist"/>
        <s v="Historian"/>
        <s v="Electrician"/>
        <s v="Pharmacist"/>
        <s v="Journalist"/>
        <s v="Meteorologist"/>
        <s v="Mechanic"/>
        <s v="Chemist"/>
        <s v="Fashion Designer"/>
        <s v="Botanist"/>
        <s v="Florist"/>
        <s v="Astronomer"/>
        <s v="Physicist"/>
        <s v="Hairdresser"/>
        <s v="Salesman"/>
        <s v="Carpenter"/>
        <s v="Biochemist"/>
        <s v="Agronomist"/>
        <s v="Interior Designer"/>
        <s v="Interpreter"/>
        <s v="Veterinarian"/>
        <s v="Actor"/>
        <s v="Social Worker"/>
        <s v="Graphic Designer"/>
        <s v="Teacher"/>
        <s v="Accountant"/>
        <s v="Firefighter"/>
      </sharedItems>
    </cacheField>
    <cacheField name="Salary" numFmtId="164">
      <sharedItems containsSemiMixedTypes="0" containsString="0" containsNumber="1" containsInteger="1" minValue="520" maxValue="10000" count="957">
        <n v="6779"/>
        <n v="4466"/>
        <n v="5786"/>
        <n v="3403"/>
        <n v="693"/>
        <n v="3029"/>
        <n v="8927"/>
        <n v="916"/>
        <n v="8337"/>
        <n v="2705"/>
        <n v="8411"/>
        <n v="8087"/>
        <n v="7929"/>
        <n v="9278"/>
        <n v="7868"/>
        <n v="2264"/>
        <n v="2533"/>
        <n v="1378"/>
        <n v="6229"/>
        <n v="5461"/>
        <n v="931"/>
        <n v="5120"/>
        <n v="9039"/>
        <n v="4813"/>
        <n v="4856"/>
        <n v="4406"/>
        <n v="2213"/>
        <n v="6890"/>
        <n v="4702"/>
        <n v="9026"/>
        <n v="5998"/>
        <n v="8832"/>
        <n v="3578"/>
        <n v="2060"/>
        <n v="9072"/>
        <n v="8115"/>
        <n v="4424"/>
        <n v="4754"/>
        <n v="6531"/>
        <n v="9654"/>
        <n v="5963"/>
        <n v="1419"/>
        <n v="9406"/>
        <n v="2254"/>
        <n v="8547"/>
        <n v="5427"/>
        <n v="523"/>
        <n v="1832"/>
        <n v="2846"/>
        <n v="960"/>
        <n v="6857"/>
        <n v="7942"/>
        <n v="8703"/>
        <n v="4057"/>
        <n v="6452"/>
        <n v="7282"/>
        <n v="8791"/>
        <n v="5011"/>
        <n v="5855"/>
        <n v="3729"/>
        <n v="8183"/>
        <n v="1912"/>
        <n v="3558"/>
        <n v="5245"/>
        <n v="9627"/>
        <n v="9507"/>
        <n v="8410"/>
        <n v="750"/>
        <n v="7518"/>
        <n v="1280"/>
        <n v="5072"/>
        <n v="2670"/>
        <n v="7506"/>
        <n v="7924"/>
        <n v="8979"/>
        <n v="2299"/>
        <n v="2772"/>
        <n v="4160"/>
        <n v="5743"/>
        <n v="7157"/>
        <n v="6501"/>
        <n v="2669"/>
        <n v="3424"/>
        <n v="5485"/>
        <n v="4786"/>
        <n v="5819"/>
        <n v="2778"/>
        <n v="6964"/>
        <n v="5708"/>
        <n v="8059"/>
        <n v="8196"/>
        <n v="9237"/>
        <n v="8232"/>
        <n v="7802"/>
        <n v="9147"/>
        <n v="2998"/>
        <n v="1956"/>
        <n v="5957"/>
        <n v="1778"/>
        <n v="715"/>
        <n v="4311"/>
        <n v="3249"/>
        <n v="6038"/>
        <n v="5863"/>
        <n v="3549"/>
        <n v="7436"/>
        <n v="4038"/>
        <n v="8266"/>
        <n v="9770"/>
        <n v="1811"/>
        <n v="7090"/>
        <n v="9504"/>
        <n v="4954"/>
        <n v="3940"/>
        <n v="4713"/>
        <n v="3597"/>
        <n v="8131"/>
        <n v="4625"/>
        <n v="3221"/>
        <n v="4804"/>
        <n v="547"/>
        <n v="1557"/>
        <n v="2083"/>
        <n v="6130"/>
        <n v="2046"/>
        <n v="4236"/>
        <n v="4995"/>
        <n v="1299"/>
        <n v="9132"/>
        <n v="2194"/>
        <n v="8680"/>
        <n v="7380"/>
        <n v="5282"/>
        <n v="4838"/>
        <n v="1717"/>
        <n v="7540"/>
        <n v="2404"/>
        <n v="6730"/>
        <n v="8296"/>
        <n v="5967"/>
        <n v="554"/>
        <n v="5117"/>
        <n v="6423"/>
        <n v="9166"/>
        <n v="9001"/>
        <n v="6855"/>
        <n v="1072"/>
        <n v="7363"/>
        <n v="3715"/>
        <n v="10000"/>
        <n v="9640"/>
        <n v="5535"/>
        <n v="521"/>
        <n v="5845"/>
        <n v="3670"/>
        <n v="8512"/>
        <n v="5787"/>
        <n v="8616"/>
        <n v="9868"/>
        <n v="3130"/>
        <n v="9366"/>
        <n v="8309"/>
        <n v="1307"/>
        <n v="3389"/>
        <n v="6600"/>
        <n v="2154"/>
        <n v="2627"/>
        <n v="2441"/>
        <n v="5566"/>
        <n v="8489"/>
        <n v="1734"/>
        <n v="7325"/>
        <n v="1268"/>
        <n v="3433"/>
        <n v="2142"/>
        <n v="7231"/>
        <n v="5659"/>
        <n v="9058"/>
        <n v="8387"/>
        <n v="1722"/>
        <n v="4979"/>
        <n v="9390"/>
        <n v="9726"/>
        <n v="2015"/>
        <n v="1919"/>
        <n v="6447"/>
        <n v="5826"/>
        <n v="3402"/>
        <n v="6961"/>
        <n v="2808"/>
        <n v="2558"/>
        <n v="2509"/>
        <n v="3666"/>
        <n v="5837"/>
        <n v="861"/>
        <n v="3674"/>
        <n v="1199"/>
        <n v="2894"/>
        <n v="5257"/>
        <n v="4783"/>
        <n v="2943"/>
        <n v="9990"/>
        <n v="4596"/>
        <n v="4816"/>
        <n v="3031"/>
        <n v="1064"/>
        <n v="5479"/>
        <n v="4006"/>
        <n v="2192"/>
        <n v="9005"/>
        <n v="6417"/>
        <n v="4177"/>
        <n v="4143"/>
        <n v="8158"/>
        <n v="3356"/>
        <n v="5242"/>
        <n v="9418"/>
        <n v="9356"/>
        <n v="2469"/>
        <n v="4300"/>
        <n v="3152"/>
        <n v="4922"/>
        <n v="1465"/>
        <n v="6067"/>
        <n v="7466"/>
        <n v="7424"/>
        <n v="9164"/>
        <n v="975"/>
        <n v="2382"/>
        <n v="5740"/>
        <n v="5730"/>
        <n v="6177"/>
        <n v="6808"/>
        <n v="5614"/>
        <n v="1157"/>
        <n v="6556"/>
        <n v="2204"/>
        <n v="7080"/>
        <n v="8048"/>
        <n v="2113"/>
        <n v="1074"/>
        <n v="9389"/>
        <n v="4438"/>
        <n v="6852"/>
        <n v="4634"/>
        <n v="3499"/>
        <n v="6212"/>
        <n v="8019"/>
        <n v="9470"/>
        <n v="4171"/>
        <n v="3451"/>
        <n v="6022"/>
        <n v="1711"/>
        <n v="4011"/>
        <n v="3025"/>
        <n v="3169"/>
        <n v="2188"/>
        <n v="8664"/>
        <n v="9986"/>
        <n v="9610"/>
        <n v="4136"/>
        <n v="2928"/>
        <n v="1819"/>
        <n v="8209"/>
        <n v="8554"/>
        <n v="7526"/>
        <n v="1799"/>
        <n v="524"/>
        <n v="6717"/>
        <n v="8050"/>
        <n v="3595"/>
        <n v="5234"/>
        <n v="7608"/>
        <n v="6184"/>
        <n v="9585"/>
        <n v="4847"/>
        <n v="7382"/>
        <n v="3757"/>
        <n v="4905"/>
        <n v="8142"/>
        <n v="6316"/>
        <n v="3266"/>
        <n v="8194"/>
        <n v="7997"/>
        <n v="807"/>
        <n v="8619"/>
        <n v="3268"/>
        <n v="7932"/>
        <n v="9520"/>
        <n v="9573"/>
        <n v="3609"/>
        <n v="2824"/>
        <n v="8221"/>
        <n v="1904"/>
        <n v="5687"/>
        <n v="8786"/>
        <n v="8850"/>
        <n v="2654"/>
        <n v="838"/>
        <n v="6344"/>
        <n v="1420"/>
        <n v="7788"/>
        <n v="9246"/>
        <n v="709"/>
        <n v="520"/>
        <n v="8443"/>
        <n v="4131"/>
        <n v="8572"/>
        <n v="7500"/>
        <n v="7148"/>
        <n v="2920"/>
        <n v="692"/>
        <n v="2826"/>
        <n v="7289"/>
        <n v="4306"/>
        <n v="9129"/>
        <n v="8263"/>
        <n v="3797"/>
        <n v="6041"/>
        <n v="3743"/>
        <n v="1172"/>
        <n v="5577"/>
        <n v="1464"/>
        <n v="7199"/>
        <n v="5354"/>
        <n v="1667"/>
        <n v="6097"/>
        <n v="2093"/>
        <n v="3398"/>
        <n v="4169"/>
        <n v="3829"/>
        <n v="6262"/>
        <n v="3297"/>
        <n v="6988"/>
        <n v="2601"/>
        <n v="9428"/>
        <n v="2691"/>
        <n v="671"/>
        <n v="1086"/>
        <n v="5309"/>
        <n v="8381"/>
        <n v="833"/>
        <n v="3338"/>
        <n v="2886"/>
        <n v="8068"/>
        <n v="6181"/>
        <n v="4720"/>
        <n v="4075"/>
        <n v="4364"/>
        <n v="9370"/>
        <n v="5571"/>
        <n v="6478"/>
        <n v="4428"/>
        <n v="782"/>
        <n v="8679"/>
        <n v="9589"/>
        <n v="6306"/>
        <n v="2810"/>
        <n v="9850"/>
        <n v="3195"/>
        <n v="2010"/>
        <n v="9617"/>
        <n v="2277"/>
        <n v="2999"/>
        <n v="6793"/>
        <n v="8249"/>
        <n v="4723"/>
        <n v="1198"/>
        <n v="7458"/>
        <n v="5385"/>
        <n v="2127"/>
        <n v="1175"/>
        <n v="6811"/>
        <n v="9276"/>
        <n v="5879"/>
        <n v="1881"/>
        <n v="6734"/>
        <n v="4086"/>
        <n v="6700"/>
        <n v="1151"/>
        <n v="682"/>
        <n v="4473"/>
        <n v="2262"/>
        <n v="9332"/>
        <n v="8005"/>
        <n v="8678"/>
        <n v="3771"/>
        <n v="9917"/>
        <n v="8015"/>
        <n v="8588"/>
        <n v="6887"/>
        <n v="3486"/>
        <n v="3869"/>
        <n v="5930"/>
        <n v="7096"/>
        <n v="4159"/>
        <n v="6572"/>
        <n v="540"/>
        <n v="9974"/>
        <n v="1976"/>
        <n v="2768"/>
        <n v="1120"/>
        <n v="3875"/>
        <n v="9377"/>
        <n v="2695"/>
        <n v="5213"/>
        <n v="5434"/>
        <n v="3641"/>
        <n v="7462"/>
        <n v="5721"/>
        <n v="5032"/>
        <n v="2870"/>
        <n v="4950"/>
        <n v="6903"/>
        <n v="6577"/>
        <n v="7295"/>
        <n v="6173"/>
        <n v="8584"/>
        <n v="3726"/>
        <n v="2843"/>
        <n v="7543"/>
        <n v="5853"/>
        <n v="6838"/>
        <n v="9570"/>
        <n v="4870"/>
        <n v="8863"/>
        <n v="4748"/>
        <n v="1476"/>
        <n v="6813"/>
        <n v="2644"/>
        <n v="3777"/>
        <n v="3524"/>
        <n v="2229"/>
        <n v="3353"/>
        <n v="1512"/>
        <n v="9716"/>
        <n v="9417"/>
        <n v="2219"/>
        <n v="9038"/>
        <n v="4661"/>
        <n v="2657"/>
        <n v="8220"/>
        <n v="1031"/>
        <n v="5880"/>
        <n v="5199"/>
        <n v="8261"/>
        <n v="1056"/>
        <n v="7188"/>
        <n v="616"/>
        <n v="7756"/>
        <n v="4771"/>
        <n v="1015"/>
        <n v="778"/>
        <n v="9205"/>
        <n v="4803"/>
        <n v="4511"/>
        <n v="3160"/>
        <n v="8821"/>
        <n v="3563"/>
        <n v="4835"/>
        <n v="1728"/>
        <n v="2914"/>
        <n v="4366"/>
        <n v="4050"/>
        <n v="4048"/>
        <n v="7450"/>
        <n v="4255"/>
        <n v="3936"/>
        <n v="3952"/>
        <n v="4210"/>
        <n v="6576"/>
        <n v="7860"/>
        <n v="4792"/>
        <n v="2202"/>
        <n v="2732"/>
        <n v="2842"/>
        <n v="2608"/>
        <n v="9745"/>
        <n v="9296"/>
        <n v="5610"/>
        <n v="3761"/>
        <n v="8318"/>
        <n v="1004"/>
        <n v="2146"/>
        <n v="9079"/>
        <n v="6753"/>
        <n v="4480"/>
        <n v="4373"/>
        <n v="4106"/>
        <n v="5532"/>
        <n v="8990"/>
        <n v="6744"/>
        <n v="9324"/>
        <n v="8930"/>
        <n v="880"/>
        <n v="3627"/>
        <n v="8508"/>
        <n v="3794"/>
        <n v="1602"/>
        <n v="7486"/>
        <n v="2958"/>
        <n v="4318"/>
        <n v="1305"/>
        <n v="4486"/>
        <n v="3881"/>
        <n v="7464"/>
        <n v="3682"/>
        <n v="9544"/>
        <n v="2516"/>
        <n v="2901"/>
        <n v="8701"/>
        <n v="9689"/>
        <n v="4269"/>
        <n v="1962"/>
        <n v="4880"/>
        <n v="7239"/>
        <n v="6358"/>
        <n v="5798"/>
        <n v="8258"/>
        <n v="4312"/>
        <n v="5938"/>
        <n v="2537"/>
        <n v="2547"/>
        <n v="9443"/>
        <n v="4250"/>
        <n v="3001"/>
        <n v="1509"/>
        <n v="8386"/>
        <n v="8794"/>
        <n v="7717"/>
        <n v="3436"/>
        <n v="5859"/>
        <n v="1719"/>
        <n v="8766"/>
        <n v="3937"/>
        <n v="3407"/>
        <n v="1140"/>
        <n v="8874"/>
        <n v="4334"/>
        <n v="6877"/>
        <n v="6203"/>
        <n v="7440"/>
        <n v="8010"/>
        <n v="4981"/>
        <n v="5362"/>
        <n v="599"/>
        <n v="9792"/>
        <n v="5807"/>
        <n v="3017"/>
        <n v="7240"/>
        <n v="721"/>
        <n v="7431"/>
        <n v="2988"/>
        <n v="5177"/>
        <n v="7303"/>
        <n v="5272"/>
        <n v="675"/>
        <n v="8379"/>
        <n v="899"/>
        <n v="4774"/>
        <n v="3647"/>
        <n v="1644"/>
        <n v="3381"/>
        <n v="7376"/>
        <n v="1441"/>
        <n v="1738"/>
        <n v="2770"/>
        <n v="5345"/>
        <n v="6240"/>
        <n v="1028"/>
        <n v="4035"/>
        <n v="2561"/>
        <n v="1195"/>
        <n v="557"/>
        <n v="1961"/>
        <n v="3131"/>
        <n v="7336"/>
        <n v="1721"/>
        <n v="8474"/>
        <n v="844"/>
        <n v="7558"/>
        <n v="6601"/>
        <n v="586"/>
        <n v="2993"/>
        <n v="1782"/>
        <n v="9431"/>
        <n v="2305"/>
        <n v="8338"/>
        <n v="3709"/>
        <n v="3733"/>
        <n v="2443"/>
        <n v="6670"/>
        <n v="5114"/>
        <n v="7447"/>
        <n v="7719"/>
        <n v="3844"/>
        <n v="4185"/>
        <n v="9225"/>
        <n v="9643"/>
        <n v="5623"/>
        <n v="6540"/>
        <n v="1029"/>
        <n v="8625"/>
        <n v="651"/>
        <n v="6422"/>
        <n v="560"/>
        <n v="9474"/>
        <n v="7680"/>
        <n v="3582"/>
        <n v="3263"/>
        <n v="7059"/>
        <n v="7247"/>
        <n v="9027"/>
        <n v="1244"/>
        <n v="6459"/>
        <n v="3270"/>
        <n v="2671"/>
        <n v="7468"/>
        <n v="8541"/>
        <n v="9297"/>
        <n v="1418"/>
        <n v="9717"/>
        <n v="1858"/>
        <n v="7298"/>
        <n v="9925"/>
        <n v="1844"/>
        <n v="8271"/>
        <n v="8053"/>
        <n v="5949"/>
        <n v="1822"/>
        <n v="729"/>
        <n v="4124"/>
        <n v="1458"/>
        <n v="1114"/>
        <n v="5984"/>
        <n v="3746"/>
        <n v="1926"/>
        <n v="6219"/>
        <n v="9502"/>
        <n v="7812"/>
        <n v="6355"/>
        <n v="6624"/>
        <n v="3401"/>
        <n v="5869"/>
        <n v="3217"/>
        <n v="8111"/>
        <n v="8921"/>
        <n v="9620"/>
        <n v="9409"/>
        <n v="3144"/>
        <n v="4624"/>
        <n v="8088"/>
        <n v="6699"/>
        <n v="7918"/>
        <n v="2080"/>
        <n v="9741"/>
        <n v="6125"/>
        <n v="5530"/>
        <n v="8613"/>
        <n v="5842"/>
        <n v="1955"/>
        <n v="834"/>
        <n v="695"/>
        <n v="2322"/>
        <n v="6667"/>
        <n v="4898"/>
        <n v="1739"/>
        <n v="1528"/>
        <n v="2828"/>
        <n v="2065"/>
        <n v="3752"/>
        <n v="4449"/>
        <n v="9624"/>
        <n v="2915"/>
        <n v="4434"/>
        <n v="8239"/>
        <n v="5725"/>
        <n v="8089"/>
        <n v="6127"/>
        <n v="6729"/>
        <n v="1173"/>
        <n v="8563"/>
        <n v="6850"/>
        <n v="2187"/>
        <n v="2492"/>
        <n v="7687"/>
        <n v="5176"/>
        <n v="1496"/>
        <n v="3443"/>
        <n v="8879"/>
        <n v="4973"/>
        <n v="6610"/>
        <n v="6347"/>
        <n v="8002"/>
        <n v="6123"/>
        <n v="9970"/>
        <n v="6050"/>
        <n v="7494"/>
        <n v="869"/>
        <n v="9034"/>
        <n v="1488"/>
        <n v="8332"/>
        <n v="6135"/>
        <n v="6569"/>
        <n v="985"/>
        <n v="3925"/>
        <n v="1081"/>
        <n v="5172"/>
        <n v="8359"/>
        <n v="659"/>
        <n v="9527"/>
        <n v="983"/>
        <n v="5883"/>
        <n v="1181"/>
        <n v="4817"/>
        <n v="4877"/>
        <n v="3892"/>
        <n v="5428"/>
        <n v="6052"/>
        <n v="8601"/>
        <n v="9621"/>
        <n v="6984"/>
        <n v="1012"/>
        <n v="9971"/>
        <n v="4864"/>
        <n v="8075"/>
        <n v="9012"/>
        <n v="4060"/>
        <n v="4120"/>
        <n v="2287"/>
        <n v="7987"/>
        <n v="9137"/>
        <n v="3364"/>
        <n v="5999"/>
        <n v="3334"/>
        <n v="9109"/>
        <n v="9103"/>
        <n v="2218"/>
        <n v="5102"/>
        <n v="6186"/>
        <n v="794"/>
        <n v="1951"/>
        <n v="9549"/>
        <n v="5343"/>
        <n v="6035"/>
        <n v="6654"/>
        <n v="918"/>
        <n v="7866"/>
        <n v="5200"/>
        <n v="7033"/>
        <n v="6370"/>
        <n v="3816"/>
        <n v="1258"/>
        <n v="8461"/>
        <n v="6182"/>
        <n v="7993"/>
        <n v="2151"/>
        <n v="3106"/>
        <n v="5222"/>
        <n v="966"/>
        <n v="4650"/>
        <n v="3358"/>
        <n v="7831"/>
        <n v="7586"/>
        <n v="7352"/>
        <n v="4418"/>
        <n v="3181"/>
        <n v="7582"/>
        <n v="5045"/>
        <n v="815"/>
        <n v="3309"/>
        <n v="4327"/>
        <n v="9849"/>
        <n v="739"/>
        <n v="9191"/>
        <n v="6154"/>
        <n v="4451"/>
        <n v="9181"/>
        <n v="7793"/>
        <n v="644"/>
        <n v="9269"/>
        <n v="4005"/>
        <n v="9343"/>
        <n v="6971"/>
        <n v="3573"/>
        <n v="6234"/>
        <n v="6702"/>
        <n v="745"/>
        <n v="5941"/>
        <n v="6282"/>
        <n v="6310"/>
        <n v="3976"/>
        <n v="8853"/>
        <n v="8227"/>
        <n v="1253"/>
        <n v="5401"/>
        <n v="4787"/>
        <n v="4837"/>
        <n v="1796"/>
        <n v="1943"/>
        <n v="4953"/>
        <n v="666"/>
        <n v="6553"/>
        <n v="1665"/>
        <n v="3509"/>
        <n v="6822"/>
        <n v="9260"/>
        <n v="9644"/>
        <n v="1574"/>
        <n v="4644"/>
        <n v="6615"/>
        <n v="8282"/>
        <n v="9906"/>
        <n v="8502"/>
        <n v="4959"/>
        <n v="8757"/>
        <n v="4247"/>
        <n v="7141"/>
        <n v="8604"/>
        <n v="2542"/>
        <n v="7820"/>
        <n v="5699"/>
        <n v="8753"/>
        <n v="7048"/>
        <n v="2607"/>
        <n v="2707"/>
        <n v="9242"/>
        <n v="8788"/>
        <n v="4058"/>
        <n v="8311"/>
        <n v="9834"/>
        <n v="2693"/>
        <n v="6815"/>
        <n v="9337"/>
        <n v="3655"/>
        <n v="3350"/>
        <n v="5293"/>
        <n v="5829"/>
        <n v="4836"/>
        <n v="7421"/>
        <n v="5825"/>
        <n v="8829"/>
        <n v="2570"/>
        <n v="3611"/>
        <n v="6678"/>
        <n v="5088"/>
        <n v="8400"/>
        <n v="2163"/>
        <n v="8970"/>
        <n v="2395"/>
        <n v="976"/>
        <n v="4192"/>
        <n v="4384"/>
        <n v="1385"/>
        <n v="2948"/>
        <n v="6952"/>
        <n v="8464"/>
        <n v="5812"/>
        <n v="3115"/>
        <n v="9251"/>
        <n v="4182"/>
        <n v="3058"/>
        <n v="9740"/>
        <n v="609"/>
        <n v="7315"/>
        <n v="2538"/>
        <n v="9737"/>
        <n v="8144"/>
        <n v="1827"/>
        <n v="8998"/>
        <n v="3240"/>
        <n v="2457"/>
        <n v="8822"/>
        <n v="7733"/>
        <n v="4522"/>
        <n v="7865"/>
        <n v="5443"/>
        <n v="1498"/>
        <n v="5054"/>
        <n v="8153"/>
        <n v="4167"/>
        <n v="9777"/>
        <n v="3559"/>
        <n v="634"/>
        <n v="3817"/>
        <n v="8325"/>
        <n v="4604"/>
        <n v="4254"/>
        <n v="7493"/>
        <n v="5631"/>
        <n v="9684"/>
        <n v="4400"/>
        <n v="9481"/>
        <n v="1350"/>
        <n v="4197"/>
        <n v="3964"/>
        <n v="3378"/>
        <n v="1804"/>
        <n v="9107"/>
        <n v="1213"/>
        <n v="7686"/>
        <n v="6167"/>
        <n v="5036"/>
        <n v="6454"/>
        <n v="3712"/>
        <n v="5391"/>
        <n v="9186"/>
        <n v="3488"/>
        <n v="2527"/>
        <n v="4107"/>
        <n v="5113"/>
        <n v="9241"/>
        <n v="1453"/>
        <n v="8848"/>
        <n v="9914"/>
        <n v="965"/>
        <n v="578"/>
        <n v="7226"/>
        <n v="5310"/>
        <n v="5273"/>
        <n v="2857"/>
        <n v="3899"/>
        <n v="4539"/>
        <n v="8826"/>
        <n v="7990"/>
        <n v="4235"/>
        <n v="8864"/>
        <n v="4946"/>
        <n v="4476"/>
        <n v="9999"/>
        <n v="2169"/>
        <n v="8823"/>
        <n v="7915"/>
        <n v="2992"/>
        <n v="6995"/>
        <n v="969"/>
        <n v="4854"/>
        <n v="9628"/>
        <n v="8721"/>
        <n v="1836"/>
        <n v="7428"/>
        <n v="4494"/>
        <n v="7813"/>
        <n v="6532"/>
        <n v="5451"/>
        <n v="5528"/>
        <n v="8618"/>
        <n v="5217"/>
        <n v="9015"/>
        <n v="9636"/>
        <n v="1777"/>
        <n v="9116"/>
        <n v="1432"/>
        <n v="4123"/>
        <n v="1753"/>
        <n v="5982"/>
        <n v="7075"/>
      </sharedItems>
    </cacheField>
    <cacheField name="Marital Status" numFmtId="0">
      <sharedItems count="2">
        <s v="Married"/>
        <s v="Single"/>
      </sharedItems>
    </cacheField>
    <cacheField name="No. of Children" numFmtId="0">
      <sharedItems containsSemiMixedTypes="0" containsString="0" containsNumber="1" containsInteger="1" minValue="0" maxValue="5" count="6">
        <n v="2"/>
        <n v="1"/>
        <n v="0"/>
        <n v="5"/>
        <n v="4"/>
        <n v="3"/>
      </sharedItems>
    </cacheField>
  </cacheFields>
  <extLst>
    <ext xmlns:x14="http://schemas.microsoft.com/office/spreadsheetml/2009/9/main" uri="{725AE2AE-9491-48be-B2B4-4EB974FC3084}">
      <x14:pivotCacheDefinition pivotCacheId="2112323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Robinson"/>
    <s v="Jacob Robinson"/>
    <x v="0"/>
    <n v="58"/>
    <x v="0"/>
    <x v="0"/>
    <x v="0"/>
    <x v="0"/>
    <x v="0"/>
  </r>
  <r>
    <x v="1"/>
    <s v="Taylor"/>
    <s v="Grace Taylor"/>
    <x v="1"/>
    <n v="36"/>
    <x v="1"/>
    <x v="1"/>
    <x v="1"/>
    <x v="0"/>
    <x v="1"/>
  </r>
  <r>
    <x v="2"/>
    <s v="Wilson"/>
    <s v="Charlie Wilson"/>
    <x v="0"/>
    <n v="58"/>
    <x v="0"/>
    <x v="2"/>
    <x v="2"/>
    <x v="1"/>
    <x v="2"/>
  </r>
  <r>
    <x v="3"/>
    <s v="Farrell"/>
    <s v="Vanessa Farrell"/>
    <x v="1"/>
    <n v="23"/>
    <x v="2"/>
    <x v="0"/>
    <x v="3"/>
    <x v="0"/>
    <x v="0"/>
  </r>
  <r>
    <x v="4"/>
    <s v="Harrison"/>
    <s v="Fenton Harrison"/>
    <x v="0"/>
    <n v="21"/>
    <x v="2"/>
    <x v="3"/>
    <x v="4"/>
    <x v="0"/>
    <x v="2"/>
  </r>
  <r>
    <x v="5"/>
    <s v="Brooks"/>
    <s v="Lucas Brooks"/>
    <x v="0"/>
    <n v="38"/>
    <x v="1"/>
    <x v="4"/>
    <x v="5"/>
    <x v="1"/>
    <x v="1"/>
  </r>
  <r>
    <x v="6"/>
    <s v="Spencer"/>
    <s v="Belinda Spencer"/>
    <x v="1"/>
    <n v="24"/>
    <x v="2"/>
    <x v="5"/>
    <x v="6"/>
    <x v="0"/>
    <x v="3"/>
  </r>
  <r>
    <x v="7"/>
    <s v="Farrell"/>
    <s v="Ashton Farrell"/>
    <x v="0"/>
    <n v="30"/>
    <x v="2"/>
    <x v="6"/>
    <x v="7"/>
    <x v="0"/>
    <x v="1"/>
  </r>
  <r>
    <x v="8"/>
    <s v="Williams"/>
    <s v="Kellan Williams"/>
    <x v="0"/>
    <n v="38"/>
    <x v="1"/>
    <x v="7"/>
    <x v="8"/>
    <x v="0"/>
    <x v="4"/>
  </r>
  <r>
    <x v="9"/>
    <s v="Davis"/>
    <s v="Tyler Davis"/>
    <x v="0"/>
    <n v="60"/>
    <x v="0"/>
    <x v="5"/>
    <x v="9"/>
    <x v="0"/>
    <x v="1"/>
  </r>
  <r>
    <x v="10"/>
    <s v="Russell"/>
    <s v="Alina Russell"/>
    <x v="1"/>
    <n v="51"/>
    <x v="0"/>
    <x v="8"/>
    <x v="10"/>
    <x v="1"/>
    <x v="2"/>
  </r>
  <r>
    <x v="11"/>
    <s v="Wright"/>
    <s v="Tiana Wright"/>
    <x v="1"/>
    <n v="59"/>
    <x v="0"/>
    <x v="9"/>
    <x v="11"/>
    <x v="1"/>
    <x v="4"/>
  </r>
  <r>
    <x v="12"/>
    <s v="Rogers"/>
    <s v="Kimberly Rogers"/>
    <x v="1"/>
    <n v="54"/>
    <x v="0"/>
    <x v="10"/>
    <x v="12"/>
    <x v="1"/>
    <x v="0"/>
  </r>
  <r>
    <x v="13"/>
    <s v="Craig"/>
    <s v="Amelia Craig"/>
    <x v="1"/>
    <n v="55"/>
    <x v="0"/>
    <x v="11"/>
    <x v="13"/>
    <x v="1"/>
    <x v="0"/>
  </r>
  <r>
    <x v="14"/>
    <s v="Martin"/>
    <s v="Connie Martin"/>
    <x v="1"/>
    <n v="56"/>
    <x v="0"/>
    <x v="12"/>
    <x v="14"/>
    <x v="1"/>
    <x v="1"/>
  </r>
  <r>
    <x v="15"/>
    <s v="Thomas"/>
    <s v="Edgar Thomas"/>
    <x v="0"/>
    <n v="42"/>
    <x v="1"/>
    <x v="13"/>
    <x v="15"/>
    <x v="0"/>
    <x v="5"/>
  </r>
  <r>
    <x v="16"/>
    <s v="Johnson"/>
    <s v="Steven Johnson"/>
    <x v="0"/>
    <n v="48"/>
    <x v="1"/>
    <x v="4"/>
    <x v="16"/>
    <x v="1"/>
    <x v="3"/>
  </r>
  <r>
    <x v="2"/>
    <s v="Hall"/>
    <s v="Charlie Hall"/>
    <x v="0"/>
    <n v="47"/>
    <x v="1"/>
    <x v="14"/>
    <x v="17"/>
    <x v="1"/>
    <x v="4"/>
  </r>
  <r>
    <x v="17"/>
    <s v="Richards"/>
    <s v="Richard Richards"/>
    <x v="0"/>
    <n v="56"/>
    <x v="0"/>
    <x v="8"/>
    <x v="18"/>
    <x v="1"/>
    <x v="0"/>
  </r>
  <r>
    <x v="18"/>
    <s v="Allen"/>
    <s v="Alan Allen"/>
    <x v="0"/>
    <n v="57"/>
    <x v="0"/>
    <x v="15"/>
    <x v="19"/>
    <x v="1"/>
    <x v="0"/>
  </r>
  <r>
    <x v="19"/>
    <s v="Owens"/>
    <s v="Nicholas Owens"/>
    <x v="0"/>
    <n v="47"/>
    <x v="1"/>
    <x v="16"/>
    <x v="20"/>
    <x v="0"/>
    <x v="5"/>
  </r>
  <r>
    <x v="11"/>
    <s v="Farrell"/>
    <s v="Tiana Farrell"/>
    <x v="1"/>
    <n v="43"/>
    <x v="1"/>
    <x v="17"/>
    <x v="21"/>
    <x v="1"/>
    <x v="2"/>
  </r>
  <r>
    <x v="20"/>
    <s v="Carter"/>
    <s v="Sawyer Carter"/>
    <x v="0"/>
    <n v="26"/>
    <x v="2"/>
    <x v="18"/>
    <x v="22"/>
    <x v="0"/>
    <x v="4"/>
  </r>
  <r>
    <x v="21"/>
    <s v="Parker"/>
    <s v="Lyndon Parker"/>
    <x v="0"/>
    <n v="45"/>
    <x v="1"/>
    <x v="17"/>
    <x v="23"/>
    <x v="0"/>
    <x v="1"/>
  </r>
  <r>
    <x v="22"/>
    <s v="Barnes"/>
    <s v="Sofia Barnes"/>
    <x v="1"/>
    <n v="58"/>
    <x v="0"/>
    <x v="6"/>
    <x v="24"/>
    <x v="0"/>
    <x v="3"/>
  </r>
  <r>
    <x v="23"/>
    <s v="Allen"/>
    <s v="Walter Allen"/>
    <x v="0"/>
    <n v="24"/>
    <x v="2"/>
    <x v="7"/>
    <x v="25"/>
    <x v="0"/>
    <x v="3"/>
  </r>
  <r>
    <x v="12"/>
    <s v="Payne"/>
    <s v="Kimberly Payne"/>
    <x v="1"/>
    <n v="31"/>
    <x v="1"/>
    <x v="13"/>
    <x v="26"/>
    <x v="0"/>
    <x v="5"/>
  </r>
  <r>
    <x v="24"/>
    <s v="Chapman"/>
    <s v="Emily Chapman"/>
    <x v="1"/>
    <n v="46"/>
    <x v="1"/>
    <x v="0"/>
    <x v="27"/>
    <x v="1"/>
    <x v="2"/>
  </r>
  <r>
    <x v="25"/>
    <s v="Anderson"/>
    <s v="Lucy Anderson"/>
    <x v="1"/>
    <n v="58"/>
    <x v="0"/>
    <x v="19"/>
    <x v="28"/>
    <x v="1"/>
    <x v="2"/>
  </r>
  <r>
    <x v="26"/>
    <s v="Stewart"/>
    <s v="Edward Stewart"/>
    <x v="0"/>
    <n v="37"/>
    <x v="1"/>
    <x v="20"/>
    <x v="29"/>
    <x v="0"/>
    <x v="1"/>
  </r>
  <r>
    <x v="27"/>
    <s v="Johnson"/>
    <s v="Frederick Johnson"/>
    <x v="0"/>
    <n v="49"/>
    <x v="1"/>
    <x v="17"/>
    <x v="30"/>
    <x v="0"/>
    <x v="0"/>
  </r>
  <r>
    <x v="25"/>
    <s v="Davis"/>
    <s v="Lucy Davis"/>
    <x v="1"/>
    <n v="59"/>
    <x v="0"/>
    <x v="2"/>
    <x v="31"/>
    <x v="0"/>
    <x v="5"/>
  </r>
  <r>
    <x v="28"/>
    <s v="Ellis"/>
    <s v="Jenna Ellis"/>
    <x v="1"/>
    <n v="51"/>
    <x v="0"/>
    <x v="21"/>
    <x v="32"/>
    <x v="1"/>
    <x v="1"/>
  </r>
  <r>
    <x v="29"/>
    <s v="Nelson"/>
    <s v="Adam Nelson"/>
    <x v="0"/>
    <n v="47"/>
    <x v="1"/>
    <x v="22"/>
    <x v="33"/>
    <x v="0"/>
    <x v="4"/>
  </r>
  <r>
    <x v="30"/>
    <s v="Smith"/>
    <s v="Anna Smith"/>
    <x v="1"/>
    <n v="56"/>
    <x v="0"/>
    <x v="16"/>
    <x v="34"/>
    <x v="1"/>
    <x v="0"/>
  </r>
  <r>
    <x v="27"/>
    <s v="Kelly"/>
    <s v="Frederick Kelly"/>
    <x v="0"/>
    <n v="21"/>
    <x v="2"/>
    <x v="23"/>
    <x v="35"/>
    <x v="1"/>
    <x v="1"/>
  </r>
  <r>
    <x v="31"/>
    <s v="Brown"/>
    <s v="Tara Brown"/>
    <x v="1"/>
    <n v="19"/>
    <x v="2"/>
    <x v="24"/>
    <x v="36"/>
    <x v="0"/>
    <x v="4"/>
  </r>
  <r>
    <x v="32"/>
    <s v="Martin"/>
    <s v="Dominik Martin"/>
    <x v="0"/>
    <n v="58"/>
    <x v="0"/>
    <x v="25"/>
    <x v="37"/>
    <x v="0"/>
    <x v="5"/>
  </r>
  <r>
    <x v="31"/>
    <s v="Cameron"/>
    <s v="Tara Cameron"/>
    <x v="1"/>
    <n v="24"/>
    <x v="2"/>
    <x v="26"/>
    <x v="38"/>
    <x v="1"/>
    <x v="4"/>
  </r>
  <r>
    <x v="33"/>
    <s v="Campbell"/>
    <s v="Roman Campbell"/>
    <x v="0"/>
    <n v="23"/>
    <x v="2"/>
    <x v="2"/>
    <x v="39"/>
    <x v="1"/>
    <x v="0"/>
  </r>
  <r>
    <x v="34"/>
    <s v="Andrews"/>
    <s v="Eddy Andrews"/>
    <x v="0"/>
    <n v="53"/>
    <x v="0"/>
    <x v="8"/>
    <x v="40"/>
    <x v="1"/>
    <x v="2"/>
  </r>
  <r>
    <x v="35"/>
    <s v="Perry"/>
    <s v="Valeria Perry"/>
    <x v="1"/>
    <n v="46"/>
    <x v="1"/>
    <x v="18"/>
    <x v="41"/>
    <x v="0"/>
    <x v="3"/>
  </r>
  <r>
    <x v="36"/>
    <s v="Farrell"/>
    <s v="Wilson Farrell"/>
    <x v="0"/>
    <n v="49"/>
    <x v="1"/>
    <x v="1"/>
    <x v="42"/>
    <x v="0"/>
    <x v="2"/>
  </r>
  <r>
    <x v="37"/>
    <s v="Farrell"/>
    <s v="Emma Farrell"/>
    <x v="1"/>
    <n v="33"/>
    <x v="1"/>
    <x v="21"/>
    <x v="43"/>
    <x v="0"/>
    <x v="0"/>
  </r>
  <r>
    <x v="4"/>
    <s v="Kelly"/>
    <s v="Fenton Kelly"/>
    <x v="0"/>
    <n v="46"/>
    <x v="1"/>
    <x v="3"/>
    <x v="44"/>
    <x v="0"/>
    <x v="4"/>
  </r>
  <r>
    <x v="6"/>
    <s v="Dixon"/>
    <s v="Belinda Dixon"/>
    <x v="1"/>
    <n v="33"/>
    <x v="1"/>
    <x v="27"/>
    <x v="45"/>
    <x v="0"/>
    <x v="4"/>
  </r>
  <r>
    <x v="38"/>
    <s v="Cooper"/>
    <s v="Alexia Cooper"/>
    <x v="1"/>
    <n v="29"/>
    <x v="2"/>
    <x v="4"/>
    <x v="46"/>
    <x v="0"/>
    <x v="2"/>
  </r>
  <r>
    <x v="39"/>
    <s v="Ryan"/>
    <s v="Myra Ryan"/>
    <x v="1"/>
    <n v="19"/>
    <x v="2"/>
    <x v="3"/>
    <x v="47"/>
    <x v="1"/>
    <x v="2"/>
  </r>
  <r>
    <x v="40"/>
    <s v="Stevens"/>
    <s v="Henry Stevens"/>
    <x v="0"/>
    <n v="53"/>
    <x v="0"/>
    <x v="28"/>
    <x v="48"/>
    <x v="1"/>
    <x v="1"/>
  </r>
  <r>
    <x v="41"/>
    <s v="Turner"/>
    <s v="Honey Turner"/>
    <x v="1"/>
    <n v="60"/>
    <x v="0"/>
    <x v="22"/>
    <x v="49"/>
    <x v="1"/>
    <x v="3"/>
  </r>
  <r>
    <x v="31"/>
    <s v="Brooks"/>
    <s v="Tara Brooks"/>
    <x v="1"/>
    <n v="19"/>
    <x v="2"/>
    <x v="29"/>
    <x v="50"/>
    <x v="0"/>
    <x v="0"/>
  </r>
  <r>
    <x v="42"/>
    <s v="Cunningham"/>
    <s v="Jordan Cunningham"/>
    <x v="0"/>
    <n v="57"/>
    <x v="0"/>
    <x v="30"/>
    <x v="51"/>
    <x v="1"/>
    <x v="1"/>
  </r>
  <r>
    <x v="43"/>
    <s v="Stevens"/>
    <s v="Mary Stevens"/>
    <x v="1"/>
    <n v="20"/>
    <x v="2"/>
    <x v="31"/>
    <x v="52"/>
    <x v="0"/>
    <x v="4"/>
  </r>
  <r>
    <x v="44"/>
    <s v="Tucker"/>
    <s v="Arnold Tucker"/>
    <x v="0"/>
    <n v="60"/>
    <x v="0"/>
    <x v="26"/>
    <x v="53"/>
    <x v="1"/>
    <x v="1"/>
  </r>
  <r>
    <x v="45"/>
    <s v="Riley"/>
    <s v="Jack Riley"/>
    <x v="0"/>
    <n v="59"/>
    <x v="0"/>
    <x v="13"/>
    <x v="54"/>
    <x v="1"/>
    <x v="0"/>
  </r>
  <r>
    <x v="46"/>
    <s v="Kelley"/>
    <s v="Brad Kelley"/>
    <x v="0"/>
    <n v="42"/>
    <x v="1"/>
    <x v="32"/>
    <x v="55"/>
    <x v="0"/>
    <x v="1"/>
  </r>
  <r>
    <x v="47"/>
    <s v="Carter"/>
    <s v="Jared Carter"/>
    <x v="0"/>
    <n v="34"/>
    <x v="1"/>
    <x v="31"/>
    <x v="56"/>
    <x v="0"/>
    <x v="0"/>
  </r>
  <r>
    <x v="22"/>
    <s v="Johnston"/>
    <s v="Sofia Johnston"/>
    <x v="1"/>
    <n v="59"/>
    <x v="0"/>
    <x v="33"/>
    <x v="57"/>
    <x v="1"/>
    <x v="1"/>
  </r>
  <r>
    <x v="48"/>
    <s v="Stevens"/>
    <s v="Sarah Stevens"/>
    <x v="1"/>
    <n v="43"/>
    <x v="1"/>
    <x v="25"/>
    <x v="58"/>
    <x v="1"/>
    <x v="4"/>
  </r>
  <r>
    <x v="49"/>
    <s v="Andrews"/>
    <s v="Maria Andrews"/>
    <x v="1"/>
    <n v="36"/>
    <x v="1"/>
    <x v="8"/>
    <x v="59"/>
    <x v="0"/>
    <x v="5"/>
  </r>
  <r>
    <x v="50"/>
    <s v="Kelley"/>
    <s v="April Kelley"/>
    <x v="1"/>
    <n v="58"/>
    <x v="0"/>
    <x v="34"/>
    <x v="60"/>
    <x v="0"/>
    <x v="5"/>
  </r>
  <r>
    <x v="51"/>
    <s v="Davis"/>
    <s v="Bruce Davis"/>
    <x v="0"/>
    <n v="55"/>
    <x v="0"/>
    <x v="35"/>
    <x v="61"/>
    <x v="1"/>
    <x v="4"/>
  </r>
  <r>
    <x v="1"/>
    <s v="Hall"/>
    <s v="Grace Hall"/>
    <x v="1"/>
    <n v="58"/>
    <x v="0"/>
    <x v="36"/>
    <x v="62"/>
    <x v="0"/>
    <x v="4"/>
  </r>
  <r>
    <x v="52"/>
    <s v="Ferguson"/>
    <s v="Alexander Ferguson"/>
    <x v="0"/>
    <n v="26"/>
    <x v="2"/>
    <x v="4"/>
    <x v="63"/>
    <x v="1"/>
    <x v="2"/>
  </r>
  <r>
    <x v="53"/>
    <s v="Morgan"/>
    <s v="Nicole Morgan"/>
    <x v="1"/>
    <n v="35"/>
    <x v="1"/>
    <x v="2"/>
    <x v="64"/>
    <x v="0"/>
    <x v="2"/>
  </r>
  <r>
    <x v="54"/>
    <s v="Tucker"/>
    <s v="Dale Tucker"/>
    <x v="0"/>
    <n v="53"/>
    <x v="0"/>
    <x v="28"/>
    <x v="65"/>
    <x v="1"/>
    <x v="2"/>
  </r>
  <r>
    <x v="8"/>
    <s v="Campbell"/>
    <s v="Kellan Campbell"/>
    <x v="0"/>
    <n v="21"/>
    <x v="2"/>
    <x v="7"/>
    <x v="66"/>
    <x v="1"/>
    <x v="3"/>
  </r>
  <r>
    <x v="55"/>
    <s v="Robinson"/>
    <s v="Kate Robinson"/>
    <x v="1"/>
    <n v="29"/>
    <x v="2"/>
    <x v="37"/>
    <x v="67"/>
    <x v="1"/>
    <x v="1"/>
  </r>
  <r>
    <x v="56"/>
    <s v="Perry"/>
    <s v="Isabella Perry"/>
    <x v="1"/>
    <n v="48"/>
    <x v="1"/>
    <x v="2"/>
    <x v="68"/>
    <x v="0"/>
    <x v="3"/>
  </r>
  <r>
    <x v="57"/>
    <s v="Evans"/>
    <s v="Kevin Evans"/>
    <x v="0"/>
    <n v="47"/>
    <x v="1"/>
    <x v="38"/>
    <x v="69"/>
    <x v="1"/>
    <x v="2"/>
  </r>
  <r>
    <x v="58"/>
    <s v="Ryan"/>
    <s v="Maximilian Ryan"/>
    <x v="0"/>
    <n v="24"/>
    <x v="2"/>
    <x v="36"/>
    <x v="70"/>
    <x v="1"/>
    <x v="0"/>
  </r>
  <r>
    <x v="18"/>
    <s v="Cole"/>
    <s v="Alan Cole"/>
    <x v="0"/>
    <n v="33"/>
    <x v="1"/>
    <x v="33"/>
    <x v="71"/>
    <x v="1"/>
    <x v="0"/>
  </r>
  <r>
    <x v="59"/>
    <s v="Perkins"/>
    <s v="Eric Perkins"/>
    <x v="0"/>
    <n v="40"/>
    <x v="1"/>
    <x v="39"/>
    <x v="72"/>
    <x v="0"/>
    <x v="4"/>
  </r>
  <r>
    <x v="34"/>
    <s v="Richards"/>
    <s v="Eddy Richards"/>
    <x v="0"/>
    <n v="29"/>
    <x v="2"/>
    <x v="40"/>
    <x v="44"/>
    <x v="1"/>
    <x v="4"/>
  </r>
  <r>
    <x v="60"/>
    <s v="Clark"/>
    <s v="Samantha Clark"/>
    <x v="1"/>
    <n v="48"/>
    <x v="1"/>
    <x v="41"/>
    <x v="73"/>
    <x v="0"/>
    <x v="2"/>
  </r>
  <r>
    <x v="61"/>
    <s v="Baker"/>
    <s v="Sienna Baker"/>
    <x v="1"/>
    <n v="22"/>
    <x v="2"/>
    <x v="42"/>
    <x v="74"/>
    <x v="1"/>
    <x v="1"/>
  </r>
  <r>
    <x v="62"/>
    <s v="Douglas"/>
    <s v="Miranda Douglas"/>
    <x v="1"/>
    <n v="29"/>
    <x v="2"/>
    <x v="37"/>
    <x v="75"/>
    <x v="0"/>
    <x v="5"/>
  </r>
  <r>
    <x v="63"/>
    <s v="Perry"/>
    <s v="Heather Perry"/>
    <x v="1"/>
    <n v="41"/>
    <x v="1"/>
    <x v="41"/>
    <x v="76"/>
    <x v="1"/>
    <x v="3"/>
  </r>
  <r>
    <x v="64"/>
    <s v="Kelley"/>
    <s v="Tony Kelley"/>
    <x v="0"/>
    <n v="46"/>
    <x v="1"/>
    <x v="18"/>
    <x v="77"/>
    <x v="0"/>
    <x v="0"/>
  </r>
  <r>
    <x v="3"/>
    <s v="Thomas"/>
    <s v="Vanessa Thomas"/>
    <x v="1"/>
    <n v="52"/>
    <x v="0"/>
    <x v="17"/>
    <x v="78"/>
    <x v="1"/>
    <x v="3"/>
  </r>
  <r>
    <x v="65"/>
    <s v="Ross"/>
    <s v="Haris Ross"/>
    <x v="0"/>
    <n v="23"/>
    <x v="2"/>
    <x v="34"/>
    <x v="79"/>
    <x v="1"/>
    <x v="5"/>
  </r>
  <r>
    <x v="60"/>
    <s v="Farrell"/>
    <s v="Samantha Farrell"/>
    <x v="1"/>
    <n v="42"/>
    <x v="1"/>
    <x v="30"/>
    <x v="80"/>
    <x v="1"/>
    <x v="5"/>
  </r>
  <r>
    <x v="43"/>
    <s v="Kelly"/>
    <s v="Mary Kelly"/>
    <x v="1"/>
    <n v="31"/>
    <x v="1"/>
    <x v="43"/>
    <x v="81"/>
    <x v="1"/>
    <x v="3"/>
  </r>
  <r>
    <x v="48"/>
    <s v="Higgins"/>
    <s v="Sarah Higgins"/>
    <x v="1"/>
    <n v="45"/>
    <x v="1"/>
    <x v="23"/>
    <x v="82"/>
    <x v="0"/>
    <x v="5"/>
  </r>
  <r>
    <x v="0"/>
    <s v="Harper"/>
    <s v="Jacob Harper"/>
    <x v="0"/>
    <n v="21"/>
    <x v="2"/>
    <x v="30"/>
    <x v="83"/>
    <x v="1"/>
    <x v="1"/>
  </r>
  <r>
    <x v="6"/>
    <s v="Higgins"/>
    <s v="Belinda Higgins"/>
    <x v="1"/>
    <n v="49"/>
    <x v="1"/>
    <x v="26"/>
    <x v="84"/>
    <x v="1"/>
    <x v="2"/>
  </r>
  <r>
    <x v="66"/>
    <s v="Cunningham"/>
    <s v="Alen Cunningham"/>
    <x v="0"/>
    <n v="35"/>
    <x v="1"/>
    <x v="44"/>
    <x v="85"/>
    <x v="0"/>
    <x v="1"/>
  </r>
  <r>
    <x v="67"/>
    <s v="Higgins"/>
    <s v="Michael Higgins"/>
    <x v="0"/>
    <n v="51"/>
    <x v="0"/>
    <x v="35"/>
    <x v="86"/>
    <x v="0"/>
    <x v="3"/>
  </r>
  <r>
    <x v="49"/>
    <s v="Cole"/>
    <s v="Maria Cole"/>
    <x v="1"/>
    <n v="57"/>
    <x v="0"/>
    <x v="29"/>
    <x v="87"/>
    <x v="0"/>
    <x v="2"/>
  </r>
  <r>
    <x v="31"/>
    <s v="Campbell"/>
    <s v="Tara Campbell"/>
    <x v="1"/>
    <n v="19"/>
    <x v="2"/>
    <x v="39"/>
    <x v="88"/>
    <x v="0"/>
    <x v="4"/>
  </r>
  <r>
    <x v="35"/>
    <s v="Richardson"/>
    <s v="Valeria Richardson"/>
    <x v="1"/>
    <n v="42"/>
    <x v="1"/>
    <x v="30"/>
    <x v="89"/>
    <x v="0"/>
    <x v="2"/>
  </r>
  <r>
    <x v="68"/>
    <s v="Phillips"/>
    <s v="Robert Phillips"/>
    <x v="0"/>
    <n v="25"/>
    <x v="2"/>
    <x v="45"/>
    <x v="90"/>
    <x v="1"/>
    <x v="5"/>
  </r>
  <r>
    <x v="69"/>
    <s v="Mitchell"/>
    <s v="Camila Mitchell"/>
    <x v="1"/>
    <n v="32"/>
    <x v="1"/>
    <x v="46"/>
    <x v="91"/>
    <x v="1"/>
    <x v="3"/>
  </r>
  <r>
    <x v="70"/>
    <s v="Smith"/>
    <s v="Owen Smith"/>
    <x v="0"/>
    <n v="60"/>
    <x v="0"/>
    <x v="27"/>
    <x v="92"/>
    <x v="1"/>
    <x v="2"/>
  </r>
  <r>
    <x v="71"/>
    <s v="Reed"/>
    <s v="Andrew Reed"/>
    <x v="0"/>
    <n v="57"/>
    <x v="0"/>
    <x v="20"/>
    <x v="93"/>
    <x v="0"/>
    <x v="3"/>
  </r>
  <r>
    <x v="72"/>
    <s v="Hawkins"/>
    <s v="Vincent Hawkins"/>
    <x v="0"/>
    <n v="45"/>
    <x v="1"/>
    <x v="43"/>
    <x v="94"/>
    <x v="0"/>
    <x v="3"/>
  </r>
  <r>
    <x v="27"/>
    <s v="Douglas"/>
    <s v="Frederick Douglas"/>
    <x v="0"/>
    <n v="26"/>
    <x v="2"/>
    <x v="47"/>
    <x v="95"/>
    <x v="1"/>
    <x v="1"/>
  </r>
  <r>
    <x v="7"/>
    <s v="Nelson"/>
    <s v="Ashton Nelson"/>
    <x v="0"/>
    <n v="40"/>
    <x v="1"/>
    <x v="22"/>
    <x v="96"/>
    <x v="1"/>
    <x v="2"/>
  </r>
  <r>
    <x v="73"/>
    <s v="Harrison"/>
    <s v="Julia Harrison"/>
    <x v="1"/>
    <n v="26"/>
    <x v="2"/>
    <x v="45"/>
    <x v="97"/>
    <x v="1"/>
    <x v="3"/>
  </r>
  <r>
    <x v="45"/>
    <s v="Scott"/>
    <s v="Jack Scott"/>
    <x v="0"/>
    <n v="20"/>
    <x v="2"/>
    <x v="47"/>
    <x v="98"/>
    <x v="1"/>
    <x v="5"/>
  </r>
  <r>
    <x v="74"/>
    <s v="Campbell"/>
    <s v="Florrie Campbell"/>
    <x v="1"/>
    <n v="45"/>
    <x v="1"/>
    <x v="42"/>
    <x v="99"/>
    <x v="1"/>
    <x v="4"/>
  </r>
  <r>
    <x v="75"/>
    <s v="Ferguson"/>
    <s v="Stella Ferguson"/>
    <x v="1"/>
    <n v="44"/>
    <x v="1"/>
    <x v="48"/>
    <x v="100"/>
    <x v="0"/>
    <x v="3"/>
  </r>
  <r>
    <x v="76"/>
    <s v="Owens"/>
    <s v="Freddie Owens"/>
    <x v="0"/>
    <n v="38"/>
    <x v="1"/>
    <x v="49"/>
    <x v="101"/>
    <x v="1"/>
    <x v="4"/>
  </r>
  <r>
    <x v="61"/>
    <s v="Foster"/>
    <s v="Sienna Foster"/>
    <x v="1"/>
    <n v="58"/>
    <x v="0"/>
    <x v="42"/>
    <x v="102"/>
    <x v="0"/>
    <x v="2"/>
  </r>
  <r>
    <x v="77"/>
    <s v="Brown"/>
    <s v="Amanda Brown"/>
    <x v="1"/>
    <n v="53"/>
    <x v="0"/>
    <x v="41"/>
    <x v="103"/>
    <x v="0"/>
    <x v="4"/>
  </r>
  <r>
    <x v="78"/>
    <s v="Cole"/>
    <s v="Stuart Cole"/>
    <x v="0"/>
    <n v="23"/>
    <x v="2"/>
    <x v="44"/>
    <x v="104"/>
    <x v="1"/>
    <x v="5"/>
  </r>
  <r>
    <x v="79"/>
    <s v="Holmes"/>
    <s v="Victor Holmes"/>
    <x v="0"/>
    <n v="45"/>
    <x v="1"/>
    <x v="50"/>
    <x v="105"/>
    <x v="0"/>
    <x v="1"/>
  </r>
  <r>
    <x v="80"/>
    <s v="Murray"/>
    <s v="Arthur Murray"/>
    <x v="0"/>
    <n v="42"/>
    <x v="1"/>
    <x v="0"/>
    <x v="106"/>
    <x v="0"/>
    <x v="2"/>
  </r>
  <r>
    <x v="81"/>
    <s v="Howard"/>
    <s v="Elian Howard"/>
    <x v="0"/>
    <n v="24"/>
    <x v="2"/>
    <x v="12"/>
    <x v="107"/>
    <x v="1"/>
    <x v="1"/>
  </r>
  <r>
    <x v="82"/>
    <s v="Perry"/>
    <s v="Chloe Perry"/>
    <x v="1"/>
    <n v="26"/>
    <x v="2"/>
    <x v="25"/>
    <x v="108"/>
    <x v="0"/>
    <x v="2"/>
  </r>
  <r>
    <x v="83"/>
    <s v="Allen"/>
    <s v="Daryl Allen"/>
    <x v="0"/>
    <n v="29"/>
    <x v="2"/>
    <x v="24"/>
    <x v="109"/>
    <x v="1"/>
    <x v="1"/>
  </r>
  <r>
    <x v="84"/>
    <s v="Cooper"/>
    <s v="Hailey Cooper"/>
    <x v="1"/>
    <n v="54"/>
    <x v="0"/>
    <x v="1"/>
    <x v="110"/>
    <x v="0"/>
    <x v="1"/>
  </r>
  <r>
    <x v="85"/>
    <s v="Moore"/>
    <s v="Rosie Moore"/>
    <x v="1"/>
    <n v="60"/>
    <x v="0"/>
    <x v="21"/>
    <x v="111"/>
    <x v="1"/>
    <x v="0"/>
  </r>
  <r>
    <x v="86"/>
    <s v="Hall"/>
    <s v="Garry Hall"/>
    <x v="0"/>
    <n v="41"/>
    <x v="1"/>
    <x v="35"/>
    <x v="112"/>
    <x v="0"/>
    <x v="0"/>
  </r>
  <r>
    <x v="59"/>
    <s v="Harper"/>
    <s v="Eric Harper"/>
    <x v="0"/>
    <n v="46"/>
    <x v="1"/>
    <x v="42"/>
    <x v="113"/>
    <x v="0"/>
    <x v="3"/>
  </r>
  <r>
    <x v="15"/>
    <s v="Holmes"/>
    <s v="Edgar Holmes"/>
    <x v="0"/>
    <n v="25"/>
    <x v="2"/>
    <x v="7"/>
    <x v="114"/>
    <x v="0"/>
    <x v="0"/>
  </r>
  <r>
    <x v="87"/>
    <s v="Sullivan"/>
    <s v="Catherine Sullivan"/>
    <x v="1"/>
    <n v="26"/>
    <x v="2"/>
    <x v="24"/>
    <x v="115"/>
    <x v="1"/>
    <x v="5"/>
  </r>
  <r>
    <x v="80"/>
    <s v="Murphy"/>
    <s v="Arthur Murphy"/>
    <x v="0"/>
    <n v="20"/>
    <x v="2"/>
    <x v="15"/>
    <x v="116"/>
    <x v="0"/>
    <x v="3"/>
  </r>
  <r>
    <x v="88"/>
    <s v="Cameron"/>
    <s v="Oliver Cameron"/>
    <x v="0"/>
    <n v="35"/>
    <x v="1"/>
    <x v="15"/>
    <x v="117"/>
    <x v="0"/>
    <x v="0"/>
  </r>
  <r>
    <x v="89"/>
    <s v="Ferguson"/>
    <s v="Alissa Ferguson"/>
    <x v="1"/>
    <n v="44"/>
    <x v="1"/>
    <x v="39"/>
    <x v="118"/>
    <x v="1"/>
    <x v="2"/>
  </r>
  <r>
    <x v="47"/>
    <s v="Foster"/>
    <s v="Jared Foster"/>
    <x v="0"/>
    <n v="48"/>
    <x v="1"/>
    <x v="18"/>
    <x v="119"/>
    <x v="1"/>
    <x v="0"/>
  </r>
  <r>
    <x v="90"/>
    <s v="Walker"/>
    <s v="Spike Walker"/>
    <x v="0"/>
    <n v="52"/>
    <x v="0"/>
    <x v="28"/>
    <x v="120"/>
    <x v="1"/>
    <x v="1"/>
  </r>
  <r>
    <x v="91"/>
    <s v="Hamilton"/>
    <s v="Maddie Hamilton"/>
    <x v="1"/>
    <n v="34"/>
    <x v="1"/>
    <x v="8"/>
    <x v="121"/>
    <x v="1"/>
    <x v="3"/>
  </r>
  <r>
    <x v="92"/>
    <s v="Adams"/>
    <s v="Agata Adams"/>
    <x v="1"/>
    <n v="27"/>
    <x v="2"/>
    <x v="31"/>
    <x v="122"/>
    <x v="1"/>
    <x v="2"/>
  </r>
  <r>
    <x v="93"/>
    <s v="Phillips"/>
    <s v="Harold Phillips"/>
    <x v="0"/>
    <n v="60"/>
    <x v="0"/>
    <x v="47"/>
    <x v="123"/>
    <x v="1"/>
    <x v="4"/>
  </r>
  <r>
    <x v="13"/>
    <s v="Thomas"/>
    <s v="Amelia Thomas"/>
    <x v="1"/>
    <n v="43"/>
    <x v="1"/>
    <x v="29"/>
    <x v="124"/>
    <x v="0"/>
    <x v="4"/>
  </r>
  <r>
    <x v="11"/>
    <s v="Howard"/>
    <s v="Tiana Howard"/>
    <x v="1"/>
    <n v="39"/>
    <x v="1"/>
    <x v="50"/>
    <x v="125"/>
    <x v="1"/>
    <x v="4"/>
  </r>
  <r>
    <x v="94"/>
    <s v="Nelson"/>
    <s v="Aiden Nelson"/>
    <x v="0"/>
    <n v="39"/>
    <x v="1"/>
    <x v="48"/>
    <x v="71"/>
    <x v="1"/>
    <x v="2"/>
  </r>
  <r>
    <x v="95"/>
    <s v="Anderson"/>
    <s v="Marcus Anderson"/>
    <x v="0"/>
    <n v="33"/>
    <x v="1"/>
    <x v="10"/>
    <x v="126"/>
    <x v="1"/>
    <x v="2"/>
  </r>
  <r>
    <x v="96"/>
    <s v="Crawford"/>
    <s v="Brooke Crawford"/>
    <x v="1"/>
    <n v="50"/>
    <x v="1"/>
    <x v="15"/>
    <x v="127"/>
    <x v="1"/>
    <x v="2"/>
  </r>
  <r>
    <x v="62"/>
    <s v="Tucker"/>
    <s v="Miranda Tucker"/>
    <x v="1"/>
    <n v="52"/>
    <x v="0"/>
    <x v="23"/>
    <x v="128"/>
    <x v="0"/>
    <x v="5"/>
  </r>
  <r>
    <x v="97"/>
    <s v="Williams"/>
    <s v="Carina Williams"/>
    <x v="1"/>
    <n v="21"/>
    <x v="2"/>
    <x v="2"/>
    <x v="129"/>
    <x v="0"/>
    <x v="4"/>
  </r>
  <r>
    <x v="98"/>
    <s v="Hall"/>
    <s v="Arianna Hall"/>
    <x v="1"/>
    <n v="53"/>
    <x v="0"/>
    <x v="42"/>
    <x v="130"/>
    <x v="0"/>
    <x v="2"/>
  </r>
  <r>
    <x v="99"/>
    <s v="Watson"/>
    <s v="Ryan Watson"/>
    <x v="0"/>
    <n v="21"/>
    <x v="2"/>
    <x v="25"/>
    <x v="131"/>
    <x v="0"/>
    <x v="5"/>
  </r>
  <r>
    <x v="100"/>
    <s v="Bailey"/>
    <s v="David Bailey"/>
    <x v="0"/>
    <n v="56"/>
    <x v="0"/>
    <x v="31"/>
    <x v="132"/>
    <x v="0"/>
    <x v="4"/>
  </r>
  <r>
    <x v="56"/>
    <s v="Cunningham"/>
    <s v="Isabella Cunningham"/>
    <x v="1"/>
    <n v="36"/>
    <x v="1"/>
    <x v="27"/>
    <x v="133"/>
    <x v="1"/>
    <x v="4"/>
  </r>
  <r>
    <x v="17"/>
    <s v="Spencer"/>
    <s v="Richard Spencer"/>
    <x v="0"/>
    <n v="21"/>
    <x v="2"/>
    <x v="33"/>
    <x v="134"/>
    <x v="0"/>
    <x v="5"/>
  </r>
  <r>
    <x v="38"/>
    <s v="Crawford"/>
    <s v="Alexia Crawford"/>
    <x v="1"/>
    <n v="55"/>
    <x v="0"/>
    <x v="12"/>
    <x v="135"/>
    <x v="1"/>
    <x v="4"/>
  </r>
  <r>
    <x v="32"/>
    <s v="Miller"/>
    <s v="Dominik Miller"/>
    <x v="0"/>
    <n v="57"/>
    <x v="0"/>
    <x v="10"/>
    <x v="136"/>
    <x v="0"/>
    <x v="0"/>
  </r>
  <r>
    <x v="32"/>
    <s v="Montgomery"/>
    <s v="Dominik Montgomery"/>
    <x v="0"/>
    <n v="27"/>
    <x v="2"/>
    <x v="3"/>
    <x v="131"/>
    <x v="0"/>
    <x v="1"/>
  </r>
  <r>
    <x v="101"/>
    <s v="Carroll"/>
    <s v="Savana Carroll"/>
    <x v="1"/>
    <n v="40"/>
    <x v="1"/>
    <x v="51"/>
    <x v="137"/>
    <x v="1"/>
    <x v="3"/>
  </r>
  <r>
    <x v="102"/>
    <s v="Roberts"/>
    <s v="Lydia Roberts"/>
    <x v="1"/>
    <n v="19"/>
    <x v="2"/>
    <x v="43"/>
    <x v="138"/>
    <x v="1"/>
    <x v="2"/>
  </r>
  <r>
    <x v="45"/>
    <s v="Brooks"/>
    <s v="Jack Brooks"/>
    <x v="0"/>
    <n v="51"/>
    <x v="0"/>
    <x v="23"/>
    <x v="139"/>
    <x v="0"/>
    <x v="5"/>
  </r>
  <r>
    <x v="34"/>
    <s v="Stevens"/>
    <s v="Eddy Stevens"/>
    <x v="0"/>
    <n v="60"/>
    <x v="0"/>
    <x v="20"/>
    <x v="140"/>
    <x v="0"/>
    <x v="2"/>
  </r>
  <r>
    <x v="103"/>
    <s v="Phillips"/>
    <s v="Fiona Phillips"/>
    <x v="1"/>
    <n v="44"/>
    <x v="1"/>
    <x v="39"/>
    <x v="141"/>
    <x v="0"/>
    <x v="2"/>
  </r>
  <r>
    <x v="7"/>
    <s v="Dixon"/>
    <s v="Ashton Dixon"/>
    <x v="0"/>
    <n v="44"/>
    <x v="1"/>
    <x v="52"/>
    <x v="142"/>
    <x v="0"/>
    <x v="4"/>
  </r>
  <r>
    <x v="104"/>
    <s v="Hamilton"/>
    <s v="Kelvin Hamilton"/>
    <x v="0"/>
    <n v="30"/>
    <x v="2"/>
    <x v="52"/>
    <x v="143"/>
    <x v="1"/>
    <x v="0"/>
  </r>
  <r>
    <x v="105"/>
    <s v="Scott"/>
    <s v="Daniel Scott"/>
    <x v="0"/>
    <n v="27"/>
    <x v="2"/>
    <x v="0"/>
    <x v="144"/>
    <x v="1"/>
    <x v="2"/>
  </r>
  <r>
    <x v="81"/>
    <s v="Ferguson"/>
    <s v="Elian Ferguson"/>
    <x v="0"/>
    <n v="59"/>
    <x v="0"/>
    <x v="46"/>
    <x v="145"/>
    <x v="0"/>
    <x v="3"/>
  </r>
  <r>
    <x v="91"/>
    <s v="Parker"/>
    <s v="Maddie Parker"/>
    <x v="1"/>
    <n v="60"/>
    <x v="0"/>
    <x v="22"/>
    <x v="146"/>
    <x v="1"/>
    <x v="1"/>
  </r>
  <r>
    <x v="67"/>
    <s v="Farrell"/>
    <s v="Michael Farrell"/>
    <x v="0"/>
    <n v="43"/>
    <x v="1"/>
    <x v="30"/>
    <x v="147"/>
    <x v="0"/>
    <x v="1"/>
  </r>
  <r>
    <x v="106"/>
    <s v="Hall"/>
    <s v="Ada Hall"/>
    <x v="1"/>
    <n v="46"/>
    <x v="1"/>
    <x v="34"/>
    <x v="148"/>
    <x v="0"/>
    <x v="3"/>
  </r>
  <r>
    <x v="39"/>
    <s v="Grant"/>
    <s v="Myra Grant"/>
    <x v="1"/>
    <n v="47"/>
    <x v="1"/>
    <x v="49"/>
    <x v="149"/>
    <x v="0"/>
    <x v="0"/>
  </r>
  <r>
    <x v="84"/>
    <s v="Murphy"/>
    <s v="Hailey Murphy"/>
    <x v="1"/>
    <n v="21"/>
    <x v="2"/>
    <x v="34"/>
    <x v="150"/>
    <x v="0"/>
    <x v="1"/>
  </r>
  <r>
    <x v="107"/>
    <s v="Moore"/>
    <s v="Paige Moore"/>
    <x v="1"/>
    <n v="46"/>
    <x v="1"/>
    <x v="42"/>
    <x v="151"/>
    <x v="0"/>
    <x v="4"/>
  </r>
  <r>
    <x v="108"/>
    <s v="Ellis"/>
    <s v="Aston Ellis"/>
    <x v="0"/>
    <n v="53"/>
    <x v="0"/>
    <x v="27"/>
    <x v="152"/>
    <x v="1"/>
    <x v="4"/>
  </r>
  <r>
    <x v="31"/>
    <s v="Howard"/>
    <s v="Tara Howard"/>
    <x v="1"/>
    <n v="36"/>
    <x v="1"/>
    <x v="15"/>
    <x v="153"/>
    <x v="1"/>
    <x v="0"/>
  </r>
  <r>
    <x v="109"/>
    <s v="Riley"/>
    <s v="Adrian Riley"/>
    <x v="0"/>
    <n v="60"/>
    <x v="0"/>
    <x v="5"/>
    <x v="154"/>
    <x v="1"/>
    <x v="2"/>
  </r>
  <r>
    <x v="92"/>
    <s v="Evans"/>
    <s v="Agata Evans"/>
    <x v="1"/>
    <n v="56"/>
    <x v="0"/>
    <x v="44"/>
    <x v="155"/>
    <x v="0"/>
    <x v="2"/>
  </r>
  <r>
    <x v="110"/>
    <s v="Anderson"/>
    <s v="Cherry Anderson"/>
    <x v="1"/>
    <n v="48"/>
    <x v="1"/>
    <x v="15"/>
    <x v="156"/>
    <x v="0"/>
    <x v="3"/>
  </r>
  <r>
    <x v="67"/>
    <s v="Turner"/>
    <s v="Michael Turner"/>
    <x v="0"/>
    <n v="38"/>
    <x v="1"/>
    <x v="44"/>
    <x v="157"/>
    <x v="1"/>
    <x v="4"/>
  </r>
  <r>
    <x v="68"/>
    <s v="Ellis"/>
    <s v="Robert Ellis"/>
    <x v="0"/>
    <n v="45"/>
    <x v="1"/>
    <x v="16"/>
    <x v="158"/>
    <x v="1"/>
    <x v="3"/>
  </r>
  <r>
    <x v="49"/>
    <s v="Evans"/>
    <s v="Maria Evans"/>
    <x v="1"/>
    <n v="55"/>
    <x v="0"/>
    <x v="44"/>
    <x v="159"/>
    <x v="1"/>
    <x v="1"/>
  </r>
  <r>
    <x v="111"/>
    <s v="Edwards"/>
    <s v="Max Edwards"/>
    <x v="0"/>
    <n v="19"/>
    <x v="2"/>
    <x v="37"/>
    <x v="160"/>
    <x v="1"/>
    <x v="4"/>
  </r>
  <r>
    <x v="33"/>
    <s v="Farrell"/>
    <s v="Roman Farrell"/>
    <x v="0"/>
    <n v="56"/>
    <x v="0"/>
    <x v="18"/>
    <x v="161"/>
    <x v="1"/>
    <x v="1"/>
  </r>
  <r>
    <x v="76"/>
    <s v="Anderson"/>
    <s v="Freddie Anderson"/>
    <x v="0"/>
    <n v="50"/>
    <x v="1"/>
    <x v="27"/>
    <x v="162"/>
    <x v="0"/>
    <x v="4"/>
  </r>
  <r>
    <x v="105"/>
    <s v="Richards"/>
    <s v="Daniel Richards"/>
    <x v="0"/>
    <n v="26"/>
    <x v="2"/>
    <x v="42"/>
    <x v="163"/>
    <x v="1"/>
    <x v="4"/>
  </r>
  <r>
    <x v="51"/>
    <s v="Carter"/>
    <s v="Bruce Carter"/>
    <x v="0"/>
    <n v="24"/>
    <x v="2"/>
    <x v="23"/>
    <x v="164"/>
    <x v="1"/>
    <x v="0"/>
  </r>
  <r>
    <x v="87"/>
    <s v="Hill"/>
    <s v="Catherine Hill"/>
    <x v="1"/>
    <n v="26"/>
    <x v="2"/>
    <x v="49"/>
    <x v="165"/>
    <x v="0"/>
    <x v="3"/>
  </r>
  <r>
    <x v="112"/>
    <s v="Edwards"/>
    <s v="Vivian Edwards"/>
    <x v="1"/>
    <n v="34"/>
    <x v="1"/>
    <x v="16"/>
    <x v="166"/>
    <x v="0"/>
    <x v="3"/>
  </r>
  <r>
    <x v="113"/>
    <s v="Morrison"/>
    <s v="Lilianna Morrison"/>
    <x v="1"/>
    <n v="55"/>
    <x v="0"/>
    <x v="46"/>
    <x v="167"/>
    <x v="0"/>
    <x v="4"/>
  </r>
  <r>
    <x v="11"/>
    <s v="Williams"/>
    <s v="Tiana Williams"/>
    <x v="1"/>
    <n v="19"/>
    <x v="2"/>
    <x v="40"/>
    <x v="168"/>
    <x v="1"/>
    <x v="1"/>
  </r>
  <r>
    <x v="114"/>
    <s v="Spencer"/>
    <s v="Deanna Spencer"/>
    <x v="1"/>
    <n v="54"/>
    <x v="0"/>
    <x v="47"/>
    <x v="169"/>
    <x v="1"/>
    <x v="3"/>
  </r>
  <r>
    <x v="40"/>
    <s v="Gray"/>
    <s v="Henry Gray"/>
    <x v="0"/>
    <n v="36"/>
    <x v="1"/>
    <x v="12"/>
    <x v="170"/>
    <x v="0"/>
    <x v="3"/>
  </r>
  <r>
    <x v="80"/>
    <s v="Nelson"/>
    <s v="Arthur Nelson"/>
    <x v="0"/>
    <n v="58"/>
    <x v="0"/>
    <x v="12"/>
    <x v="171"/>
    <x v="1"/>
    <x v="3"/>
  </r>
  <r>
    <x v="115"/>
    <s v="Roberts"/>
    <s v="Thomas Roberts"/>
    <x v="0"/>
    <n v="50"/>
    <x v="1"/>
    <x v="28"/>
    <x v="172"/>
    <x v="1"/>
    <x v="4"/>
  </r>
  <r>
    <x v="66"/>
    <s v="Johnson"/>
    <s v="Alen Johnson"/>
    <x v="0"/>
    <n v="52"/>
    <x v="0"/>
    <x v="44"/>
    <x v="173"/>
    <x v="1"/>
    <x v="0"/>
  </r>
  <r>
    <x v="11"/>
    <s v="Ross"/>
    <s v="Tiana Ross"/>
    <x v="1"/>
    <n v="47"/>
    <x v="1"/>
    <x v="25"/>
    <x v="174"/>
    <x v="1"/>
    <x v="0"/>
  </r>
  <r>
    <x v="32"/>
    <s v="Dixon"/>
    <s v="Dominik Dixon"/>
    <x v="0"/>
    <n v="60"/>
    <x v="0"/>
    <x v="46"/>
    <x v="175"/>
    <x v="0"/>
    <x v="2"/>
  </r>
  <r>
    <x v="116"/>
    <s v="Hunt"/>
    <s v="Kristian Hunt"/>
    <x v="0"/>
    <n v="24"/>
    <x v="2"/>
    <x v="1"/>
    <x v="176"/>
    <x v="1"/>
    <x v="3"/>
  </r>
  <r>
    <x v="117"/>
    <s v="Martin"/>
    <s v="Rebecca Martin"/>
    <x v="1"/>
    <n v="47"/>
    <x v="1"/>
    <x v="24"/>
    <x v="177"/>
    <x v="0"/>
    <x v="2"/>
  </r>
  <r>
    <x v="118"/>
    <s v="Farrell"/>
    <s v="Adelaide Farrell"/>
    <x v="1"/>
    <n v="50"/>
    <x v="1"/>
    <x v="20"/>
    <x v="178"/>
    <x v="1"/>
    <x v="5"/>
  </r>
  <r>
    <x v="119"/>
    <s v="Owens"/>
    <s v="James Owens"/>
    <x v="0"/>
    <n v="56"/>
    <x v="0"/>
    <x v="10"/>
    <x v="179"/>
    <x v="1"/>
    <x v="3"/>
  </r>
  <r>
    <x v="42"/>
    <s v="Farrell"/>
    <s v="Jordan Farrell"/>
    <x v="0"/>
    <n v="20"/>
    <x v="2"/>
    <x v="20"/>
    <x v="180"/>
    <x v="0"/>
    <x v="2"/>
  </r>
  <r>
    <x v="21"/>
    <s v="Adams"/>
    <s v="Lyndon Adams"/>
    <x v="0"/>
    <n v="45"/>
    <x v="1"/>
    <x v="27"/>
    <x v="181"/>
    <x v="1"/>
    <x v="0"/>
  </r>
  <r>
    <x v="120"/>
    <s v="Sullivan"/>
    <s v="Aldus Sullivan"/>
    <x v="0"/>
    <n v="52"/>
    <x v="0"/>
    <x v="41"/>
    <x v="182"/>
    <x v="1"/>
    <x v="5"/>
  </r>
  <r>
    <x v="121"/>
    <s v="Sullivan"/>
    <s v="Mike Sullivan"/>
    <x v="0"/>
    <n v="30"/>
    <x v="2"/>
    <x v="17"/>
    <x v="183"/>
    <x v="1"/>
    <x v="1"/>
  </r>
  <r>
    <x v="41"/>
    <s v="Grant"/>
    <s v="Honey Grant"/>
    <x v="1"/>
    <n v="36"/>
    <x v="1"/>
    <x v="50"/>
    <x v="184"/>
    <x v="0"/>
    <x v="0"/>
  </r>
  <r>
    <x v="79"/>
    <s v="Johnson"/>
    <s v="Victor Johnson"/>
    <x v="0"/>
    <n v="24"/>
    <x v="2"/>
    <x v="22"/>
    <x v="185"/>
    <x v="1"/>
    <x v="3"/>
  </r>
  <r>
    <x v="65"/>
    <s v="Carter"/>
    <s v="Haris Carter"/>
    <x v="0"/>
    <n v="25"/>
    <x v="2"/>
    <x v="44"/>
    <x v="186"/>
    <x v="1"/>
    <x v="0"/>
  </r>
  <r>
    <x v="119"/>
    <s v="Johnston"/>
    <s v="James Johnston"/>
    <x v="0"/>
    <n v="44"/>
    <x v="1"/>
    <x v="28"/>
    <x v="187"/>
    <x v="1"/>
    <x v="2"/>
  </r>
  <r>
    <x v="27"/>
    <s v="Clark"/>
    <s v="Frederick Clark"/>
    <x v="0"/>
    <n v="33"/>
    <x v="1"/>
    <x v="35"/>
    <x v="188"/>
    <x v="1"/>
    <x v="0"/>
  </r>
  <r>
    <x v="3"/>
    <s v="Wright"/>
    <s v="Vanessa Wright"/>
    <x v="1"/>
    <n v="50"/>
    <x v="1"/>
    <x v="27"/>
    <x v="189"/>
    <x v="0"/>
    <x v="1"/>
  </r>
  <r>
    <x v="119"/>
    <s v="Scott"/>
    <s v="James Scott"/>
    <x v="0"/>
    <n v="54"/>
    <x v="0"/>
    <x v="26"/>
    <x v="190"/>
    <x v="0"/>
    <x v="2"/>
  </r>
  <r>
    <x v="122"/>
    <s v="Watson"/>
    <s v="Audrey Watson"/>
    <x v="1"/>
    <n v="55"/>
    <x v="0"/>
    <x v="36"/>
    <x v="191"/>
    <x v="0"/>
    <x v="0"/>
  </r>
  <r>
    <x v="123"/>
    <s v="Murphy"/>
    <s v="Roland Murphy"/>
    <x v="0"/>
    <n v="28"/>
    <x v="2"/>
    <x v="16"/>
    <x v="192"/>
    <x v="0"/>
    <x v="1"/>
  </r>
  <r>
    <x v="124"/>
    <s v="Henderson"/>
    <s v="Lily Henderson"/>
    <x v="1"/>
    <n v="40"/>
    <x v="1"/>
    <x v="47"/>
    <x v="193"/>
    <x v="1"/>
    <x v="3"/>
  </r>
  <r>
    <x v="125"/>
    <s v="Kelley"/>
    <s v="Sophia Kelley"/>
    <x v="1"/>
    <n v="29"/>
    <x v="2"/>
    <x v="32"/>
    <x v="194"/>
    <x v="1"/>
    <x v="1"/>
  </r>
  <r>
    <x v="86"/>
    <s v="Mason"/>
    <s v="Garry Mason"/>
    <x v="0"/>
    <n v="49"/>
    <x v="1"/>
    <x v="14"/>
    <x v="195"/>
    <x v="1"/>
    <x v="2"/>
  </r>
  <r>
    <x v="126"/>
    <s v="Miller"/>
    <s v="Adison Miller"/>
    <x v="0"/>
    <n v="32"/>
    <x v="1"/>
    <x v="37"/>
    <x v="196"/>
    <x v="1"/>
    <x v="1"/>
  </r>
  <r>
    <x v="68"/>
    <s v="Alexander"/>
    <s v="Robert Alexander"/>
    <x v="0"/>
    <n v="20"/>
    <x v="2"/>
    <x v="17"/>
    <x v="197"/>
    <x v="1"/>
    <x v="4"/>
  </r>
  <r>
    <x v="78"/>
    <s v="Nelson"/>
    <s v="Stuart Nelson"/>
    <x v="0"/>
    <n v="20"/>
    <x v="2"/>
    <x v="9"/>
    <x v="198"/>
    <x v="1"/>
    <x v="2"/>
  </r>
  <r>
    <x v="2"/>
    <s v="Hunt"/>
    <s v="Charlie Hunt"/>
    <x v="0"/>
    <n v="20"/>
    <x v="2"/>
    <x v="3"/>
    <x v="199"/>
    <x v="1"/>
    <x v="1"/>
  </r>
  <r>
    <x v="55"/>
    <s v="Roberts"/>
    <s v="Kate Roberts"/>
    <x v="1"/>
    <n v="45"/>
    <x v="1"/>
    <x v="3"/>
    <x v="200"/>
    <x v="1"/>
    <x v="4"/>
  </r>
  <r>
    <x v="18"/>
    <s v="Dixon"/>
    <s v="Alan Dixon"/>
    <x v="0"/>
    <n v="25"/>
    <x v="2"/>
    <x v="17"/>
    <x v="201"/>
    <x v="0"/>
    <x v="5"/>
  </r>
  <r>
    <x v="102"/>
    <s v="Scott"/>
    <s v="Lydia Scott"/>
    <x v="1"/>
    <n v="28"/>
    <x v="2"/>
    <x v="8"/>
    <x v="202"/>
    <x v="0"/>
    <x v="3"/>
  </r>
  <r>
    <x v="127"/>
    <s v="Clark"/>
    <s v="Rubie Clark"/>
    <x v="1"/>
    <n v="19"/>
    <x v="2"/>
    <x v="4"/>
    <x v="203"/>
    <x v="1"/>
    <x v="1"/>
  </r>
  <r>
    <x v="101"/>
    <s v="Ross"/>
    <s v="Savana Ross"/>
    <x v="1"/>
    <n v="42"/>
    <x v="1"/>
    <x v="3"/>
    <x v="204"/>
    <x v="1"/>
    <x v="4"/>
  </r>
  <r>
    <x v="69"/>
    <s v="Campbell"/>
    <s v="Camila Campbell"/>
    <x v="1"/>
    <n v="60"/>
    <x v="0"/>
    <x v="1"/>
    <x v="205"/>
    <x v="1"/>
    <x v="3"/>
  </r>
  <r>
    <x v="128"/>
    <s v="West"/>
    <s v="Gianna West"/>
    <x v="1"/>
    <n v="29"/>
    <x v="2"/>
    <x v="50"/>
    <x v="206"/>
    <x v="1"/>
    <x v="0"/>
  </r>
  <r>
    <x v="129"/>
    <s v="Craig"/>
    <s v="Melanie Craig"/>
    <x v="1"/>
    <n v="29"/>
    <x v="2"/>
    <x v="36"/>
    <x v="207"/>
    <x v="1"/>
    <x v="1"/>
  </r>
  <r>
    <x v="130"/>
    <s v="Cunningham"/>
    <s v="Charlotte Cunningham"/>
    <x v="1"/>
    <n v="40"/>
    <x v="1"/>
    <x v="17"/>
    <x v="208"/>
    <x v="1"/>
    <x v="4"/>
  </r>
  <r>
    <x v="131"/>
    <s v="Mitchell"/>
    <s v="Julian Mitchell"/>
    <x v="0"/>
    <n v="60"/>
    <x v="0"/>
    <x v="33"/>
    <x v="209"/>
    <x v="1"/>
    <x v="2"/>
  </r>
  <r>
    <x v="112"/>
    <s v="Allen"/>
    <s v="Vivian Allen"/>
    <x v="1"/>
    <n v="36"/>
    <x v="1"/>
    <x v="16"/>
    <x v="210"/>
    <x v="1"/>
    <x v="0"/>
  </r>
  <r>
    <x v="107"/>
    <s v="Andrews"/>
    <s v="Paige Andrews"/>
    <x v="1"/>
    <n v="39"/>
    <x v="1"/>
    <x v="49"/>
    <x v="211"/>
    <x v="1"/>
    <x v="5"/>
  </r>
  <r>
    <x v="72"/>
    <s v="Stewart"/>
    <s v="Vincent Stewart"/>
    <x v="0"/>
    <n v="21"/>
    <x v="2"/>
    <x v="39"/>
    <x v="212"/>
    <x v="1"/>
    <x v="3"/>
  </r>
  <r>
    <x v="132"/>
    <s v="Allen"/>
    <s v="Albert Allen"/>
    <x v="0"/>
    <n v="57"/>
    <x v="0"/>
    <x v="48"/>
    <x v="213"/>
    <x v="1"/>
    <x v="1"/>
  </r>
  <r>
    <x v="133"/>
    <s v="Morgan"/>
    <s v="Luke Morgan"/>
    <x v="0"/>
    <n v="31"/>
    <x v="1"/>
    <x v="21"/>
    <x v="214"/>
    <x v="1"/>
    <x v="2"/>
  </r>
  <r>
    <x v="134"/>
    <s v="Parker"/>
    <s v="Oscar Parker"/>
    <x v="0"/>
    <n v="51"/>
    <x v="0"/>
    <x v="31"/>
    <x v="215"/>
    <x v="1"/>
    <x v="5"/>
  </r>
  <r>
    <x v="135"/>
    <s v="Farrell"/>
    <s v="Reid Farrell"/>
    <x v="0"/>
    <n v="29"/>
    <x v="2"/>
    <x v="41"/>
    <x v="216"/>
    <x v="0"/>
    <x v="3"/>
  </r>
  <r>
    <x v="12"/>
    <s v="Cooper"/>
    <s v="Kimberly Cooper"/>
    <x v="1"/>
    <n v="46"/>
    <x v="1"/>
    <x v="1"/>
    <x v="217"/>
    <x v="1"/>
    <x v="4"/>
  </r>
  <r>
    <x v="86"/>
    <s v="Jones"/>
    <s v="Garry Jones"/>
    <x v="0"/>
    <n v="37"/>
    <x v="1"/>
    <x v="45"/>
    <x v="218"/>
    <x v="0"/>
    <x v="5"/>
  </r>
  <r>
    <x v="136"/>
    <s v="Alexander"/>
    <s v="Caroline Alexander"/>
    <x v="1"/>
    <n v="58"/>
    <x v="0"/>
    <x v="44"/>
    <x v="219"/>
    <x v="0"/>
    <x v="2"/>
  </r>
  <r>
    <x v="36"/>
    <s v="Smith"/>
    <s v="Wilson Smith"/>
    <x v="0"/>
    <n v="28"/>
    <x v="2"/>
    <x v="43"/>
    <x v="220"/>
    <x v="1"/>
    <x v="3"/>
  </r>
  <r>
    <x v="101"/>
    <s v="Kelly"/>
    <s v="Savana Kelly"/>
    <x v="1"/>
    <n v="18"/>
    <x v="2"/>
    <x v="40"/>
    <x v="221"/>
    <x v="0"/>
    <x v="5"/>
  </r>
  <r>
    <x v="44"/>
    <s v="Myers"/>
    <s v="Arnold Myers"/>
    <x v="0"/>
    <n v="35"/>
    <x v="1"/>
    <x v="49"/>
    <x v="222"/>
    <x v="1"/>
    <x v="2"/>
  </r>
  <r>
    <x v="133"/>
    <s v="Evans"/>
    <s v="Luke Evans"/>
    <x v="0"/>
    <n v="27"/>
    <x v="2"/>
    <x v="8"/>
    <x v="223"/>
    <x v="0"/>
    <x v="1"/>
  </r>
  <r>
    <x v="137"/>
    <s v="Perkins"/>
    <s v="Chelsea Perkins"/>
    <x v="1"/>
    <n v="25"/>
    <x v="2"/>
    <x v="31"/>
    <x v="224"/>
    <x v="0"/>
    <x v="0"/>
  </r>
  <r>
    <x v="45"/>
    <s v="Johnson"/>
    <s v="Jack Johnson"/>
    <x v="0"/>
    <n v="30"/>
    <x v="2"/>
    <x v="3"/>
    <x v="225"/>
    <x v="1"/>
    <x v="4"/>
  </r>
  <r>
    <x v="32"/>
    <s v="Martin"/>
    <s v="Dominik Martin"/>
    <x v="0"/>
    <n v="26"/>
    <x v="2"/>
    <x v="28"/>
    <x v="226"/>
    <x v="1"/>
    <x v="5"/>
  </r>
  <r>
    <x v="138"/>
    <s v="Taylor"/>
    <s v="Cadie Taylor"/>
    <x v="1"/>
    <n v="23"/>
    <x v="2"/>
    <x v="4"/>
    <x v="227"/>
    <x v="0"/>
    <x v="0"/>
  </r>
  <r>
    <x v="139"/>
    <s v="Morris"/>
    <s v="Byron Morris"/>
    <x v="0"/>
    <n v="43"/>
    <x v="1"/>
    <x v="9"/>
    <x v="228"/>
    <x v="0"/>
    <x v="3"/>
  </r>
  <r>
    <x v="140"/>
    <s v="Hunt"/>
    <s v="Edwin Hunt"/>
    <x v="0"/>
    <n v="41"/>
    <x v="1"/>
    <x v="19"/>
    <x v="229"/>
    <x v="1"/>
    <x v="2"/>
  </r>
  <r>
    <x v="98"/>
    <s v="Bailey"/>
    <s v="Arianna Bailey"/>
    <x v="1"/>
    <n v="47"/>
    <x v="1"/>
    <x v="29"/>
    <x v="230"/>
    <x v="1"/>
    <x v="1"/>
  </r>
  <r>
    <x v="80"/>
    <s v="Dixon"/>
    <s v="Arthur Dixon"/>
    <x v="0"/>
    <n v="42"/>
    <x v="1"/>
    <x v="35"/>
    <x v="231"/>
    <x v="0"/>
    <x v="0"/>
  </r>
  <r>
    <x v="20"/>
    <s v="Harrison"/>
    <s v="Sawyer Harrison"/>
    <x v="0"/>
    <n v="54"/>
    <x v="0"/>
    <x v="23"/>
    <x v="232"/>
    <x v="1"/>
    <x v="2"/>
  </r>
  <r>
    <x v="73"/>
    <s v="Henderson"/>
    <s v="Julia Henderson"/>
    <x v="1"/>
    <n v="57"/>
    <x v="0"/>
    <x v="13"/>
    <x v="233"/>
    <x v="1"/>
    <x v="0"/>
  </r>
  <r>
    <x v="43"/>
    <s v="Stewart"/>
    <s v="Mary Stewart"/>
    <x v="1"/>
    <n v="30"/>
    <x v="2"/>
    <x v="16"/>
    <x v="234"/>
    <x v="1"/>
    <x v="5"/>
  </r>
  <r>
    <x v="98"/>
    <s v="Hill"/>
    <s v="Arianna Hill"/>
    <x v="1"/>
    <n v="54"/>
    <x v="0"/>
    <x v="3"/>
    <x v="235"/>
    <x v="0"/>
    <x v="4"/>
  </r>
  <r>
    <x v="141"/>
    <s v="Ferguson"/>
    <s v="Paul Ferguson"/>
    <x v="0"/>
    <n v="36"/>
    <x v="1"/>
    <x v="18"/>
    <x v="236"/>
    <x v="0"/>
    <x v="4"/>
  </r>
  <r>
    <x v="142"/>
    <s v="Watson"/>
    <s v="Adele Watson"/>
    <x v="1"/>
    <n v="51"/>
    <x v="0"/>
    <x v="50"/>
    <x v="237"/>
    <x v="0"/>
    <x v="1"/>
  </r>
  <r>
    <x v="127"/>
    <s v="Watson"/>
    <s v="Rubie Watson"/>
    <x v="1"/>
    <n v="59"/>
    <x v="0"/>
    <x v="32"/>
    <x v="238"/>
    <x v="0"/>
    <x v="2"/>
  </r>
  <r>
    <x v="98"/>
    <s v="Adams"/>
    <s v="Arianna Adams"/>
    <x v="1"/>
    <n v="28"/>
    <x v="2"/>
    <x v="25"/>
    <x v="239"/>
    <x v="0"/>
    <x v="0"/>
  </r>
  <r>
    <x v="143"/>
    <s v="Fowler"/>
    <s v="Brianna Fowler"/>
    <x v="1"/>
    <n v="19"/>
    <x v="2"/>
    <x v="32"/>
    <x v="240"/>
    <x v="0"/>
    <x v="1"/>
  </r>
  <r>
    <x v="47"/>
    <s v="Wright"/>
    <s v="Jared Wright"/>
    <x v="0"/>
    <n v="38"/>
    <x v="1"/>
    <x v="7"/>
    <x v="241"/>
    <x v="0"/>
    <x v="2"/>
  </r>
  <r>
    <x v="46"/>
    <s v="Allen"/>
    <s v="Brad Allen"/>
    <x v="0"/>
    <n v="31"/>
    <x v="1"/>
    <x v="17"/>
    <x v="242"/>
    <x v="0"/>
    <x v="5"/>
  </r>
  <r>
    <x v="144"/>
    <s v="Tucker"/>
    <s v="Dexter Tucker"/>
    <x v="0"/>
    <n v="50"/>
    <x v="1"/>
    <x v="37"/>
    <x v="243"/>
    <x v="0"/>
    <x v="0"/>
  </r>
  <r>
    <x v="55"/>
    <s v="Payne"/>
    <s v="Kate Payne"/>
    <x v="1"/>
    <n v="50"/>
    <x v="1"/>
    <x v="30"/>
    <x v="244"/>
    <x v="1"/>
    <x v="1"/>
  </r>
  <r>
    <x v="145"/>
    <s v="Nelson"/>
    <s v="Leonardo Nelson"/>
    <x v="0"/>
    <n v="38"/>
    <x v="1"/>
    <x v="21"/>
    <x v="245"/>
    <x v="0"/>
    <x v="5"/>
  </r>
  <r>
    <x v="81"/>
    <s v="Cole"/>
    <s v="Elian Cole"/>
    <x v="0"/>
    <n v="37"/>
    <x v="1"/>
    <x v="2"/>
    <x v="246"/>
    <x v="1"/>
    <x v="5"/>
  </r>
  <r>
    <x v="146"/>
    <s v="Montgomery"/>
    <s v="Lenny Montgomery"/>
    <x v="0"/>
    <n v="32"/>
    <x v="1"/>
    <x v="34"/>
    <x v="247"/>
    <x v="1"/>
    <x v="4"/>
  </r>
  <r>
    <x v="91"/>
    <s v="Murray"/>
    <s v="Maddie Murray"/>
    <x v="1"/>
    <n v="20"/>
    <x v="2"/>
    <x v="34"/>
    <x v="248"/>
    <x v="0"/>
    <x v="4"/>
  </r>
  <r>
    <x v="123"/>
    <s v="Cunningham"/>
    <s v="Roland Cunningham"/>
    <x v="0"/>
    <n v="55"/>
    <x v="0"/>
    <x v="43"/>
    <x v="249"/>
    <x v="0"/>
    <x v="3"/>
  </r>
  <r>
    <x v="72"/>
    <s v="Jones"/>
    <s v="Vincent Jones"/>
    <x v="0"/>
    <n v="25"/>
    <x v="2"/>
    <x v="36"/>
    <x v="250"/>
    <x v="0"/>
    <x v="5"/>
  </r>
  <r>
    <x v="147"/>
    <s v="Martin"/>
    <s v="Lana Martin"/>
    <x v="1"/>
    <n v="43"/>
    <x v="1"/>
    <x v="44"/>
    <x v="251"/>
    <x v="1"/>
    <x v="4"/>
  </r>
  <r>
    <x v="95"/>
    <s v="Miller"/>
    <s v="Marcus Miller"/>
    <x v="0"/>
    <n v="43"/>
    <x v="1"/>
    <x v="9"/>
    <x v="252"/>
    <x v="0"/>
    <x v="3"/>
  </r>
  <r>
    <x v="102"/>
    <s v="Foster"/>
    <s v="Lydia Foster"/>
    <x v="1"/>
    <n v="54"/>
    <x v="0"/>
    <x v="46"/>
    <x v="253"/>
    <x v="1"/>
    <x v="0"/>
  </r>
  <r>
    <x v="113"/>
    <s v="Hawkins"/>
    <s v="Lilianna Hawkins"/>
    <x v="1"/>
    <n v="27"/>
    <x v="2"/>
    <x v="37"/>
    <x v="254"/>
    <x v="0"/>
    <x v="2"/>
  </r>
  <r>
    <x v="106"/>
    <s v="Perkins"/>
    <s v="Ada Perkins"/>
    <x v="1"/>
    <n v="49"/>
    <x v="1"/>
    <x v="40"/>
    <x v="255"/>
    <x v="0"/>
    <x v="2"/>
  </r>
  <r>
    <x v="148"/>
    <s v="Warren"/>
    <s v="Kelsey Warren"/>
    <x v="1"/>
    <n v="27"/>
    <x v="2"/>
    <x v="38"/>
    <x v="256"/>
    <x v="0"/>
    <x v="1"/>
  </r>
  <r>
    <x v="42"/>
    <s v="Myers"/>
    <s v="Jordan Myers"/>
    <x v="0"/>
    <n v="38"/>
    <x v="1"/>
    <x v="30"/>
    <x v="257"/>
    <x v="0"/>
    <x v="3"/>
  </r>
  <r>
    <x v="49"/>
    <s v="Crawford"/>
    <s v="Maria Crawford"/>
    <x v="1"/>
    <n v="18"/>
    <x v="2"/>
    <x v="38"/>
    <x v="258"/>
    <x v="1"/>
    <x v="1"/>
  </r>
  <r>
    <x v="6"/>
    <s v="Casey"/>
    <s v="Belinda Casey"/>
    <x v="1"/>
    <n v="32"/>
    <x v="1"/>
    <x v="45"/>
    <x v="259"/>
    <x v="0"/>
    <x v="0"/>
  </r>
  <r>
    <x v="16"/>
    <s v="Payne"/>
    <s v="Steven Payne"/>
    <x v="0"/>
    <n v="41"/>
    <x v="1"/>
    <x v="26"/>
    <x v="260"/>
    <x v="1"/>
    <x v="1"/>
  </r>
  <r>
    <x v="22"/>
    <s v="Wilson"/>
    <s v="Sofia Wilson"/>
    <x v="1"/>
    <n v="39"/>
    <x v="1"/>
    <x v="17"/>
    <x v="261"/>
    <x v="1"/>
    <x v="2"/>
  </r>
  <r>
    <x v="149"/>
    <s v="Barrett"/>
    <s v="Naomi Barrett"/>
    <x v="1"/>
    <n v="40"/>
    <x v="1"/>
    <x v="22"/>
    <x v="262"/>
    <x v="1"/>
    <x v="5"/>
  </r>
  <r>
    <x v="100"/>
    <s v="Gray"/>
    <s v="David Gray"/>
    <x v="0"/>
    <n v="41"/>
    <x v="1"/>
    <x v="37"/>
    <x v="263"/>
    <x v="1"/>
    <x v="0"/>
  </r>
  <r>
    <x v="45"/>
    <s v="Anderson"/>
    <s v="Jack Anderson"/>
    <x v="0"/>
    <n v="48"/>
    <x v="1"/>
    <x v="23"/>
    <x v="264"/>
    <x v="1"/>
    <x v="4"/>
  </r>
  <r>
    <x v="99"/>
    <s v="Grant"/>
    <s v="Ryan Grant"/>
    <x v="0"/>
    <n v="35"/>
    <x v="1"/>
    <x v="18"/>
    <x v="265"/>
    <x v="0"/>
    <x v="0"/>
  </r>
  <r>
    <x v="131"/>
    <s v="Farrell"/>
    <s v="Julian Farrell"/>
    <x v="0"/>
    <n v="21"/>
    <x v="2"/>
    <x v="44"/>
    <x v="266"/>
    <x v="0"/>
    <x v="0"/>
  </r>
  <r>
    <x v="41"/>
    <s v="Russell"/>
    <s v="Honey Russell"/>
    <x v="1"/>
    <n v="55"/>
    <x v="0"/>
    <x v="46"/>
    <x v="267"/>
    <x v="1"/>
    <x v="0"/>
  </r>
  <r>
    <x v="150"/>
    <s v="Johnston"/>
    <s v="Sam Johnston"/>
    <x v="0"/>
    <n v="40"/>
    <x v="1"/>
    <x v="13"/>
    <x v="268"/>
    <x v="1"/>
    <x v="4"/>
  </r>
  <r>
    <x v="18"/>
    <s v="Smith"/>
    <s v="Alan Smith"/>
    <x v="0"/>
    <n v="52"/>
    <x v="0"/>
    <x v="20"/>
    <x v="269"/>
    <x v="1"/>
    <x v="1"/>
  </r>
  <r>
    <x v="71"/>
    <s v="Mason"/>
    <s v="Andrew Mason"/>
    <x v="0"/>
    <n v="47"/>
    <x v="1"/>
    <x v="24"/>
    <x v="270"/>
    <x v="1"/>
    <x v="2"/>
  </r>
  <r>
    <x v="52"/>
    <s v="Tucker"/>
    <s v="Alexander Tucker"/>
    <x v="0"/>
    <n v="25"/>
    <x v="2"/>
    <x v="30"/>
    <x v="271"/>
    <x v="0"/>
    <x v="2"/>
  </r>
  <r>
    <x v="38"/>
    <s v="Carroll"/>
    <s v="Alexia Carroll"/>
    <x v="1"/>
    <n v="18"/>
    <x v="2"/>
    <x v="24"/>
    <x v="272"/>
    <x v="0"/>
    <x v="0"/>
  </r>
  <r>
    <x v="99"/>
    <s v="Richards"/>
    <s v="Ryan Richards"/>
    <x v="0"/>
    <n v="18"/>
    <x v="2"/>
    <x v="35"/>
    <x v="273"/>
    <x v="0"/>
    <x v="0"/>
  </r>
  <r>
    <x v="111"/>
    <s v="Carroll"/>
    <s v="Max Carroll"/>
    <x v="0"/>
    <n v="18"/>
    <x v="2"/>
    <x v="43"/>
    <x v="274"/>
    <x v="1"/>
    <x v="3"/>
  </r>
  <r>
    <x v="151"/>
    <s v="Kelley"/>
    <s v="Rafael Kelley"/>
    <x v="0"/>
    <n v="51"/>
    <x v="0"/>
    <x v="7"/>
    <x v="275"/>
    <x v="1"/>
    <x v="5"/>
  </r>
  <r>
    <x v="66"/>
    <s v="Harper"/>
    <s v="Alen Harper"/>
    <x v="0"/>
    <n v="40"/>
    <x v="1"/>
    <x v="36"/>
    <x v="276"/>
    <x v="1"/>
    <x v="5"/>
  </r>
  <r>
    <x v="24"/>
    <s v="Walker"/>
    <s v="Emily Walker"/>
    <x v="1"/>
    <n v="57"/>
    <x v="0"/>
    <x v="5"/>
    <x v="277"/>
    <x v="1"/>
    <x v="5"/>
  </r>
  <r>
    <x v="14"/>
    <s v="Gibson"/>
    <s v="Connie Gibson"/>
    <x v="1"/>
    <n v="47"/>
    <x v="1"/>
    <x v="28"/>
    <x v="278"/>
    <x v="1"/>
    <x v="5"/>
  </r>
  <r>
    <x v="92"/>
    <s v="Dixon"/>
    <s v="Agata Dixon"/>
    <x v="1"/>
    <n v="48"/>
    <x v="1"/>
    <x v="26"/>
    <x v="279"/>
    <x v="0"/>
    <x v="4"/>
  </r>
  <r>
    <x v="42"/>
    <s v="Chapman"/>
    <s v="Jordan Chapman"/>
    <x v="0"/>
    <n v="50"/>
    <x v="1"/>
    <x v="3"/>
    <x v="280"/>
    <x v="0"/>
    <x v="3"/>
  </r>
  <r>
    <x v="12"/>
    <s v="Rogers"/>
    <s v="Kimberly Rogers"/>
    <x v="1"/>
    <n v="41"/>
    <x v="1"/>
    <x v="21"/>
    <x v="281"/>
    <x v="1"/>
    <x v="0"/>
  </r>
  <r>
    <x v="152"/>
    <s v="Brown"/>
    <s v="Ned Brown"/>
    <x v="0"/>
    <n v="36"/>
    <x v="1"/>
    <x v="10"/>
    <x v="282"/>
    <x v="1"/>
    <x v="1"/>
  </r>
  <r>
    <x v="104"/>
    <s v="Campbell"/>
    <s v="Kelvin Campbell"/>
    <x v="0"/>
    <n v="49"/>
    <x v="1"/>
    <x v="43"/>
    <x v="283"/>
    <x v="0"/>
    <x v="1"/>
  </r>
  <r>
    <x v="92"/>
    <s v="West"/>
    <s v="Agata West"/>
    <x v="1"/>
    <n v="54"/>
    <x v="0"/>
    <x v="36"/>
    <x v="284"/>
    <x v="1"/>
    <x v="5"/>
  </r>
  <r>
    <x v="18"/>
    <s v="Payne"/>
    <s v="Alan Payne"/>
    <x v="0"/>
    <n v="49"/>
    <x v="1"/>
    <x v="26"/>
    <x v="285"/>
    <x v="0"/>
    <x v="1"/>
  </r>
  <r>
    <x v="125"/>
    <s v="West"/>
    <s v="Sophia West"/>
    <x v="1"/>
    <n v="22"/>
    <x v="2"/>
    <x v="50"/>
    <x v="286"/>
    <x v="1"/>
    <x v="4"/>
  </r>
  <r>
    <x v="47"/>
    <s v="Barnes"/>
    <s v="Jared Barnes"/>
    <x v="0"/>
    <n v="28"/>
    <x v="2"/>
    <x v="44"/>
    <x v="287"/>
    <x v="0"/>
    <x v="5"/>
  </r>
  <r>
    <x v="153"/>
    <s v="Adams"/>
    <s v="Tess Adams"/>
    <x v="1"/>
    <n v="21"/>
    <x v="2"/>
    <x v="6"/>
    <x v="288"/>
    <x v="1"/>
    <x v="0"/>
  </r>
  <r>
    <x v="90"/>
    <s v="Richardson"/>
    <s v="Spike Richardson"/>
    <x v="0"/>
    <n v="57"/>
    <x v="0"/>
    <x v="23"/>
    <x v="289"/>
    <x v="0"/>
    <x v="1"/>
  </r>
  <r>
    <x v="15"/>
    <s v="Warren"/>
    <s v="Edgar Warren"/>
    <x v="0"/>
    <n v="23"/>
    <x v="2"/>
    <x v="8"/>
    <x v="290"/>
    <x v="1"/>
    <x v="0"/>
  </r>
  <r>
    <x v="154"/>
    <s v="Fowler"/>
    <s v="Darcy Fowler"/>
    <x v="1"/>
    <n v="54"/>
    <x v="0"/>
    <x v="20"/>
    <x v="291"/>
    <x v="1"/>
    <x v="5"/>
  </r>
  <r>
    <x v="95"/>
    <s v="Chapman"/>
    <s v="Marcus Chapman"/>
    <x v="0"/>
    <n v="29"/>
    <x v="2"/>
    <x v="18"/>
    <x v="292"/>
    <x v="0"/>
    <x v="3"/>
  </r>
  <r>
    <x v="103"/>
    <s v="Moore"/>
    <s v="Fiona Moore"/>
    <x v="1"/>
    <n v="49"/>
    <x v="1"/>
    <x v="13"/>
    <x v="293"/>
    <x v="0"/>
    <x v="1"/>
  </r>
  <r>
    <x v="71"/>
    <s v="Sullivan"/>
    <s v="Andrew Sullivan"/>
    <x v="0"/>
    <n v="42"/>
    <x v="1"/>
    <x v="1"/>
    <x v="294"/>
    <x v="0"/>
    <x v="2"/>
  </r>
  <r>
    <x v="50"/>
    <s v="Armstrong"/>
    <s v="April Armstrong"/>
    <x v="1"/>
    <n v="24"/>
    <x v="2"/>
    <x v="27"/>
    <x v="157"/>
    <x v="1"/>
    <x v="4"/>
  </r>
  <r>
    <x v="58"/>
    <s v="Crawford"/>
    <s v="Maximilian Crawford"/>
    <x v="0"/>
    <n v="32"/>
    <x v="1"/>
    <x v="32"/>
    <x v="295"/>
    <x v="0"/>
    <x v="5"/>
  </r>
  <r>
    <x v="155"/>
    <s v="Bennett"/>
    <s v="Adrianna Bennett"/>
    <x v="1"/>
    <n v="40"/>
    <x v="1"/>
    <x v="35"/>
    <x v="296"/>
    <x v="1"/>
    <x v="1"/>
  </r>
  <r>
    <x v="68"/>
    <s v="Campbell"/>
    <s v="Robert Campbell"/>
    <x v="0"/>
    <n v="41"/>
    <x v="1"/>
    <x v="1"/>
    <x v="297"/>
    <x v="0"/>
    <x v="0"/>
  </r>
  <r>
    <x v="118"/>
    <s v="Crawford"/>
    <s v="Adelaide Crawford"/>
    <x v="1"/>
    <n v="37"/>
    <x v="1"/>
    <x v="19"/>
    <x v="298"/>
    <x v="1"/>
    <x v="0"/>
  </r>
  <r>
    <x v="156"/>
    <s v="Gray"/>
    <s v="John Gray"/>
    <x v="0"/>
    <n v="47"/>
    <x v="1"/>
    <x v="25"/>
    <x v="299"/>
    <x v="1"/>
    <x v="0"/>
  </r>
  <r>
    <x v="60"/>
    <s v="Howard"/>
    <s v="Samantha Howard"/>
    <x v="1"/>
    <n v="30"/>
    <x v="2"/>
    <x v="16"/>
    <x v="300"/>
    <x v="1"/>
    <x v="3"/>
  </r>
  <r>
    <x v="92"/>
    <s v="Watson"/>
    <s v="Agata Watson"/>
    <x v="1"/>
    <n v="50"/>
    <x v="1"/>
    <x v="8"/>
    <x v="301"/>
    <x v="1"/>
    <x v="5"/>
  </r>
  <r>
    <x v="47"/>
    <s v="Hunt"/>
    <s v="Jared Hunt"/>
    <x v="0"/>
    <n v="58"/>
    <x v="0"/>
    <x v="10"/>
    <x v="302"/>
    <x v="0"/>
    <x v="3"/>
  </r>
  <r>
    <x v="73"/>
    <s v="Bailey"/>
    <s v="Julia Bailey"/>
    <x v="1"/>
    <n v="46"/>
    <x v="1"/>
    <x v="25"/>
    <x v="303"/>
    <x v="1"/>
    <x v="4"/>
  </r>
  <r>
    <x v="157"/>
    <s v="Henderson"/>
    <s v="Penelope Henderson"/>
    <x v="1"/>
    <n v="38"/>
    <x v="1"/>
    <x v="15"/>
    <x v="304"/>
    <x v="1"/>
    <x v="3"/>
  </r>
  <r>
    <x v="104"/>
    <s v="Warren"/>
    <s v="Kelvin Warren"/>
    <x v="0"/>
    <n v="54"/>
    <x v="0"/>
    <x v="9"/>
    <x v="305"/>
    <x v="0"/>
    <x v="4"/>
  </r>
  <r>
    <x v="89"/>
    <s v="Sullivan"/>
    <s v="Alissa Sullivan"/>
    <x v="1"/>
    <n v="32"/>
    <x v="1"/>
    <x v="46"/>
    <x v="306"/>
    <x v="0"/>
    <x v="1"/>
  </r>
  <r>
    <x v="26"/>
    <s v="Wilson"/>
    <s v="Edward Wilson"/>
    <x v="0"/>
    <n v="46"/>
    <x v="1"/>
    <x v="26"/>
    <x v="307"/>
    <x v="1"/>
    <x v="1"/>
  </r>
  <r>
    <x v="44"/>
    <s v="Higgins"/>
    <s v="Arnold Higgins"/>
    <x v="0"/>
    <n v="57"/>
    <x v="0"/>
    <x v="33"/>
    <x v="308"/>
    <x v="1"/>
    <x v="4"/>
  </r>
  <r>
    <x v="39"/>
    <s v="Barrett"/>
    <s v="Myra Barrett"/>
    <x v="1"/>
    <n v="48"/>
    <x v="1"/>
    <x v="51"/>
    <x v="309"/>
    <x v="0"/>
    <x v="5"/>
  </r>
  <r>
    <x v="7"/>
    <s v="Parker"/>
    <s v="Ashton Parker"/>
    <x v="0"/>
    <n v="49"/>
    <x v="1"/>
    <x v="19"/>
    <x v="310"/>
    <x v="1"/>
    <x v="4"/>
  </r>
  <r>
    <x v="138"/>
    <s v="Harris"/>
    <s v="Cadie Harris"/>
    <x v="1"/>
    <n v="47"/>
    <x v="1"/>
    <x v="27"/>
    <x v="311"/>
    <x v="0"/>
    <x v="4"/>
  </r>
  <r>
    <x v="144"/>
    <s v="Cole"/>
    <s v="Dexter Cole"/>
    <x v="0"/>
    <n v="33"/>
    <x v="1"/>
    <x v="24"/>
    <x v="312"/>
    <x v="1"/>
    <x v="2"/>
  </r>
  <r>
    <x v="158"/>
    <s v="Edwards"/>
    <s v="Blake Edwards"/>
    <x v="0"/>
    <n v="29"/>
    <x v="2"/>
    <x v="3"/>
    <x v="313"/>
    <x v="1"/>
    <x v="1"/>
  </r>
  <r>
    <x v="137"/>
    <s v="Richards"/>
    <s v="Chelsea Richards"/>
    <x v="1"/>
    <n v="42"/>
    <x v="1"/>
    <x v="14"/>
    <x v="314"/>
    <x v="1"/>
    <x v="4"/>
  </r>
  <r>
    <x v="27"/>
    <s v="Parker"/>
    <s v="Frederick Parker"/>
    <x v="0"/>
    <n v="57"/>
    <x v="0"/>
    <x v="42"/>
    <x v="315"/>
    <x v="1"/>
    <x v="5"/>
  </r>
  <r>
    <x v="50"/>
    <s v="Morris"/>
    <s v="April Morris"/>
    <x v="1"/>
    <n v="29"/>
    <x v="2"/>
    <x v="38"/>
    <x v="316"/>
    <x v="0"/>
    <x v="3"/>
  </r>
  <r>
    <x v="55"/>
    <s v="Grant"/>
    <s v="Kate Grant"/>
    <x v="1"/>
    <n v="35"/>
    <x v="1"/>
    <x v="5"/>
    <x v="317"/>
    <x v="1"/>
    <x v="5"/>
  </r>
  <r>
    <x v="143"/>
    <s v="Perry"/>
    <s v="Brianna Perry"/>
    <x v="1"/>
    <n v="38"/>
    <x v="1"/>
    <x v="52"/>
    <x v="8"/>
    <x v="0"/>
    <x v="0"/>
  </r>
  <r>
    <x v="13"/>
    <s v="Crawford"/>
    <s v="Amelia Crawford"/>
    <x v="1"/>
    <n v="35"/>
    <x v="1"/>
    <x v="20"/>
    <x v="318"/>
    <x v="1"/>
    <x v="3"/>
  </r>
  <r>
    <x v="107"/>
    <s v="Alexander"/>
    <s v="Paige Alexander"/>
    <x v="1"/>
    <n v="57"/>
    <x v="0"/>
    <x v="44"/>
    <x v="319"/>
    <x v="1"/>
    <x v="0"/>
  </r>
  <r>
    <x v="18"/>
    <s v="Moore"/>
    <s v="Alan Moore"/>
    <x v="0"/>
    <n v="25"/>
    <x v="2"/>
    <x v="37"/>
    <x v="320"/>
    <x v="1"/>
    <x v="3"/>
  </r>
  <r>
    <x v="98"/>
    <s v="Elliott"/>
    <s v="Arianna Elliott"/>
    <x v="1"/>
    <n v="23"/>
    <x v="2"/>
    <x v="44"/>
    <x v="321"/>
    <x v="0"/>
    <x v="0"/>
  </r>
  <r>
    <x v="159"/>
    <s v="Williams"/>
    <s v="Preston Williams"/>
    <x v="0"/>
    <n v="55"/>
    <x v="0"/>
    <x v="6"/>
    <x v="322"/>
    <x v="0"/>
    <x v="2"/>
  </r>
  <r>
    <x v="160"/>
    <s v="Cooper"/>
    <s v="Violet Cooper"/>
    <x v="1"/>
    <n v="60"/>
    <x v="0"/>
    <x v="13"/>
    <x v="323"/>
    <x v="0"/>
    <x v="0"/>
  </r>
  <r>
    <x v="87"/>
    <s v="Montgomery"/>
    <s v="Catherine Montgomery"/>
    <x v="1"/>
    <n v="37"/>
    <x v="1"/>
    <x v="17"/>
    <x v="324"/>
    <x v="1"/>
    <x v="4"/>
  </r>
  <r>
    <x v="161"/>
    <s v="Nelson"/>
    <s v="George Nelson"/>
    <x v="0"/>
    <n v="51"/>
    <x v="0"/>
    <x v="34"/>
    <x v="325"/>
    <x v="1"/>
    <x v="3"/>
  </r>
  <r>
    <x v="41"/>
    <s v="Walker"/>
    <s v="Honey Walker"/>
    <x v="1"/>
    <n v="37"/>
    <x v="1"/>
    <x v="2"/>
    <x v="326"/>
    <x v="1"/>
    <x v="2"/>
  </r>
  <r>
    <x v="140"/>
    <s v="Reed"/>
    <s v="Edwin Reed"/>
    <x v="0"/>
    <n v="23"/>
    <x v="2"/>
    <x v="40"/>
    <x v="327"/>
    <x v="1"/>
    <x v="1"/>
  </r>
  <r>
    <x v="10"/>
    <s v="Parker"/>
    <s v="Alina Parker"/>
    <x v="1"/>
    <n v="38"/>
    <x v="1"/>
    <x v="23"/>
    <x v="328"/>
    <x v="0"/>
    <x v="4"/>
  </r>
  <r>
    <x v="81"/>
    <s v="Allen"/>
    <s v="Elian Allen"/>
    <x v="0"/>
    <n v="27"/>
    <x v="2"/>
    <x v="1"/>
    <x v="329"/>
    <x v="1"/>
    <x v="3"/>
  </r>
  <r>
    <x v="31"/>
    <s v="Grant"/>
    <s v="Tara Grant"/>
    <x v="1"/>
    <n v="19"/>
    <x v="2"/>
    <x v="10"/>
    <x v="330"/>
    <x v="1"/>
    <x v="1"/>
  </r>
  <r>
    <x v="91"/>
    <s v="Cole"/>
    <s v="Maddie Cole"/>
    <x v="1"/>
    <n v="25"/>
    <x v="2"/>
    <x v="20"/>
    <x v="331"/>
    <x v="1"/>
    <x v="5"/>
  </r>
  <r>
    <x v="58"/>
    <s v="Wells"/>
    <s v="Maximilian Wells"/>
    <x v="0"/>
    <n v="19"/>
    <x v="2"/>
    <x v="1"/>
    <x v="242"/>
    <x v="1"/>
    <x v="3"/>
  </r>
  <r>
    <x v="130"/>
    <s v="Williams"/>
    <s v="Charlotte Williams"/>
    <x v="1"/>
    <n v="31"/>
    <x v="1"/>
    <x v="7"/>
    <x v="332"/>
    <x v="1"/>
    <x v="5"/>
  </r>
  <r>
    <x v="141"/>
    <s v="Harrison"/>
    <s v="Paul Harrison"/>
    <x v="0"/>
    <n v="34"/>
    <x v="1"/>
    <x v="49"/>
    <x v="333"/>
    <x v="0"/>
    <x v="4"/>
  </r>
  <r>
    <x v="99"/>
    <s v="Parker"/>
    <s v="Ryan Parker"/>
    <x v="0"/>
    <n v="40"/>
    <x v="1"/>
    <x v="16"/>
    <x v="334"/>
    <x v="0"/>
    <x v="3"/>
  </r>
  <r>
    <x v="110"/>
    <s v="Lloyd"/>
    <s v="Cherry Lloyd"/>
    <x v="1"/>
    <n v="18"/>
    <x v="2"/>
    <x v="46"/>
    <x v="335"/>
    <x v="1"/>
    <x v="3"/>
  </r>
  <r>
    <x v="162"/>
    <s v="Watson"/>
    <s v="Ted Watson"/>
    <x v="0"/>
    <n v="36"/>
    <x v="1"/>
    <x v="8"/>
    <x v="336"/>
    <x v="1"/>
    <x v="3"/>
  </r>
  <r>
    <x v="132"/>
    <s v="Robinson"/>
    <s v="Albert Robinson"/>
    <x v="0"/>
    <n v="31"/>
    <x v="1"/>
    <x v="35"/>
    <x v="337"/>
    <x v="1"/>
    <x v="1"/>
  </r>
  <r>
    <x v="163"/>
    <s v="Tucker"/>
    <s v="Elise Tucker"/>
    <x v="1"/>
    <n v="19"/>
    <x v="2"/>
    <x v="8"/>
    <x v="338"/>
    <x v="0"/>
    <x v="3"/>
  </r>
  <r>
    <x v="54"/>
    <s v="Elliott"/>
    <s v="Dale Elliott"/>
    <x v="0"/>
    <n v="44"/>
    <x v="1"/>
    <x v="44"/>
    <x v="339"/>
    <x v="1"/>
    <x v="3"/>
  </r>
  <r>
    <x v="2"/>
    <s v="Edwards"/>
    <s v="Charlie Edwards"/>
    <x v="0"/>
    <n v="21"/>
    <x v="2"/>
    <x v="42"/>
    <x v="340"/>
    <x v="1"/>
    <x v="2"/>
  </r>
  <r>
    <x v="164"/>
    <s v="Thomas"/>
    <s v="Eleanor Thomas"/>
    <x v="1"/>
    <n v="55"/>
    <x v="0"/>
    <x v="48"/>
    <x v="341"/>
    <x v="0"/>
    <x v="2"/>
  </r>
  <r>
    <x v="165"/>
    <s v="Mitchell"/>
    <s v="Maya Mitchell"/>
    <x v="1"/>
    <n v="34"/>
    <x v="1"/>
    <x v="3"/>
    <x v="342"/>
    <x v="0"/>
    <x v="5"/>
  </r>
  <r>
    <x v="15"/>
    <s v="Phillips"/>
    <s v="Edgar Phillips"/>
    <x v="0"/>
    <n v="23"/>
    <x v="2"/>
    <x v="24"/>
    <x v="343"/>
    <x v="1"/>
    <x v="2"/>
  </r>
  <r>
    <x v="15"/>
    <s v="Barnes"/>
    <s v="Edgar Barnes"/>
    <x v="0"/>
    <n v="54"/>
    <x v="0"/>
    <x v="50"/>
    <x v="344"/>
    <x v="1"/>
    <x v="4"/>
  </r>
  <r>
    <x v="20"/>
    <s v="Wright"/>
    <s v="Sawyer Wright"/>
    <x v="0"/>
    <n v="32"/>
    <x v="1"/>
    <x v="15"/>
    <x v="345"/>
    <x v="0"/>
    <x v="4"/>
  </r>
  <r>
    <x v="166"/>
    <s v="Hall"/>
    <s v="Edith Hall"/>
    <x v="1"/>
    <n v="18"/>
    <x v="2"/>
    <x v="17"/>
    <x v="346"/>
    <x v="1"/>
    <x v="5"/>
  </r>
  <r>
    <x v="47"/>
    <s v="Perkins"/>
    <s v="Jared Perkins"/>
    <x v="0"/>
    <n v="45"/>
    <x v="1"/>
    <x v="34"/>
    <x v="347"/>
    <x v="0"/>
    <x v="1"/>
  </r>
  <r>
    <x v="64"/>
    <s v="Armstrong"/>
    <s v="Tony Armstrong"/>
    <x v="0"/>
    <n v="30"/>
    <x v="2"/>
    <x v="13"/>
    <x v="348"/>
    <x v="1"/>
    <x v="4"/>
  </r>
  <r>
    <x v="94"/>
    <s v="Armstrong"/>
    <s v="Aiden Armstrong"/>
    <x v="0"/>
    <n v="39"/>
    <x v="1"/>
    <x v="8"/>
    <x v="349"/>
    <x v="1"/>
    <x v="5"/>
  </r>
  <r>
    <x v="154"/>
    <s v="Jones"/>
    <s v="Darcy Jones"/>
    <x v="1"/>
    <n v="35"/>
    <x v="1"/>
    <x v="7"/>
    <x v="350"/>
    <x v="0"/>
    <x v="3"/>
  </r>
  <r>
    <x v="113"/>
    <s v="Bailey"/>
    <s v="Lilianna Bailey"/>
    <x v="1"/>
    <n v="49"/>
    <x v="1"/>
    <x v="1"/>
    <x v="351"/>
    <x v="0"/>
    <x v="5"/>
  </r>
  <r>
    <x v="33"/>
    <s v="Douglas"/>
    <s v="Roman Douglas"/>
    <x v="0"/>
    <n v="22"/>
    <x v="2"/>
    <x v="44"/>
    <x v="352"/>
    <x v="1"/>
    <x v="4"/>
  </r>
  <r>
    <x v="123"/>
    <s v="Gray"/>
    <s v="Roland Gray"/>
    <x v="0"/>
    <n v="24"/>
    <x v="2"/>
    <x v="24"/>
    <x v="353"/>
    <x v="1"/>
    <x v="3"/>
  </r>
  <r>
    <x v="91"/>
    <s v="Perry"/>
    <s v="Maddie Perry"/>
    <x v="1"/>
    <n v="57"/>
    <x v="0"/>
    <x v="45"/>
    <x v="354"/>
    <x v="1"/>
    <x v="2"/>
  </r>
  <r>
    <x v="81"/>
    <s v="Scott"/>
    <s v="Elian Scott"/>
    <x v="0"/>
    <n v="23"/>
    <x v="2"/>
    <x v="4"/>
    <x v="355"/>
    <x v="1"/>
    <x v="1"/>
  </r>
  <r>
    <x v="72"/>
    <s v="Armstrong"/>
    <s v="Vincent Armstrong"/>
    <x v="0"/>
    <n v="33"/>
    <x v="1"/>
    <x v="8"/>
    <x v="356"/>
    <x v="0"/>
    <x v="2"/>
  </r>
  <r>
    <x v="104"/>
    <s v="Edwards"/>
    <s v="Kelvin Edwards"/>
    <x v="0"/>
    <n v="36"/>
    <x v="1"/>
    <x v="37"/>
    <x v="357"/>
    <x v="0"/>
    <x v="5"/>
  </r>
  <r>
    <x v="115"/>
    <s v="Armstrong"/>
    <s v="Thomas Armstrong"/>
    <x v="0"/>
    <n v="29"/>
    <x v="2"/>
    <x v="7"/>
    <x v="358"/>
    <x v="1"/>
    <x v="4"/>
  </r>
  <r>
    <x v="131"/>
    <s v="Watson"/>
    <s v="Julian Watson"/>
    <x v="0"/>
    <n v="45"/>
    <x v="1"/>
    <x v="36"/>
    <x v="359"/>
    <x v="0"/>
    <x v="3"/>
  </r>
  <r>
    <x v="61"/>
    <s v="Howard"/>
    <s v="Sienna Howard"/>
    <x v="1"/>
    <n v="28"/>
    <x v="2"/>
    <x v="27"/>
    <x v="360"/>
    <x v="0"/>
    <x v="0"/>
  </r>
  <r>
    <x v="167"/>
    <s v="Edwards"/>
    <s v="Aida Edwards"/>
    <x v="1"/>
    <n v="30"/>
    <x v="2"/>
    <x v="48"/>
    <x v="361"/>
    <x v="1"/>
    <x v="4"/>
  </r>
  <r>
    <x v="127"/>
    <s v="Montgomery"/>
    <s v="Rubie Montgomery"/>
    <x v="1"/>
    <n v="55"/>
    <x v="0"/>
    <x v="43"/>
    <x v="362"/>
    <x v="0"/>
    <x v="4"/>
  </r>
  <r>
    <x v="168"/>
    <s v="Cameron"/>
    <s v="Jessica Cameron"/>
    <x v="1"/>
    <n v="30"/>
    <x v="2"/>
    <x v="48"/>
    <x v="363"/>
    <x v="0"/>
    <x v="1"/>
  </r>
  <r>
    <x v="169"/>
    <s v="Sullivan"/>
    <s v="Chester Sullivan"/>
    <x v="0"/>
    <n v="44"/>
    <x v="1"/>
    <x v="3"/>
    <x v="364"/>
    <x v="1"/>
    <x v="5"/>
  </r>
  <r>
    <x v="98"/>
    <s v="Kelly"/>
    <s v="Arianna Kelly"/>
    <x v="1"/>
    <n v="23"/>
    <x v="2"/>
    <x v="41"/>
    <x v="365"/>
    <x v="1"/>
    <x v="5"/>
  </r>
  <r>
    <x v="7"/>
    <s v="Miller"/>
    <s v="Ashton Miller"/>
    <x v="0"/>
    <n v="54"/>
    <x v="0"/>
    <x v="30"/>
    <x v="366"/>
    <x v="0"/>
    <x v="1"/>
  </r>
  <r>
    <x v="5"/>
    <s v="Chapman"/>
    <s v="Lucas Chapman"/>
    <x v="0"/>
    <n v="60"/>
    <x v="0"/>
    <x v="11"/>
    <x v="367"/>
    <x v="1"/>
    <x v="0"/>
  </r>
  <r>
    <x v="51"/>
    <s v="Gray"/>
    <s v="Bruce Gray"/>
    <x v="0"/>
    <n v="19"/>
    <x v="2"/>
    <x v="39"/>
    <x v="368"/>
    <x v="1"/>
    <x v="2"/>
  </r>
  <r>
    <x v="170"/>
    <s v="Foster"/>
    <s v="Victoria Foster"/>
    <x v="1"/>
    <n v="26"/>
    <x v="2"/>
    <x v="40"/>
    <x v="369"/>
    <x v="0"/>
    <x v="5"/>
  </r>
  <r>
    <x v="171"/>
    <s v="Watson"/>
    <s v="Carlos Watson"/>
    <x v="0"/>
    <n v="51"/>
    <x v="0"/>
    <x v="1"/>
    <x v="370"/>
    <x v="1"/>
    <x v="0"/>
  </r>
  <r>
    <x v="72"/>
    <s v="Foster"/>
    <s v="Vincent Foster"/>
    <x v="0"/>
    <n v="31"/>
    <x v="1"/>
    <x v="43"/>
    <x v="371"/>
    <x v="1"/>
    <x v="5"/>
  </r>
  <r>
    <x v="115"/>
    <s v="Harris"/>
    <s v="Thomas Harris"/>
    <x v="0"/>
    <n v="36"/>
    <x v="1"/>
    <x v="23"/>
    <x v="372"/>
    <x v="0"/>
    <x v="1"/>
  </r>
  <r>
    <x v="172"/>
    <s v="Murray"/>
    <s v="Amber Murray"/>
    <x v="1"/>
    <n v="42"/>
    <x v="1"/>
    <x v="1"/>
    <x v="373"/>
    <x v="1"/>
    <x v="5"/>
  </r>
  <r>
    <x v="12"/>
    <s v="Brown"/>
    <s v="Kimberly Brown"/>
    <x v="1"/>
    <n v="43"/>
    <x v="1"/>
    <x v="21"/>
    <x v="374"/>
    <x v="1"/>
    <x v="5"/>
  </r>
  <r>
    <x v="140"/>
    <s v="Douglas"/>
    <s v="Edwin Douglas"/>
    <x v="0"/>
    <n v="46"/>
    <x v="1"/>
    <x v="18"/>
    <x v="375"/>
    <x v="0"/>
    <x v="3"/>
  </r>
  <r>
    <x v="11"/>
    <s v="Smith"/>
    <s v="Tiana Smith"/>
    <x v="1"/>
    <n v="32"/>
    <x v="1"/>
    <x v="42"/>
    <x v="376"/>
    <x v="0"/>
    <x v="5"/>
  </r>
  <r>
    <x v="116"/>
    <s v="Riley"/>
    <s v="Kristian Riley"/>
    <x v="0"/>
    <n v="40"/>
    <x v="1"/>
    <x v="12"/>
    <x v="377"/>
    <x v="0"/>
    <x v="5"/>
  </r>
  <r>
    <x v="14"/>
    <s v="Tucker"/>
    <s v="Connie Tucker"/>
    <x v="1"/>
    <n v="39"/>
    <x v="1"/>
    <x v="19"/>
    <x v="378"/>
    <x v="1"/>
    <x v="5"/>
  </r>
  <r>
    <x v="37"/>
    <s v="Robinson"/>
    <s v="Emma Robinson"/>
    <x v="1"/>
    <n v="29"/>
    <x v="2"/>
    <x v="6"/>
    <x v="379"/>
    <x v="1"/>
    <x v="1"/>
  </r>
  <r>
    <x v="31"/>
    <s v="Thomas"/>
    <s v="Tara Thomas"/>
    <x v="1"/>
    <n v="36"/>
    <x v="1"/>
    <x v="18"/>
    <x v="380"/>
    <x v="1"/>
    <x v="2"/>
  </r>
  <r>
    <x v="69"/>
    <s v="Robinson"/>
    <s v="Camila Robinson"/>
    <x v="1"/>
    <n v="50"/>
    <x v="1"/>
    <x v="18"/>
    <x v="381"/>
    <x v="0"/>
    <x v="1"/>
  </r>
  <r>
    <x v="86"/>
    <s v="Wilson"/>
    <s v="Garry Wilson"/>
    <x v="0"/>
    <n v="28"/>
    <x v="2"/>
    <x v="35"/>
    <x v="382"/>
    <x v="0"/>
    <x v="5"/>
  </r>
  <r>
    <x v="159"/>
    <s v="Moore"/>
    <s v="Preston Moore"/>
    <x v="0"/>
    <n v="57"/>
    <x v="0"/>
    <x v="26"/>
    <x v="383"/>
    <x v="0"/>
    <x v="1"/>
  </r>
  <r>
    <x v="53"/>
    <s v="Allen"/>
    <s v="Nicole Allen"/>
    <x v="1"/>
    <n v="28"/>
    <x v="2"/>
    <x v="15"/>
    <x v="384"/>
    <x v="1"/>
    <x v="2"/>
  </r>
  <r>
    <x v="48"/>
    <s v="Parker"/>
    <s v="Sarah Parker"/>
    <x v="1"/>
    <n v="46"/>
    <x v="1"/>
    <x v="48"/>
    <x v="385"/>
    <x v="1"/>
    <x v="1"/>
  </r>
  <r>
    <x v="57"/>
    <s v="Kelley"/>
    <s v="Kevin Kelley"/>
    <x v="0"/>
    <n v="30"/>
    <x v="2"/>
    <x v="9"/>
    <x v="386"/>
    <x v="0"/>
    <x v="1"/>
  </r>
  <r>
    <x v="160"/>
    <s v="Stewart"/>
    <s v="Violet Stewart"/>
    <x v="1"/>
    <n v="37"/>
    <x v="1"/>
    <x v="12"/>
    <x v="387"/>
    <x v="1"/>
    <x v="4"/>
  </r>
  <r>
    <x v="95"/>
    <s v="Roberts"/>
    <s v="Marcus Roberts"/>
    <x v="0"/>
    <n v="42"/>
    <x v="1"/>
    <x v="9"/>
    <x v="388"/>
    <x v="1"/>
    <x v="3"/>
  </r>
  <r>
    <x v="163"/>
    <s v="Bennett"/>
    <s v="Elise Bennett"/>
    <x v="1"/>
    <n v="20"/>
    <x v="2"/>
    <x v="21"/>
    <x v="389"/>
    <x v="1"/>
    <x v="1"/>
  </r>
  <r>
    <x v="1"/>
    <s v="Murphy"/>
    <s v="Grace Murphy"/>
    <x v="1"/>
    <n v="20"/>
    <x v="2"/>
    <x v="31"/>
    <x v="390"/>
    <x v="0"/>
    <x v="2"/>
  </r>
  <r>
    <x v="101"/>
    <s v="Harris"/>
    <s v="Savana Harris"/>
    <x v="1"/>
    <n v="31"/>
    <x v="1"/>
    <x v="17"/>
    <x v="391"/>
    <x v="1"/>
    <x v="2"/>
  </r>
  <r>
    <x v="151"/>
    <s v="Owens"/>
    <s v="Rafael Owens"/>
    <x v="0"/>
    <n v="18"/>
    <x v="2"/>
    <x v="38"/>
    <x v="392"/>
    <x v="1"/>
    <x v="5"/>
  </r>
  <r>
    <x v="173"/>
    <s v="Watson"/>
    <s v="Evelyn Watson"/>
    <x v="1"/>
    <n v="48"/>
    <x v="1"/>
    <x v="50"/>
    <x v="393"/>
    <x v="0"/>
    <x v="5"/>
  </r>
  <r>
    <x v="100"/>
    <s v="Myers"/>
    <s v="David Myers"/>
    <x v="0"/>
    <n v="23"/>
    <x v="2"/>
    <x v="1"/>
    <x v="394"/>
    <x v="0"/>
    <x v="0"/>
  </r>
  <r>
    <x v="120"/>
    <s v="Kelley"/>
    <s v="Aldus Kelley"/>
    <x v="0"/>
    <n v="21"/>
    <x v="2"/>
    <x v="50"/>
    <x v="395"/>
    <x v="0"/>
    <x v="4"/>
  </r>
  <r>
    <x v="134"/>
    <s v="Richards"/>
    <s v="Oscar Richards"/>
    <x v="0"/>
    <n v="19"/>
    <x v="2"/>
    <x v="50"/>
    <x v="396"/>
    <x v="0"/>
    <x v="0"/>
  </r>
  <r>
    <x v="39"/>
    <s v="Montgomery"/>
    <s v="Myra Montgomery"/>
    <x v="1"/>
    <n v="60"/>
    <x v="0"/>
    <x v="29"/>
    <x v="397"/>
    <x v="0"/>
    <x v="5"/>
  </r>
  <r>
    <x v="174"/>
    <s v="Perry"/>
    <s v="Kirsten Perry"/>
    <x v="1"/>
    <n v="30"/>
    <x v="2"/>
    <x v="31"/>
    <x v="398"/>
    <x v="1"/>
    <x v="5"/>
  </r>
  <r>
    <x v="97"/>
    <s v="Hall"/>
    <s v="Carina Hall"/>
    <x v="1"/>
    <n v="22"/>
    <x v="2"/>
    <x v="38"/>
    <x v="399"/>
    <x v="1"/>
    <x v="2"/>
  </r>
  <r>
    <x v="91"/>
    <s v="Thomas"/>
    <s v="Maddie Thomas"/>
    <x v="1"/>
    <n v="25"/>
    <x v="2"/>
    <x v="33"/>
    <x v="400"/>
    <x v="0"/>
    <x v="3"/>
  </r>
  <r>
    <x v="110"/>
    <s v="Ryan"/>
    <s v="Cherry Ryan"/>
    <x v="1"/>
    <n v="32"/>
    <x v="1"/>
    <x v="36"/>
    <x v="401"/>
    <x v="0"/>
    <x v="1"/>
  </r>
  <r>
    <x v="47"/>
    <s v="Carter"/>
    <s v="Jared Carter"/>
    <x v="0"/>
    <n v="22"/>
    <x v="2"/>
    <x v="28"/>
    <x v="402"/>
    <x v="0"/>
    <x v="0"/>
  </r>
  <r>
    <x v="123"/>
    <s v="Watson"/>
    <s v="Roland Watson"/>
    <x v="0"/>
    <n v="42"/>
    <x v="1"/>
    <x v="1"/>
    <x v="403"/>
    <x v="1"/>
    <x v="5"/>
  </r>
  <r>
    <x v="112"/>
    <s v="Casey"/>
    <s v="Vivian Casey"/>
    <x v="1"/>
    <n v="46"/>
    <x v="1"/>
    <x v="40"/>
    <x v="404"/>
    <x v="0"/>
    <x v="3"/>
  </r>
  <r>
    <x v="5"/>
    <s v="Kelly"/>
    <s v="Lucas Kelly"/>
    <x v="0"/>
    <n v="48"/>
    <x v="1"/>
    <x v="49"/>
    <x v="405"/>
    <x v="1"/>
    <x v="5"/>
  </r>
  <r>
    <x v="175"/>
    <s v="Cameron"/>
    <s v="Lucia Cameron"/>
    <x v="1"/>
    <n v="42"/>
    <x v="1"/>
    <x v="13"/>
    <x v="406"/>
    <x v="1"/>
    <x v="3"/>
  </r>
  <r>
    <x v="150"/>
    <s v="Brooks"/>
    <s v="Sam Brooks"/>
    <x v="0"/>
    <n v="35"/>
    <x v="1"/>
    <x v="37"/>
    <x v="407"/>
    <x v="1"/>
    <x v="0"/>
  </r>
  <r>
    <x v="114"/>
    <s v="Foster"/>
    <s v="Deanna Foster"/>
    <x v="1"/>
    <n v="55"/>
    <x v="0"/>
    <x v="14"/>
    <x v="408"/>
    <x v="1"/>
    <x v="0"/>
  </r>
  <r>
    <x v="103"/>
    <s v="Cole"/>
    <s v="Fiona Cole"/>
    <x v="1"/>
    <n v="28"/>
    <x v="2"/>
    <x v="29"/>
    <x v="409"/>
    <x v="0"/>
    <x v="5"/>
  </r>
  <r>
    <x v="118"/>
    <s v="Thompson"/>
    <s v="Adelaide Thompson"/>
    <x v="1"/>
    <n v="48"/>
    <x v="1"/>
    <x v="42"/>
    <x v="410"/>
    <x v="1"/>
    <x v="1"/>
  </r>
  <r>
    <x v="17"/>
    <s v="Walker"/>
    <s v="Richard Walker"/>
    <x v="0"/>
    <n v="29"/>
    <x v="2"/>
    <x v="21"/>
    <x v="411"/>
    <x v="1"/>
    <x v="3"/>
  </r>
  <r>
    <x v="144"/>
    <s v="Higgins"/>
    <s v="Dexter Higgins"/>
    <x v="0"/>
    <n v="20"/>
    <x v="2"/>
    <x v="35"/>
    <x v="412"/>
    <x v="1"/>
    <x v="3"/>
  </r>
  <r>
    <x v="90"/>
    <s v="Hunt"/>
    <s v="Spike Hunt"/>
    <x v="0"/>
    <n v="25"/>
    <x v="2"/>
    <x v="8"/>
    <x v="413"/>
    <x v="1"/>
    <x v="4"/>
  </r>
  <r>
    <x v="98"/>
    <s v="Walker"/>
    <s v="Arianna Walker"/>
    <x v="1"/>
    <n v="26"/>
    <x v="2"/>
    <x v="49"/>
    <x v="414"/>
    <x v="1"/>
    <x v="4"/>
  </r>
  <r>
    <x v="100"/>
    <s v="Barrett"/>
    <s v="David Barrett"/>
    <x v="0"/>
    <n v="42"/>
    <x v="1"/>
    <x v="25"/>
    <x v="415"/>
    <x v="0"/>
    <x v="3"/>
  </r>
  <r>
    <x v="16"/>
    <s v="Kelly"/>
    <s v="Steven Kelly"/>
    <x v="0"/>
    <n v="40"/>
    <x v="1"/>
    <x v="7"/>
    <x v="416"/>
    <x v="1"/>
    <x v="0"/>
  </r>
  <r>
    <x v="168"/>
    <s v="Ellis"/>
    <s v="Jessica Ellis"/>
    <x v="1"/>
    <n v="29"/>
    <x v="2"/>
    <x v="16"/>
    <x v="417"/>
    <x v="0"/>
    <x v="4"/>
  </r>
  <r>
    <x v="23"/>
    <s v="Warren"/>
    <s v="Walter Warren"/>
    <x v="0"/>
    <n v="32"/>
    <x v="1"/>
    <x v="38"/>
    <x v="418"/>
    <x v="1"/>
    <x v="3"/>
  </r>
  <r>
    <x v="165"/>
    <s v="Thomas"/>
    <s v="Maya Thomas"/>
    <x v="1"/>
    <n v="52"/>
    <x v="0"/>
    <x v="46"/>
    <x v="419"/>
    <x v="0"/>
    <x v="4"/>
  </r>
  <r>
    <x v="11"/>
    <s v="Adams"/>
    <s v="Tiana Adams"/>
    <x v="1"/>
    <n v="25"/>
    <x v="2"/>
    <x v="4"/>
    <x v="420"/>
    <x v="0"/>
    <x v="2"/>
  </r>
  <r>
    <x v="110"/>
    <s v="Tucker"/>
    <s v="Cherry Tucker"/>
    <x v="1"/>
    <n v="51"/>
    <x v="0"/>
    <x v="3"/>
    <x v="421"/>
    <x v="1"/>
    <x v="1"/>
  </r>
  <r>
    <x v="176"/>
    <s v="Dixon"/>
    <s v="Justin Dixon"/>
    <x v="0"/>
    <n v="33"/>
    <x v="1"/>
    <x v="42"/>
    <x v="422"/>
    <x v="0"/>
    <x v="1"/>
  </r>
  <r>
    <x v="121"/>
    <s v="Henderson"/>
    <s v="Mike Henderson"/>
    <x v="0"/>
    <n v="50"/>
    <x v="1"/>
    <x v="7"/>
    <x v="423"/>
    <x v="0"/>
    <x v="3"/>
  </r>
  <r>
    <x v="25"/>
    <s v="Hunt"/>
    <s v="Lucy Hunt"/>
    <x v="1"/>
    <n v="28"/>
    <x v="2"/>
    <x v="46"/>
    <x v="424"/>
    <x v="0"/>
    <x v="1"/>
  </r>
  <r>
    <x v="6"/>
    <s v="Cameron"/>
    <s v="Belinda Cameron"/>
    <x v="1"/>
    <n v="20"/>
    <x v="2"/>
    <x v="16"/>
    <x v="425"/>
    <x v="1"/>
    <x v="0"/>
  </r>
  <r>
    <x v="177"/>
    <s v="Elliott"/>
    <s v="Alford Elliott"/>
    <x v="0"/>
    <n v="49"/>
    <x v="1"/>
    <x v="40"/>
    <x v="426"/>
    <x v="0"/>
    <x v="2"/>
  </r>
  <r>
    <x v="80"/>
    <s v="Watson"/>
    <s v="Arthur Watson"/>
    <x v="0"/>
    <n v="52"/>
    <x v="0"/>
    <x v="17"/>
    <x v="427"/>
    <x v="1"/>
    <x v="1"/>
  </r>
  <r>
    <x v="178"/>
    <s v="Myers"/>
    <s v="Natalie Myers"/>
    <x v="1"/>
    <n v="35"/>
    <x v="1"/>
    <x v="4"/>
    <x v="428"/>
    <x v="0"/>
    <x v="4"/>
  </r>
  <r>
    <x v="81"/>
    <s v="Hill"/>
    <s v="Elian Hill"/>
    <x v="0"/>
    <n v="22"/>
    <x v="2"/>
    <x v="44"/>
    <x v="429"/>
    <x v="0"/>
    <x v="0"/>
  </r>
  <r>
    <x v="41"/>
    <s v="Carroll"/>
    <s v="Honey Carroll"/>
    <x v="1"/>
    <n v="23"/>
    <x v="2"/>
    <x v="28"/>
    <x v="430"/>
    <x v="0"/>
    <x v="0"/>
  </r>
  <r>
    <x v="35"/>
    <s v="Howard"/>
    <s v="Valeria Howard"/>
    <x v="1"/>
    <n v="27"/>
    <x v="2"/>
    <x v="40"/>
    <x v="431"/>
    <x v="0"/>
    <x v="4"/>
  </r>
  <r>
    <x v="171"/>
    <s v="Hunt"/>
    <s v="Carlos Hunt"/>
    <x v="0"/>
    <n v="42"/>
    <x v="1"/>
    <x v="43"/>
    <x v="432"/>
    <x v="1"/>
    <x v="5"/>
  </r>
  <r>
    <x v="131"/>
    <s v="Scott"/>
    <s v="Julian Scott"/>
    <x v="0"/>
    <n v="40"/>
    <x v="1"/>
    <x v="11"/>
    <x v="433"/>
    <x v="0"/>
    <x v="3"/>
  </r>
  <r>
    <x v="69"/>
    <s v="Cameron"/>
    <s v="Camila Cameron"/>
    <x v="1"/>
    <n v="36"/>
    <x v="1"/>
    <x v="47"/>
    <x v="434"/>
    <x v="1"/>
    <x v="0"/>
  </r>
  <r>
    <x v="174"/>
    <s v="Wilson"/>
    <s v="Kirsten Wilson"/>
    <x v="1"/>
    <n v="27"/>
    <x v="2"/>
    <x v="34"/>
    <x v="435"/>
    <x v="1"/>
    <x v="5"/>
  </r>
  <r>
    <x v="126"/>
    <s v="Bailey"/>
    <s v="Adison Bailey"/>
    <x v="0"/>
    <n v="44"/>
    <x v="1"/>
    <x v="32"/>
    <x v="436"/>
    <x v="0"/>
    <x v="1"/>
  </r>
  <r>
    <x v="97"/>
    <s v="Henderson"/>
    <s v="Carina Henderson"/>
    <x v="1"/>
    <n v="57"/>
    <x v="0"/>
    <x v="17"/>
    <x v="437"/>
    <x v="0"/>
    <x v="5"/>
  </r>
  <r>
    <x v="129"/>
    <s v="Riley"/>
    <s v="Melanie Riley"/>
    <x v="1"/>
    <n v="48"/>
    <x v="1"/>
    <x v="18"/>
    <x v="438"/>
    <x v="1"/>
    <x v="3"/>
  </r>
  <r>
    <x v="99"/>
    <s v="Hawkins"/>
    <s v="Ryan Hawkins"/>
    <x v="0"/>
    <n v="21"/>
    <x v="2"/>
    <x v="29"/>
    <x v="439"/>
    <x v="0"/>
    <x v="5"/>
  </r>
  <r>
    <x v="14"/>
    <s v="Chapman"/>
    <s v="Connie Chapman"/>
    <x v="1"/>
    <n v="52"/>
    <x v="0"/>
    <x v="23"/>
    <x v="440"/>
    <x v="0"/>
    <x v="4"/>
  </r>
  <r>
    <x v="148"/>
    <s v="Rogers"/>
    <s v="Kelsey Rogers"/>
    <x v="1"/>
    <n v="35"/>
    <x v="1"/>
    <x v="27"/>
    <x v="441"/>
    <x v="0"/>
    <x v="3"/>
  </r>
  <r>
    <x v="10"/>
    <s v="Edwards"/>
    <s v="Alina Edwards"/>
    <x v="1"/>
    <n v="49"/>
    <x v="1"/>
    <x v="19"/>
    <x v="442"/>
    <x v="1"/>
    <x v="2"/>
  </r>
  <r>
    <x v="80"/>
    <s v="Myers"/>
    <s v="Arthur Myers"/>
    <x v="0"/>
    <n v="54"/>
    <x v="0"/>
    <x v="31"/>
    <x v="443"/>
    <x v="1"/>
    <x v="3"/>
  </r>
  <r>
    <x v="9"/>
    <s v="Andrews"/>
    <s v="Tyler Andrews"/>
    <x v="0"/>
    <n v="33"/>
    <x v="1"/>
    <x v="8"/>
    <x v="444"/>
    <x v="1"/>
    <x v="0"/>
  </r>
  <r>
    <x v="97"/>
    <s v="Sullivan"/>
    <s v="Carina Sullivan"/>
    <x v="1"/>
    <n v="41"/>
    <x v="1"/>
    <x v="51"/>
    <x v="445"/>
    <x v="1"/>
    <x v="2"/>
  </r>
  <r>
    <x v="80"/>
    <s v="Kelley"/>
    <s v="Arthur Kelley"/>
    <x v="0"/>
    <n v="49"/>
    <x v="1"/>
    <x v="43"/>
    <x v="446"/>
    <x v="1"/>
    <x v="0"/>
  </r>
  <r>
    <x v="67"/>
    <s v="Alexander"/>
    <s v="Michael Alexander"/>
    <x v="0"/>
    <n v="50"/>
    <x v="1"/>
    <x v="29"/>
    <x v="447"/>
    <x v="1"/>
    <x v="4"/>
  </r>
  <r>
    <x v="119"/>
    <s v="Williams"/>
    <s v="James Williams"/>
    <x v="0"/>
    <n v="46"/>
    <x v="1"/>
    <x v="14"/>
    <x v="448"/>
    <x v="0"/>
    <x v="2"/>
  </r>
  <r>
    <x v="55"/>
    <s v="Casey"/>
    <s v="Kate Casey"/>
    <x v="1"/>
    <n v="49"/>
    <x v="1"/>
    <x v="31"/>
    <x v="449"/>
    <x v="1"/>
    <x v="4"/>
  </r>
  <r>
    <x v="169"/>
    <s v="Casey"/>
    <s v="Chester Casey"/>
    <x v="0"/>
    <n v="44"/>
    <x v="1"/>
    <x v="33"/>
    <x v="450"/>
    <x v="0"/>
    <x v="0"/>
  </r>
  <r>
    <x v="68"/>
    <s v="Adams"/>
    <s v="Robert Adams"/>
    <x v="0"/>
    <n v="39"/>
    <x v="1"/>
    <x v="25"/>
    <x v="451"/>
    <x v="0"/>
    <x v="5"/>
  </r>
  <r>
    <x v="10"/>
    <s v="Brooks"/>
    <s v="Alina Brooks"/>
    <x v="1"/>
    <n v="39"/>
    <x v="1"/>
    <x v="43"/>
    <x v="452"/>
    <x v="1"/>
    <x v="2"/>
  </r>
  <r>
    <x v="92"/>
    <s v="Sullivan"/>
    <s v="Agata Sullivan"/>
    <x v="1"/>
    <n v="24"/>
    <x v="2"/>
    <x v="12"/>
    <x v="453"/>
    <x v="1"/>
    <x v="1"/>
  </r>
  <r>
    <x v="179"/>
    <s v="Howard"/>
    <s v="Melissa Howard"/>
    <x v="1"/>
    <n v="22"/>
    <x v="2"/>
    <x v="21"/>
    <x v="454"/>
    <x v="1"/>
    <x v="3"/>
  </r>
  <r>
    <x v="106"/>
    <s v="Edwards"/>
    <s v="Ada Edwards"/>
    <x v="1"/>
    <n v="41"/>
    <x v="1"/>
    <x v="39"/>
    <x v="455"/>
    <x v="1"/>
    <x v="3"/>
  </r>
  <r>
    <x v="109"/>
    <s v="Farrell"/>
    <s v="Adrian Farrell"/>
    <x v="0"/>
    <n v="39"/>
    <x v="1"/>
    <x v="41"/>
    <x v="211"/>
    <x v="1"/>
    <x v="0"/>
  </r>
  <r>
    <x v="180"/>
    <s v="Ryan"/>
    <s v="Abigail Ryan"/>
    <x v="1"/>
    <n v="55"/>
    <x v="0"/>
    <x v="16"/>
    <x v="456"/>
    <x v="0"/>
    <x v="2"/>
  </r>
  <r>
    <x v="127"/>
    <s v="Phillips"/>
    <s v="Rubie Phillips"/>
    <x v="1"/>
    <n v="48"/>
    <x v="1"/>
    <x v="45"/>
    <x v="457"/>
    <x v="0"/>
    <x v="1"/>
  </r>
  <r>
    <x v="161"/>
    <s v="Adams"/>
    <s v="George Adams"/>
    <x v="0"/>
    <n v="44"/>
    <x v="1"/>
    <x v="45"/>
    <x v="458"/>
    <x v="1"/>
    <x v="3"/>
  </r>
  <r>
    <x v="163"/>
    <s v="Smith"/>
    <s v="Elise Smith"/>
    <x v="1"/>
    <n v="48"/>
    <x v="1"/>
    <x v="11"/>
    <x v="459"/>
    <x v="0"/>
    <x v="3"/>
  </r>
  <r>
    <x v="132"/>
    <s v="Cameron"/>
    <s v="Albert Cameron"/>
    <x v="0"/>
    <n v="55"/>
    <x v="0"/>
    <x v="41"/>
    <x v="460"/>
    <x v="0"/>
    <x v="4"/>
  </r>
  <r>
    <x v="157"/>
    <s v="Thomas"/>
    <s v="Penelope Thomas"/>
    <x v="1"/>
    <n v="34"/>
    <x v="1"/>
    <x v="47"/>
    <x v="461"/>
    <x v="1"/>
    <x v="4"/>
  </r>
  <r>
    <x v="181"/>
    <s v="Parker"/>
    <s v="Annabella Parker"/>
    <x v="1"/>
    <n v="35"/>
    <x v="1"/>
    <x v="9"/>
    <x v="462"/>
    <x v="0"/>
    <x v="3"/>
  </r>
  <r>
    <x v="164"/>
    <s v="Morgan"/>
    <s v="Eleanor Morgan"/>
    <x v="1"/>
    <n v="33"/>
    <x v="1"/>
    <x v="1"/>
    <x v="463"/>
    <x v="0"/>
    <x v="2"/>
  </r>
  <r>
    <x v="63"/>
    <s v="Gray"/>
    <s v="Heather Gray"/>
    <x v="1"/>
    <n v="50"/>
    <x v="1"/>
    <x v="28"/>
    <x v="464"/>
    <x v="0"/>
    <x v="5"/>
  </r>
  <r>
    <x v="98"/>
    <s v="Andrews"/>
    <s v="Arianna Andrews"/>
    <x v="1"/>
    <n v="29"/>
    <x v="2"/>
    <x v="32"/>
    <x v="465"/>
    <x v="0"/>
    <x v="3"/>
  </r>
  <r>
    <x v="115"/>
    <s v="Hill"/>
    <s v="Thomas Hill"/>
    <x v="0"/>
    <n v="53"/>
    <x v="0"/>
    <x v="15"/>
    <x v="466"/>
    <x v="0"/>
    <x v="1"/>
  </r>
  <r>
    <x v="61"/>
    <s v="Anderson"/>
    <s v="Sienna Anderson"/>
    <x v="1"/>
    <n v="33"/>
    <x v="1"/>
    <x v="50"/>
    <x v="467"/>
    <x v="1"/>
    <x v="4"/>
  </r>
  <r>
    <x v="63"/>
    <s v="Morris"/>
    <s v="Heather Morris"/>
    <x v="1"/>
    <n v="53"/>
    <x v="0"/>
    <x v="13"/>
    <x v="468"/>
    <x v="1"/>
    <x v="3"/>
  </r>
  <r>
    <x v="115"/>
    <s v="Harper"/>
    <s v="Thomas Harper"/>
    <x v="0"/>
    <n v="44"/>
    <x v="1"/>
    <x v="27"/>
    <x v="469"/>
    <x v="0"/>
    <x v="0"/>
  </r>
  <r>
    <x v="182"/>
    <s v="Barnes"/>
    <s v="Alfred Barnes"/>
    <x v="0"/>
    <n v="28"/>
    <x v="2"/>
    <x v="47"/>
    <x v="470"/>
    <x v="1"/>
    <x v="2"/>
  </r>
  <r>
    <x v="122"/>
    <s v="Craig"/>
    <s v="Audrey Craig"/>
    <x v="1"/>
    <n v="23"/>
    <x v="2"/>
    <x v="4"/>
    <x v="471"/>
    <x v="1"/>
    <x v="4"/>
  </r>
  <r>
    <x v="18"/>
    <s v="Watson"/>
    <s v="Alan Watson"/>
    <x v="0"/>
    <n v="46"/>
    <x v="1"/>
    <x v="14"/>
    <x v="472"/>
    <x v="1"/>
    <x v="1"/>
  </r>
  <r>
    <x v="0"/>
    <s v="Jones"/>
    <s v="Jacob Jones"/>
    <x v="0"/>
    <n v="19"/>
    <x v="2"/>
    <x v="52"/>
    <x v="473"/>
    <x v="0"/>
    <x v="1"/>
  </r>
  <r>
    <x v="18"/>
    <s v="Payne"/>
    <s v="Alan Payne"/>
    <x v="0"/>
    <n v="44"/>
    <x v="1"/>
    <x v="1"/>
    <x v="474"/>
    <x v="0"/>
    <x v="5"/>
  </r>
  <r>
    <x v="132"/>
    <s v="Myers"/>
    <s v="Albert Myers"/>
    <x v="0"/>
    <n v="32"/>
    <x v="1"/>
    <x v="51"/>
    <x v="475"/>
    <x v="1"/>
    <x v="5"/>
  </r>
  <r>
    <x v="181"/>
    <s v="Evans"/>
    <s v="Annabella Evans"/>
    <x v="1"/>
    <n v="22"/>
    <x v="2"/>
    <x v="28"/>
    <x v="476"/>
    <x v="1"/>
    <x v="5"/>
  </r>
  <r>
    <x v="58"/>
    <s v="Perry"/>
    <s v="Maximilian Perry"/>
    <x v="0"/>
    <n v="51"/>
    <x v="0"/>
    <x v="21"/>
    <x v="477"/>
    <x v="0"/>
    <x v="0"/>
  </r>
  <r>
    <x v="170"/>
    <s v="Perkins"/>
    <s v="Victoria Perkins"/>
    <x v="1"/>
    <n v="57"/>
    <x v="0"/>
    <x v="0"/>
    <x v="478"/>
    <x v="0"/>
    <x v="1"/>
  </r>
  <r>
    <x v="119"/>
    <s v="Harrison"/>
    <s v="James Harrison"/>
    <x v="0"/>
    <n v="54"/>
    <x v="0"/>
    <x v="11"/>
    <x v="479"/>
    <x v="1"/>
    <x v="3"/>
  </r>
  <r>
    <x v="66"/>
    <s v="Hill"/>
    <s v="Alen Hill"/>
    <x v="0"/>
    <n v="55"/>
    <x v="0"/>
    <x v="4"/>
    <x v="480"/>
    <x v="0"/>
    <x v="1"/>
  </r>
  <r>
    <x v="81"/>
    <s v="Stevens"/>
    <s v="Elian Stevens"/>
    <x v="0"/>
    <n v="60"/>
    <x v="0"/>
    <x v="12"/>
    <x v="481"/>
    <x v="1"/>
    <x v="0"/>
  </r>
  <r>
    <x v="126"/>
    <s v="Harper"/>
    <s v="Adison Harper"/>
    <x v="0"/>
    <n v="20"/>
    <x v="2"/>
    <x v="20"/>
    <x v="482"/>
    <x v="1"/>
    <x v="0"/>
  </r>
  <r>
    <x v="97"/>
    <s v="Edwards"/>
    <s v="Carina Edwards"/>
    <x v="1"/>
    <n v="54"/>
    <x v="0"/>
    <x v="29"/>
    <x v="483"/>
    <x v="0"/>
    <x v="0"/>
  </r>
  <r>
    <x v="15"/>
    <s v="Richardson"/>
    <s v="Edgar Richardson"/>
    <x v="0"/>
    <n v="23"/>
    <x v="2"/>
    <x v="46"/>
    <x v="484"/>
    <x v="1"/>
    <x v="2"/>
  </r>
  <r>
    <x v="135"/>
    <s v="Fowler"/>
    <s v="Reid Fowler"/>
    <x v="0"/>
    <n v="55"/>
    <x v="0"/>
    <x v="30"/>
    <x v="485"/>
    <x v="1"/>
    <x v="1"/>
  </r>
  <r>
    <x v="41"/>
    <s v="Owens"/>
    <s v="Honey Owens"/>
    <x v="1"/>
    <n v="32"/>
    <x v="1"/>
    <x v="22"/>
    <x v="486"/>
    <x v="1"/>
    <x v="5"/>
  </r>
  <r>
    <x v="70"/>
    <s v="Baker"/>
    <s v="Owen Baker"/>
    <x v="0"/>
    <n v="53"/>
    <x v="0"/>
    <x v="52"/>
    <x v="487"/>
    <x v="1"/>
    <x v="4"/>
  </r>
  <r>
    <x v="13"/>
    <s v="Perry"/>
    <s v="Amelia Perry"/>
    <x v="1"/>
    <n v="18"/>
    <x v="2"/>
    <x v="29"/>
    <x v="488"/>
    <x v="0"/>
    <x v="4"/>
  </r>
  <r>
    <x v="85"/>
    <s v="Ross"/>
    <s v="Rosie Ross"/>
    <x v="1"/>
    <n v="33"/>
    <x v="1"/>
    <x v="39"/>
    <x v="489"/>
    <x v="1"/>
    <x v="1"/>
  </r>
  <r>
    <x v="170"/>
    <s v="Stewart"/>
    <s v="Victoria Stewart"/>
    <x v="1"/>
    <n v="45"/>
    <x v="1"/>
    <x v="8"/>
    <x v="490"/>
    <x v="0"/>
    <x v="2"/>
  </r>
  <r>
    <x v="34"/>
    <s v="Roberts"/>
    <s v="Eddy Roberts"/>
    <x v="0"/>
    <n v="29"/>
    <x v="2"/>
    <x v="1"/>
    <x v="491"/>
    <x v="0"/>
    <x v="1"/>
  </r>
  <r>
    <x v="42"/>
    <s v="Chapman"/>
    <s v="Jordan Chapman"/>
    <x v="0"/>
    <n v="19"/>
    <x v="2"/>
    <x v="9"/>
    <x v="492"/>
    <x v="0"/>
    <x v="3"/>
  </r>
  <r>
    <x v="51"/>
    <s v="Thompson"/>
    <s v="Bruce Thompson"/>
    <x v="0"/>
    <n v="29"/>
    <x v="2"/>
    <x v="35"/>
    <x v="493"/>
    <x v="1"/>
    <x v="4"/>
  </r>
  <r>
    <x v="13"/>
    <s v="Hunt"/>
    <s v="Amelia Hunt"/>
    <x v="1"/>
    <n v="59"/>
    <x v="0"/>
    <x v="21"/>
    <x v="494"/>
    <x v="1"/>
    <x v="3"/>
  </r>
  <r>
    <x v="4"/>
    <s v="Davis"/>
    <s v="Fenton Davis"/>
    <x v="0"/>
    <n v="35"/>
    <x v="1"/>
    <x v="27"/>
    <x v="326"/>
    <x v="1"/>
    <x v="5"/>
  </r>
  <r>
    <x v="13"/>
    <s v="Murphy"/>
    <s v="Amelia Murphy"/>
    <x v="1"/>
    <n v="19"/>
    <x v="2"/>
    <x v="38"/>
    <x v="495"/>
    <x v="0"/>
    <x v="4"/>
  </r>
  <r>
    <x v="27"/>
    <s v="Martin"/>
    <s v="Frederick Martin"/>
    <x v="0"/>
    <n v="46"/>
    <x v="1"/>
    <x v="28"/>
    <x v="496"/>
    <x v="0"/>
    <x v="5"/>
  </r>
  <r>
    <x v="10"/>
    <s v="Fowler"/>
    <s v="Alina Fowler"/>
    <x v="1"/>
    <n v="24"/>
    <x v="2"/>
    <x v="33"/>
    <x v="497"/>
    <x v="0"/>
    <x v="0"/>
  </r>
  <r>
    <x v="159"/>
    <s v="Barrett"/>
    <s v="Preston Barrett"/>
    <x v="0"/>
    <n v="44"/>
    <x v="1"/>
    <x v="35"/>
    <x v="498"/>
    <x v="1"/>
    <x v="2"/>
  </r>
  <r>
    <x v="72"/>
    <s v="Russell"/>
    <s v="Vincent Russell"/>
    <x v="0"/>
    <n v="25"/>
    <x v="2"/>
    <x v="15"/>
    <x v="499"/>
    <x v="0"/>
    <x v="4"/>
  </r>
  <r>
    <x v="152"/>
    <s v="Brown"/>
    <s v="Ned Brown"/>
    <x v="0"/>
    <n v="35"/>
    <x v="1"/>
    <x v="28"/>
    <x v="478"/>
    <x v="0"/>
    <x v="3"/>
  </r>
  <r>
    <x v="183"/>
    <s v="Robinson"/>
    <s v="Dainton Robinson"/>
    <x v="0"/>
    <n v="31"/>
    <x v="1"/>
    <x v="43"/>
    <x v="500"/>
    <x v="0"/>
    <x v="1"/>
  </r>
  <r>
    <x v="165"/>
    <s v="Payne"/>
    <s v="Maya Payne"/>
    <x v="1"/>
    <n v="18"/>
    <x v="2"/>
    <x v="37"/>
    <x v="501"/>
    <x v="0"/>
    <x v="5"/>
  </r>
  <r>
    <x v="73"/>
    <s v="Miller"/>
    <s v="Julia Miller"/>
    <x v="1"/>
    <n v="35"/>
    <x v="1"/>
    <x v="24"/>
    <x v="502"/>
    <x v="1"/>
    <x v="0"/>
  </r>
  <r>
    <x v="32"/>
    <s v="Andrews"/>
    <s v="Dominik Andrews"/>
    <x v="0"/>
    <n v="59"/>
    <x v="0"/>
    <x v="13"/>
    <x v="503"/>
    <x v="0"/>
    <x v="1"/>
  </r>
  <r>
    <x v="184"/>
    <s v="Grant"/>
    <s v="Madaline Grant"/>
    <x v="1"/>
    <n v="19"/>
    <x v="2"/>
    <x v="18"/>
    <x v="504"/>
    <x v="0"/>
    <x v="0"/>
  </r>
  <r>
    <x v="19"/>
    <s v="Turner"/>
    <s v="Nicholas Turner"/>
    <x v="0"/>
    <n v="59"/>
    <x v="0"/>
    <x v="9"/>
    <x v="505"/>
    <x v="0"/>
    <x v="3"/>
  </r>
  <r>
    <x v="7"/>
    <s v="Russell"/>
    <s v="Ashton Russell"/>
    <x v="0"/>
    <n v="35"/>
    <x v="1"/>
    <x v="23"/>
    <x v="506"/>
    <x v="1"/>
    <x v="4"/>
  </r>
  <r>
    <x v="139"/>
    <s v="Chapman"/>
    <s v="Byron Chapman"/>
    <x v="0"/>
    <n v="42"/>
    <x v="1"/>
    <x v="47"/>
    <x v="507"/>
    <x v="0"/>
    <x v="4"/>
  </r>
  <r>
    <x v="108"/>
    <s v="Baker"/>
    <s v="Aston Baker"/>
    <x v="0"/>
    <n v="52"/>
    <x v="0"/>
    <x v="29"/>
    <x v="508"/>
    <x v="0"/>
    <x v="0"/>
  </r>
  <r>
    <x v="24"/>
    <s v="Kelly"/>
    <s v="Emily Kelly"/>
    <x v="1"/>
    <n v="50"/>
    <x v="1"/>
    <x v="12"/>
    <x v="509"/>
    <x v="1"/>
    <x v="5"/>
  </r>
  <r>
    <x v="51"/>
    <s v="Parker"/>
    <s v="Bruce Parker"/>
    <x v="0"/>
    <n v="51"/>
    <x v="0"/>
    <x v="18"/>
    <x v="510"/>
    <x v="1"/>
    <x v="0"/>
  </r>
  <r>
    <x v="128"/>
    <s v="Jones"/>
    <s v="Gianna Jones"/>
    <x v="1"/>
    <n v="37"/>
    <x v="1"/>
    <x v="52"/>
    <x v="511"/>
    <x v="0"/>
    <x v="2"/>
  </r>
  <r>
    <x v="123"/>
    <s v="Gibson"/>
    <s v="Roland Gibson"/>
    <x v="0"/>
    <n v="28"/>
    <x v="2"/>
    <x v="50"/>
    <x v="512"/>
    <x v="1"/>
    <x v="3"/>
  </r>
  <r>
    <x v="123"/>
    <s v="Crawford"/>
    <s v="Roland Crawford"/>
    <x v="0"/>
    <n v="40"/>
    <x v="1"/>
    <x v="15"/>
    <x v="513"/>
    <x v="0"/>
    <x v="0"/>
  </r>
  <r>
    <x v="134"/>
    <s v="Taylor"/>
    <s v="Oscar Taylor"/>
    <x v="0"/>
    <n v="23"/>
    <x v="2"/>
    <x v="43"/>
    <x v="514"/>
    <x v="0"/>
    <x v="1"/>
  </r>
  <r>
    <x v="61"/>
    <s v="Riley"/>
    <s v="Sienna Riley"/>
    <x v="1"/>
    <n v="55"/>
    <x v="0"/>
    <x v="0"/>
    <x v="515"/>
    <x v="1"/>
    <x v="2"/>
  </r>
  <r>
    <x v="31"/>
    <s v="West"/>
    <s v="Tara West"/>
    <x v="1"/>
    <n v="20"/>
    <x v="2"/>
    <x v="29"/>
    <x v="516"/>
    <x v="0"/>
    <x v="0"/>
  </r>
  <r>
    <x v="111"/>
    <s v="Grant"/>
    <s v="Max Grant"/>
    <x v="0"/>
    <n v="44"/>
    <x v="1"/>
    <x v="1"/>
    <x v="517"/>
    <x v="0"/>
    <x v="4"/>
  </r>
  <r>
    <x v="80"/>
    <s v="Nelson"/>
    <s v="Arthur Nelson"/>
    <x v="0"/>
    <n v="53"/>
    <x v="0"/>
    <x v="20"/>
    <x v="518"/>
    <x v="1"/>
    <x v="0"/>
  </r>
  <r>
    <x v="185"/>
    <s v="Morgan"/>
    <s v="Carl Morgan"/>
    <x v="0"/>
    <n v="34"/>
    <x v="1"/>
    <x v="28"/>
    <x v="519"/>
    <x v="1"/>
    <x v="0"/>
  </r>
  <r>
    <x v="124"/>
    <s v="Wilson"/>
    <s v="Lily Wilson"/>
    <x v="1"/>
    <n v="52"/>
    <x v="0"/>
    <x v="5"/>
    <x v="520"/>
    <x v="0"/>
    <x v="0"/>
  </r>
  <r>
    <x v="78"/>
    <s v="Owens"/>
    <s v="Stuart Owens"/>
    <x v="0"/>
    <n v="38"/>
    <x v="1"/>
    <x v="51"/>
    <x v="521"/>
    <x v="1"/>
    <x v="3"/>
  </r>
  <r>
    <x v="93"/>
    <s v="Sullivan"/>
    <s v="Harold Sullivan"/>
    <x v="0"/>
    <n v="38"/>
    <x v="1"/>
    <x v="19"/>
    <x v="522"/>
    <x v="0"/>
    <x v="1"/>
  </r>
  <r>
    <x v="131"/>
    <s v="Phillips"/>
    <s v="Julian Phillips"/>
    <x v="0"/>
    <n v="50"/>
    <x v="1"/>
    <x v="28"/>
    <x v="523"/>
    <x v="0"/>
    <x v="3"/>
  </r>
  <r>
    <x v="63"/>
    <s v="Perkins"/>
    <s v="Heather Perkins"/>
    <x v="1"/>
    <n v="53"/>
    <x v="0"/>
    <x v="0"/>
    <x v="524"/>
    <x v="0"/>
    <x v="1"/>
  </r>
  <r>
    <x v="66"/>
    <s v="Owens"/>
    <s v="Alen Owens"/>
    <x v="0"/>
    <n v="44"/>
    <x v="1"/>
    <x v="40"/>
    <x v="525"/>
    <x v="1"/>
    <x v="5"/>
  </r>
  <r>
    <x v="24"/>
    <s v="Carter"/>
    <s v="Emily Carter"/>
    <x v="1"/>
    <n v="56"/>
    <x v="0"/>
    <x v="35"/>
    <x v="526"/>
    <x v="0"/>
    <x v="4"/>
  </r>
  <r>
    <x v="68"/>
    <s v="Harper"/>
    <s v="Robert Harper"/>
    <x v="0"/>
    <n v="43"/>
    <x v="1"/>
    <x v="7"/>
    <x v="527"/>
    <x v="0"/>
    <x v="5"/>
  </r>
  <r>
    <x v="24"/>
    <s v="Campbell"/>
    <s v="Emily Campbell"/>
    <x v="1"/>
    <n v="36"/>
    <x v="1"/>
    <x v="0"/>
    <x v="528"/>
    <x v="1"/>
    <x v="0"/>
  </r>
  <r>
    <x v="55"/>
    <s v="Elliott"/>
    <s v="Kate Elliott"/>
    <x v="1"/>
    <n v="23"/>
    <x v="2"/>
    <x v="49"/>
    <x v="529"/>
    <x v="1"/>
    <x v="2"/>
  </r>
  <r>
    <x v="110"/>
    <s v="Montgomery"/>
    <s v="Cherry Montgomery"/>
    <x v="1"/>
    <n v="46"/>
    <x v="1"/>
    <x v="40"/>
    <x v="530"/>
    <x v="0"/>
    <x v="1"/>
  </r>
  <r>
    <x v="166"/>
    <s v="Harper"/>
    <s v="Edith Harper"/>
    <x v="1"/>
    <n v="47"/>
    <x v="1"/>
    <x v="23"/>
    <x v="531"/>
    <x v="1"/>
    <x v="5"/>
  </r>
  <r>
    <x v="66"/>
    <s v="Lloyd"/>
    <s v="Alen Lloyd"/>
    <x v="0"/>
    <n v="49"/>
    <x v="1"/>
    <x v="18"/>
    <x v="532"/>
    <x v="0"/>
    <x v="1"/>
  </r>
  <r>
    <x v="114"/>
    <s v="Howard"/>
    <s v="Deanna Howard"/>
    <x v="1"/>
    <n v="23"/>
    <x v="2"/>
    <x v="28"/>
    <x v="533"/>
    <x v="0"/>
    <x v="0"/>
  </r>
  <r>
    <x v="84"/>
    <s v="Wright"/>
    <s v="Hailey Wright"/>
    <x v="1"/>
    <n v="46"/>
    <x v="1"/>
    <x v="26"/>
    <x v="534"/>
    <x v="1"/>
    <x v="4"/>
  </r>
  <r>
    <x v="110"/>
    <s v="Walker"/>
    <s v="Cherry Walker"/>
    <x v="1"/>
    <n v="52"/>
    <x v="0"/>
    <x v="33"/>
    <x v="535"/>
    <x v="0"/>
    <x v="2"/>
  </r>
  <r>
    <x v="59"/>
    <s v="Thomas"/>
    <s v="Eric Thomas"/>
    <x v="0"/>
    <n v="51"/>
    <x v="0"/>
    <x v="13"/>
    <x v="99"/>
    <x v="0"/>
    <x v="0"/>
  </r>
  <r>
    <x v="166"/>
    <s v="Miller"/>
    <s v="Edith Miller"/>
    <x v="1"/>
    <n v="24"/>
    <x v="2"/>
    <x v="0"/>
    <x v="536"/>
    <x v="0"/>
    <x v="5"/>
  </r>
  <r>
    <x v="77"/>
    <s v="Stevens"/>
    <s v="Amanda Stevens"/>
    <x v="1"/>
    <n v="30"/>
    <x v="2"/>
    <x v="45"/>
    <x v="537"/>
    <x v="1"/>
    <x v="3"/>
  </r>
  <r>
    <x v="98"/>
    <s v="Baker"/>
    <s v="Arianna Baker"/>
    <x v="1"/>
    <n v="27"/>
    <x v="2"/>
    <x v="13"/>
    <x v="538"/>
    <x v="0"/>
    <x v="0"/>
  </r>
  <r>
    <x v="123"/>
    <s v="Harrison"/>
    <s v="Roland Harrison"/>
    <x v="0"/>
    <n v="39"/>
    <x v="1"/>
    <x v="26"/>
    <x v="539"/>
    <x v="1"/>
    <x v="2"/>
  </r>
  <r>
    <x v="53"/>
    <s v="Wilson"/>
    <s v="Nicole Wilson"/>
    <x v="1"/>
    <n v="58"/>
    <x v="0"/>
    <x v="6"/>
    <x v="540"/>
    <x v="0"/>
    <x v="4"/>
  </r>
  <r>
    <x v="43"/>
    <s v="Scott"/>
    <s v="Mary Scott"/>
    <x v="1"/>
    <n v="54"/>
    <x v="0"/>
    <x v="30"/>
    <x v="541"/>
    <x v="1"/>
    <x v="3"/>
  </r>
  <r>
    <x v="12"/>
    <s v="Ellis"/>
    <s v="Kimberly Ellis"/>
    <x v="1"/>
    <n v="21"/>
    <x v="2"/>
    <x v="10"/>
    <x v="542"/>
    <x v="1"/>
    <x v="1"/>
  </r>
  <r>
    <x v="140"/>
    <s v="Carroll"/>
    <s v="Edwin Carroll"/>
    <x v="0"/>
    <n v="60"/>
    <x v="0"/>
    <x v="43"/>
    <x v="543"/>
    <x v="0"/>
    <x v="1"/>
  </r>
  <r>
    <x v="102"/>
    <s v="Ellis"/>
    <s v="Lydia Ellis"/>
    <x v="1"/>
    <n v="21"/>
    <x v="2"/>
    <x v="26"/>
    <x v="544"/>
    <x v="0"/>
    <x v="1"/>
  </r>
  <r>
    <x v="99"/>
    <s v="Adams"/>
    <s v="Ryan Adams"/>
    <x v="0"/>
    <n v="44"/>
    <x v="1"/>
    <x v="1"/>
    <x v="545"/>
    <x v="1"/>
    <x v="0"/>
  </r>
  <r>
    <x v="134"/>
    <s v="Myers"/>
    <s v="Oscar Myers"/>
    <x v="0"/>
    <n v="51"/>
    <x v="0"/>
    <x v="38"/>
    <x v="546"/>
    <x v="0"/>
    <x v="4"/>
  </r>
  <r>
    <x v="158"/>
    <s v="Richards"/>
    <s v="Blake Richards"/>
    <x v="0"/>
    <n v="26"/>
    <x v="2"/>
    <x v="9"/>
    <x v="547"/>
    <x v="1"/>
    <x v="3"/>
  </r>
  <r>
    <x v="63"/>
    <s v="Thomas"/>
    <s v="Heather Thomas"/>
    <x v="1"/>
    <n v="28"/>
    <x v="2"/>
    <x v="47"/>
    <x v="548"/>
    <x v="0"/>
    <x v="0"/>
  </r>
  <r>
    <x v="186"/>
    <s v="Taylor"/>
    <s v="Olivia Taylor"/>
    <x v="1"/>
    <n v="30"/>
    <x v="2"/>
    <x v="52"/>
    <x v="549"/>
    <x v="1"/>
    <x v="5"/>
  </r>
  <r>
    <x v="99"/>
    <s v="Morrison"/>
    <s v="Ryan Morrison"/>
    <x v="0"/>
    <n v="55"/>
    <x v="0"/>
    <x v="34"/>
    <x v="550"/>
    <x v="0"/>
    <x v="2"/>
  </r>
  <r>
    <x v="47"/>
    <s v="Morris"/>
    <s v="Jared Morris"/>
    <x v="0"/>
    <n v="27"/>
    <x v="2"/>
    <x v="13"/>
    <x v="551"/>
    <x v="1"/>
    <x v="0"/>
  </r>
  <r>
    <x v="100"/>
    <s v="Campbell"/>
    <s v="David Campbell"/>
    <x v="0"/>
    <n v="54"/>
    <x v="0"/>
    <x v="44"/>
    <x v="552"/>
    <x v="1"/>
    <x v="2"/>
  </r>
  <r>
    <x v="42"/>
    <s v="Williams"/>
    <s v="Jordan Williams"/>
    <x v="0"/>
    <n v="27"/>
    <x v="2"/>
    <x v="43"/>
    <x v="553"/>
    <x v="0"/>
    <x v="5"/>
  </r>
  <r>
    <x v="48"/>
    <s v="Bailey"/>
    <s v="Sarah Bailey"/>
    <x v="1"/>
    <n v="53"/>
    <x v="0"/>
    <x v="19"/>
    <x v="554"/>
    <x v="0"/>
    <x v="0"/>
  </r>
  <r>
    <x v="187"/>
    <s v="Wells"/>
    <s v="Clark Wells"/>
    <x v="0"/>
    <n v="27"/>
    <x v="2"/>
    <x v="14"/>
    <x v="555"/>
    <x v="1"/>
    <x v="5"/>
  </r>
  <r>
    <x v="52"/>
    <s v="Richardson"/>
    <s v="Alexander Richardson"/>
    <x v="0"/>
    <n v="45"/>
    <x v="1"/>
    <x v="51"/>
    <x v="556"/>
    <x v="0"/>
    <x v="4"/>
  </r>
  <r>
    <x v="30"/>
    <s v="Higgins"/>
    <s v="Anna Higgins"/>
    <x v="1"/>
    <n v="57"/>
    <x v="0"/>
    <x v="36"/>
    <x v="557"/>
    <x v="0"/>
    <x v="3"/>
  </r>
  <r>
    <x v="114"/>
    <s v="Cole"/>
    <s v="Deanna Cole"/>
    <x v="1"/>
    <n v="36"/>
    <x v="1"/>
    <x v="45"/>
    <x v="558"/>
    <x v="0"/>
    <x v="4"/>
  </r>
  <r>
    <x v="19"/>
    <s v="Hall"/>
    <s v="Nicholas Hall"/>
    <x v="0"/>
    <n v="50"/>
    <x v="1"/>
    <x v="18"/>
    <x v="559"/>
    <x v="1"/>
    <x v="4"/>
  </r>
  <r>
    <x v="145"/>
    <s v="Myers"/>
    <s v="Leonardo Myers"/>
    <x v="0"/>
    <n v="46"/>
    <x v="1"/>
    <x v="14"/>
    <x v="560"/>
    <x v="1"/>
    <x v="5"/>
  </r>
  <r>
    <x v="137"/>
    <s v="Walker"/>
    <s v="Chelsea Walker"/>
    <x v="1"/>
    <n v="47"/>
    <x v="1"/>
    <x v="37"/>
    <x v="561"/>
    <x v="0"/>
    <x v="0"/>
  </r>
  <r>
    <x v="131"/>
    <s v="Barrett"/>
    <s v="Julian Barrett"/>
    <x v="0"/>
    <n v="37"/>
    <x v="1"/>
    <x v="17"/>
    <x v="562"/>
    <x v="1"/>
    <x v="3"/>
  </r>
  <r>
    <x v="83"/>
    <s v="Turner"/>
    <s v="Daryl Turner"/>
    <x v="0"/>
    <n v="37"/>
    <x v="1"/>
    <x v="26"/>
    <x v="563"/>
    <x v="1"/>
    <x v="2"/>
  </r>
  <r>
    <x v="134"/>
    <s v="Cunningham"/>
    <s v="Oscar Cunningham"/>
    <x v="0"/>
    <n v="23"/>
    <x v="2"/>
    <x v="19"/>
    <x v="564"/>
    <x v="1"/>
    <x v="5"/>
  </r>
  <r>
    <x v="127"/>
    <s v="Warren"/>
    <s v="Rubie Warren"/>
    <x v="1"/>
    <n v="55"/>
    <x v="0"/>
    <x v="35"/>
    <x v="565"/>
    <x v="1"/>
    <x v="1"/>
  </r>
  <r>
    <x v="42"/>
    <s v="Martin"/>
    <s v="Jordan Martin"/>
    <x v="0"/>
    <n v="42"/>
    <x v="1"/>
    <x v="36"/>
    <x v="566"/>
    <x v="0"/>
    <x v="4"/>
  </r>
  <r>
    <x v="89"/>
    <s v="Jones"/>
    <s v="Alissa Jones"/>
    <x v="1"/>
    <n v="44"/>
    <x v="1"/>
    <x v="23"/>
    <x v="567"/>
    <x v="1"/>
    <x v="0"/>
  </r>
  <r>
    <x v="28"/>
    <s v="Barnes"/>
    <s v="Jenna Barnes"/>
    <x v="1"/>
    <n v="26"/>
    <x v="2"/>
    <x v="47"/>
    <x v="568"/>
    <x v="1"/>
    <x v="1"/>
  </r>
  <r>
    <x v="173"/>
    <s v="Dixon"/>
    <s v="Evelyn Dixon"/>
    <x v="1"/>
    <n v="49"/>
    <x v="1"/>
    <x v="19"/>
    <x v="569"/>
    <x v="1"/>
    <x v="4"/>
  </r>
  <r>
    <x v="27"/>
    <s v="Wilson"/>
    <s v="Frederick Wilson"/>
    <x v="0"/>
    <n v="59"/>
    <x v="0"/>
    <x v="26"/>
    <x v="570"/>
    <x v="1"/>
    <x v="0"/>
  </r>
  <r>
    <x v="49"/>
    <s v="Watson"/>
    <s v="Maria Watson"/>
    <x v="1"/>
    <n v="45"/>
    <x v="1"/>
    <x v="45"/>
    <x v="571"/>
    <x v="0"/>
    <x v="4"/>
  </r>
  <r>
    <x v="98"/>
    <s v="Lloyd"/>
    <s v="Arianna Lloyd"/>
    <x v="1"/>
    <n v="55"/>
    <x v="0"/>
    <x v="23"/>
    <x v="572"/>
    <x v="1"/>
    <x v="3"/>
  </r>
  <r>
    <x v="53"/>
    <s v="Rogers"/>
    <s v="Nicole Rogers"/>
    <x v="1"/>
    <n v="47"/>
    <x v="1"/>
    <x v="31"/>
    <x v="573"/>
    <x v="1"/>
    <x v="4"/>
  </r>
  <r>
    <x v="164"/>
    <s v="Wells"/>
    <s v="Eleanor Wells"/>
    <x v="1"/>
    <n v="20"/>
    <x v="2"/>
    <x v="12"/>
    <x v="574"/>
    <x v="1"/>
    <x v="2"/>
  </r>
  <r>
    <x v="12"/>
    <s v="Morrison"/>
    <s v="Kimberly Morrison"/>
    <x v="1"/>
    <n v="34"/>
    <x v="1"/>
    <x v="48"/>
    <x v="575"/>
    <x v="1"/>
    <x v="5"/>
  </r>
  <r>
    <x v="188"/>
    <s v="Bennett"/>
    <s v="Patrick Bennett"/>
    <x v="0"/>
    <n v="23"/>
    <x v="2"/>
    <x v="26"/>
    <x v="576"/>
    <x v="1"/>
    <x v="5"/>
  </r>
  <r>
    <x v="87"/>
    <s v="Fowler"/>
    <s v="Catherine Fowler"/>
    <x v="1"/>
    <n v="27"/>
    <x v="2"/>
    <x v="16"/>
    <x v="577"/>
    <x v="0"/>
    <x v="5"/>
  </r>
  <r>
    <x v="113"/>
    <s v="Kelly"/>
    <s v="Lilianna Kelly"/>
    <x v="1"/>
    <n v="57"/>
    <x v="0"/>
    <x v="51"/>
    <x v="578"/>
    <x v="0"/>
    <x v="0"/>
  </r>
  <r>
    <x v="153"/>
    <s v="Baker"/>
    <s v="Tess Baker"/>
    <x v="1"/>
    <n v="23"/>
    <x v="2"/>
    <x v="45"/>
    <x v="579"/>
    <x v="1"/>
    <x v="5"/>
  </r>
  <r>
    <x v="113"/>
    <s v="Holmes"/>
    <s v="Lilianna Holmes"/>
    <x v="1"/>
    <n v="22"/>
    <x v="2"/>
    <x v="39"/>
    <x v="580"/>
    <x v="1"/>
    <x v="5"/>
  </r>
  <r>
    <x v="189"/>
    <s v="Murray"/>
    <s v="Alberta Murray"/>
    <x v="1"/>
    <n v="57"/>
    <x v="0"/>
    <x v="39"/>
    <x v="581"/>
    <x v="0"/>
    <x v="0"/>
  </r>
  <r>
    <x v="159"/>
    <s v="Hill"/>
    <s v="Preston Hill"/>
    <x v="0"/>
    <n v="35"/>
    <x v="1"/>
    <x v="2"/>
    <x v="582"/>
    <x v="0"/>
    <x v="3"/>
  </r>
  <r>
    <x v="157"/>
    <s v="Parker"/>
    <s v="Penelope Parker"/>
    <x v="1"/>
    <n v="28"/>
    <x v="2"/>
    <x v="50"/>
    <x v="583"/>
    <x v="1"/>
    <x v="3"/>
  </r>
  <r>
    <x v="190"/>
    <s v="Perkins"/>
    <s v="Miley Perkins"/>
    <x v="1"/>
    <n v="42"/>
    <x v="1"/>
    <x v="10"/>
    <x v="584"/>
    <x v="1"/>
    <x v="3"/>
  </r>
  <r>
    <x v="32"/>
    <s v="Foster"/>
    <s v="Dominik Foster"/>
    <x v="0"/>
    <n v="41"/>
    <x v="1"/>
    <x v="8"/>
    <x v="585"/>
    <x v="0"/>
    <x v="1"/>
  </r>
  <r>
    <x v="93"/>
    <s v="Kelly"/>
    <s v="Harold Kelly"/>
    <x v="0"/>
    <n v="28"/>
    <x v="2"/>
    <x v="4"/>
    <x v="586"/>
    <x v="1"/>
    <x v="5"/>
  </r>
  <r>
    <x v="136"/>
    <s v="Carter"/>
    <s v="Caroline Carter"/>
    <x v="1"/>
    <n v="29"/>
    <x v="2"/>
    <x v="51"/>
    <x v="89"/>
    <x v="0"/>
    <x v="0"/>
  </r>
  <r>
    <x v="132"/>
    <s v="Ryan"/>
    <s v="Albert Ryan"/>
    <x v="0"/>
    <n v="29"/>
    <x v="2"/>
    <x v="16"/>
    <x v="587"/>
    <x v="1"/>
    <x v="1"/>
  </r>
  <r>
    <x v="174"/>
    <s v="Stevens"/>
    <s v="Kirsten Stevens"/>
    <x v="1"/>
    <n v="33"/>
    <x v="1"/>
    <x v="11"/>
    <x v="588"/>
    <x v="1"/>
    <x v="5"/>
  </r>
  <r>
    <x v="129"/>
    <s v="Reed"/>
    <s v="Melanie Reed"/>
    <x v="1"/>
    <n v="22"/>
    <x v="2"/>
    <x v="33"/>
    <x v="589"/>
    <x v="1"/>
    <x v="4"/>
  </r>
  <r>
    <x v="130"/>
    <s v="Russell"/>
    <s v="Charlotte Russell"/>
    <x v="1"/>
    <n v="39"/>
    <x v="1"/>
    <x v="9"/>
    <x v="590"/>
    <x v="0"/>
    <x v="0"/>
  </r>
  <r>
    <x v="49"/>
    <s v="Johnston"/>
    <s v="Maria Johnston"/>
    <x v="1"/>
    <n v="33"/>
    <x v="1"/>
    <x v="15"/>
    <x v="591"/>
    <x v="0"/>
    <x v="2"/>
  </r>
  <r>
    <x v="137"/>
    <s v="Lloyd"/>
    <s v="Chelsea Lloyd"/>
    <x v="1"/>
    <n v="33"/>
    <x v="1"/>
    <x v="48"/>
    <x v="592"/>
    <x v="0"/>
    <x v="4"/>
  </r>
  <r>
    <x v="10"/>
    <s v="Richardson"/>
    <s v="Alina Richardson"/>
    <x v="1"/>
    <n v="60"/>
    <x v="0"/>
    <x v="0"/>
    <x v="593"/>
    <x v="0"/>
    <x v="2"/>
  </r>
  <r>
    <x v="74"/>
    <s v="Hall"/>
    <s v="Florrie Hall"/>
    <x v="1"/>
    <n v="44"/>
    <x v="1"/>
    <x v="23"/>
    <x v="507"/>
    <x v="0"/>
    <x v="3"/>
  </r>
  <r>
    <x v="97"/>
    <s v="Johnston"/>
    <s v="Carina Johnston"/>
    <x v="1"/>
    <n v="47"/>
    <x v="1"/>
    <x v="19"/>
    <x v="594"/>
    <x v="1"/>
    <x v="4"/>
  </r>
  <r>
    <x v="94"/>
    <s v="Carter"/>
    <s v="Aiden Carter"/>
    <x v="0"/>
    <n v="37"/>
    <x v="1"/>
    <x v="42"/>
    <x v="595"/>
    <x v="0"/>
    <x v="2"/>
  </r>
  <r>
    <x v="172"/>
    <s v="Nelson"/>
    <s v="Amber Nelson"/>
    <x v="1"/>
    <n v="18"/>
    <x v="2"/>
    <x v="47"/>
    <x v="596"/>
    <x v="0"/>
    <x v="0"/>
  </r>
  <r>
    <x v="150"/>
    <s v="Perry"/>
    <s v="Sam Perry"/>
    <x v="0"/>
    <n v="30"/>
    <x v="2"/>
    <x v="15"/>
    <x v="597"/>
    <x v="1"/>
    <x v="4"/>
  </r>
  <r>
    <x v="164"/>
    <s v="Perry"/>
    <s v="Eleanor Perry"/>
    <x v="1"/>
    <n v="21"/>
    <x v="2"/>
    <x v="32"/>
    <x v="598"/>
    <x v="0"/>
    <x v="5"/>
  </r>
  <r>
    <x v="15"/>
    <s v="Owens"/>
    <s v="Edgar Owens"/>
    <x v="0"/>
    <n v="44"/>
    <x v="1"/>
    <x v="17"/>
    <x v="599"/>
    <x v="1"/>
    <x v="4"/>
  </r>
  <r>
    <x v="191"/>
    <s v="Perry"/>
    <s v="Abraham Perry"/>
    <x v="0"/>
    <n v="40"/>
    <x v="1"/>
    <x v="51"/>
    <x v="600"/>
    <x v="0"/>
    <x v="5"/>
  </r>
  <r>
    <x v="36"/>
    <s v="West"/>
    <s v="Wilson West"/>
    <x v="0"/>
    <n v="42"/>
    <x v="1"/>
    <x v="6"/>
    <x v="207"/>
    <x v="0"/>
    <x v="5"/>
  </r>
  <r>
    <x v="35"/>
    <s v="Sullivan"/>
    <s v="Valeria Sullivan"/>
    <x v="1"/>
    <n v="49"/>
    <x v="1"/>
    <x v="31"/>
    <x v="601"/>
    <x v="0"/>
    <x v="2"/>
  </r>
  <r>
    <x v="67"/>
    <s v="Harper"/>
    <s v="Michael Harper"/>
    <x v="0"/>
    <n v="58"/>
    <x v="0"/>
    <x v="51"/>
    <x v="425"/>
    <x v="0"/>
    <x v="0"/>
  </r>
  <r>
    <x v="51"/>
    <s v="Hall"/>
    <s v="Bruce Hall"/>
    <x v="0"/>
    <n v="58"/>
    <x v="0"/>
    <x v="19"/>
    <x v="602"/>
    <x v="1"/>
    <x v="5"/>
  </r>
  <r>
    <x v="31"/>
    <s v="Hall"/>
    <s v="Tara Hall"/>
    <x v="1"/>
    <n v="30"/>
    <x v="2"/>
    <x v="45"/>
    <x v="603"/>
    <x v="0"/>
    <x v="1"/>
  </r>
  <r>
    <x v="145"/>
    <s v="Montgomery"/>
    <s v="Leonardo Montgomery"/>
    <x v="0"/>
    <n v="40"/>
    <x v="1"/>
    <x v="52"/>
    <x v="604"/>
    <x v="1"/>
    <x v="3"/>
  </r>
  <r>
    <x v="82"/>
    <s v="Sullivan"/>
    <s v="Chloe Sullivan"/>
    <x v="1"/>
    <n v="26"/>
    <x v="2"/>
    <x v="29"/>
    <x v="605"/>
    <x v="1"/>
    <x v="1"/>
  </r>
  <r>
    <x v="192"/>
    <s v="Kelly"/>
    <s v="Ellia Kelly"/>
    <x v="1"/>
    <n v="32"/>
    <x v="1"/>
    <x v="5"/>
    <x v="606"/>
    <x v="0"/>
    <x v="5"/>
  </r>
  <r>
    <x v="36"/>
    <s v="Stewart"/>
    <s v="Wilson Stewart"/>
    <x v="0"/>
    <n v="50"/>
    <x v="1"/>
    <x v="42"/>
    <x v="607"/>
    <x v="1"/>
    <x v="1"/>
  </r>
  <r>
    <x v="193"/>
    <s v="Mitchell"/>
    <s v="Antony Mitchell"/>
    <x v="0"/>
    <n v="43"/>
    <x v="1"/>
    <x v="25"/>
    <x v="608"/>
    <x v="1"/>
    <x v="0"/>
  </r>
  <r>
    <x v="175"/>
    <s v="Andrews"/>
    <s v="Lucia Andrews"/>
    <x v="1"/>
    <n v="31"/>
    <x v="1"/>
    <x v="42"/>
    <x v="609"/>
    <x v="0"/>
    <x v="3"/>
  </r>
  <r>
    <x v="77"/>
    <s v="Foster"/>
    <s v="Amanda Foster"/>
    <x v="1"/>
    <n v="40"/>
    <x v="1"/>
    <x v="48"/>
    <x v="610"/>
    <x v="1"/>
    <x v="5"/>
  </r>
  <r>
    <x v="127"/>
    <s v="Owens"/>
    <s v="Rubie Owens"/>
    <x v="1"/>
    <n v="26"/>
    <x v="2"/>
    <x v="35"/>
    <x v="611"/>
    <x v="0"/>
    <x v="1"/>
  </r>
  <r>
    <x v="21"/>
    <s v="Casey"/>
    <s v="Lyndon Casey"/>
    <x v="0"/>
    <n v="19"/>
    <x v="2"/>
    <x v="13"/>
    <x v="612"/>
    <x v="1"/>
    <x v="4"/>
  </r>
  <r>
    <x v="166"/>
    <s v="Montgomery"/>
    <s v="Edith Montgomery"/>
    <x v="1"/>
    <n v="18"/>
    <x v="2"/>
    <x v="20"/>
    <x v="613"/>
    <x v="0"/>
    <x v="1"/>
  </r>
  <r>
    <x v="19"/>
    <s v="Russell"/>
    <s v="Nicholas Russell"/>
    <x v="0"/>
    <n v="38"/>
    <x v="1"/>
    <x v="29"/>
    <x v="614"/>
    <x v="1"/>
    <x v="4"/>
  </r>
  <r>
    <x v="36"/>
    <s v="Brooks"/>
    <s v="Wilson Brooks"/>
    <x v="0"/>
    <n v="55"/>
    <x v="0"/>
    <x v="48"/>
    <x v="615"/>
    <x v="1"/>
    <x v="2"/>
  </r>
  <r>
    <x v="20"/>
    <s v="Wright"/>
    <s v="Sawyer Wright"/>
    <x v="0"/>
    <n v="51"/>
    <x v="0"/>
    <x v="14"/>
    <x v="616"/>
    <x v="1"/>
    <x v="4"/>
  </r>
  <r>
    <x v="116"/>
    <s v="Hunt"/>
    <s v="Kristian Hunt"/>
    <x v="0"/>
    <n v="50"/>
    <x v="1"/>
    <x v="9"/>
    <x v="617"/>
    <x v="1"/>
    <x v="0"/>
  </r>
  <r>
    <x v="20"/>
    <s v="Clark"/>
    <s v="Sawyer Clark"/>
    <x v="0"/>
    <n v="25"/>
    <x v="2"/>
    <x v="18"/>
    <x v="614"/>
    <x v="1"/>
    <x v="3"/>
  </r>
  <r>
    <x v="169"/>
    <s v="Moore"/>
    <s v="Chester Moore"/>
    <x v="0"/>
    <n v="59"/>
    <x v="0"/>
    <x v="28"/>
    <x v="618"/>
    <x v="1"/>
    <x v="2"/>
  </r>
  <r>
    <x v="36"/>
    <s v="Davis"/>
    <s v="Wilson Davis"/>
    <x v="0"/>
    <n v="47"/>
    <x v="1"/>
    <x v="7"/>
    <x v="619"/>
    <x v="0"/>
    <x v="0"/>
  </r>
  <r>
    <x v="113"/>
    <s v="Gray"/>
    <s v="Lilianna Gray"/>
    <x v="1"/>
    <n v="50"/>
    <x v="1"/>
    <x v="1"/>
    <x v="620"/>
    <x v="0"/>
    <x v="2"/>
  </r>
  <r>
    <x v="40"/>
    <s v="Craig"/>
    <s v="Henry Craig"/>
    <x v="0"/>
    <n v="33"/>
    <x v="1"/>
    <x v="43"/>
    <x v="621"/>
    <x v="1"/>
    <x v="0"/>
  </r>
  <r>
    <x v="129"/>
    <s v="Russell"/>
    <s v="Melanie Russell"/>
    <x v="1"/>
    <n v="23"/>
    <x v="2"/>
    <x v="24"/>
    <x v="622"/>
    <x v="0"/>
    <x v="1"/>
  </r>
  <r>
    <x v="161"/>
    <s v="Thompson"/>
    <s v="George Thompson"/>
    <x v="0"/>
    <n v="40"/>
    <x v="1"/>
    <x v="25"/>
    <x v="623"/>
    <x v="0"/>
    <x v="1"/>
  </r>
  <r>
    <x v="6"/>
    <s v="Holmes"/>
    <s v="Belinda Holmes"/>
    <x v="1"/>
    <n v="24"/>
    <x v="2"/>
    <x v="29"/>
    <x v="624"/>
    <x v="1"/>
    <x v="1"/>
  </r>
  <r>
    <x v="17"/>
    <s v="Owens"/>
    <s v="Richard Owens"/>
    <x v="0"/>
    <n v="58"/>
    <x v="0"/>
    <x v="35"/>
    <x v="625"/>
    <x v="1"/>
    <x v="5"/>
  </r>
  <r>
    <x v="135"/>
    <s v="Armstrong"/>
    <s v="Reid Armstrong"/>
    <x v="0"/>
    <n v="43"/>
    <x v="1"/>
    <x v="5"/>
    <x v="626"/>
    <x v="0"/>
    <x v="5"/>
  </r>
  <r>
    <x v="186"/>
    <s v="Gibson"/>
    <s v="Olivia Gibson"/>
    <x v="1"/>
    <n v="40"/>
    <x v="1"/>
    <x v="22"/>
    <x v="627"/>
    <x v="1"/>
    <x v="1"/>
  </r>
  <r>
    <x v="4"/>
    <s v="Williams"/>
    <s v="Fenton Williams"/>
    <x v="0"/>
    <n v="47"/>
    <x v="1"/>
    <x v="50"/>
    <x v="628"/>
    <x v="1"/>
    <x v="2"/>
  </r>
  <r>
    <x v="161"/>
    <s v="Mitchell"/>
    <s v="George Mitchell"/>
    <x v="0"/>
    <n v="46"/>
    <x v="1"/>
    <x v="30"/>
    <x v="629"/>
    <x v="0"/>
    <x v="0"/>
  </r>
  <r>
    <x v="190"/>
    <s v="Thomas"/>
    <s v="Miley Thomas"/>
    <x v="1"/>
    <n v="49"/>
    <x v="1"/>
    <x v="22"/>
    <x v="630"/>
    <x v="1"/>
    <x v="0"/>
  </r>
  <r>
    <x v="187"/>
    <s v="West"/>
    <s v="Clark West"/>
    <x v="0"/>
    <n v="50"/>
    <x v="1"/>
    <x v="50"/>
    <x v="631"/>
    <x v="0"/>
    <x v="5"/>
  </r>
  <r>
    <x v="127"/>
    <s v="Brown"/>
    <s v="Rubie Brown"/>
    <x v="1"/>
    <n v="49"/>
    <x v="1"/>
    <x v="48"/>
    <x v="632"/>
    <x v="1"/>
    <x v="1"/>
  </r>
  <r>
    <x v="126"/>
    <s v="Williams"/>
    <s v="Adison Williams"/>
    <x v="0"/>
    <n v="31"/>
    <x v="1"/>
    <x v="6"/>
    <x v="633"/>
    <x v="1"/>
    <x v="2"/>
  </r>
  <r>
    <x v="54"/>
    <s v="Hawkins"/>
    <s v="Dale Hawkins"/>
    <x v="0"/>
    <n v="46"/>
    <x v="1"/>
    <x v="29"/>
    <x v="634"/>
    <x v="1"/>
    <x v="2"/>
  </r>
  <r>
    <x v="130"/>
    <s v="Cameron"/>
    <s v="Charlotte Cameron"/>
    <x v="1"/>
    <n v="36"/>
    <x v="1"/>
    <x v="15"/>
    <x v="635"/>
    <x v="0"/>
    <x v="3"/>
  </r>
  <r>
    <x v="39"/>
    <s v="Foster"/>
    <s v="Myra Foster"/>
    <x v="1"/>
    <n v="60"/>
    <x v="0"/>
    <x v="33"/>
    <x v="636"/>
    <x v="1"/>
    <x v="2"/>
  </r>
  <r>
    <x v="194"/>
    <s v="Casey"/>
    <s v="Daisy Casey"/>
    <x v="1"/>
    <n v="47"/>
    <x v="1"/>
    <x v="38"/>
    <x v="637"/>
    <x v="1"/>
    <x v="4"/>
  </r>
  <r>
    <x v="149"/>
    <s v="Payne"/>
    <s v="Naomi Payne"/>
    <x v="1"/>
    <n v="56"/>
    <x v="0"/>
    <x v="26"/>
    <x v="638"/>
    <x v="0"/>
    <x v="2"/>
  </r>
  <r>
    <x v="34"/>
    <s v="Murray"/>
    <s v="Eddy Murray"/>
    <x v="0"/>
    <n v="29"/>
    <x v="2"/>
    <x v="23"/>
    <x v="639"/>
    <x v="1"/>
    <x v="5"/>
  </r>
  <r>
    <x v="23"/>
    <s v="Ryan"/>
    <s v="Walter Ryan"/>
    <x v="0"/>
    <n v="36"/>
    <x v="1"/>
    <x v="8"/>
    <x v="640"/>
    <x v="1"/>
    <x v="1"/>
  </r>
  <r>
    <x v="195"/>
    <s v="Wright"/>
    <s v="Alisa Wright"/>
    <x v="1"/>
    <n v="47"/>
    <x v="1"/>
    <x v="16"/>
    <x v="641"/>
    <x v="1"/>
    <x v="4"/>
  </r>
  <r>
    <x v="43"/>
    <s v="Richards"/>
    <s v="Mary Richards"/>
    <x v="1"/>
    <n v="55"/>
    <x v="0"/>
    <x v="36"/>
    <x v="642"/>
    <x v="0"/>
    <x v="0"/>
  </r>
  <r>
    <x v="196"/>
    <s v="Higgins"/>
    <s v="Sabrina Higgins"/>
    <x v="1"/>
    <n v="56"/>
    <x v="0"/>
    <x v="49"/>
    <x v="643"/>
    <x v="0"/>
    <x v="1"/>
  </r>
  <r>
    <x v="34"/>
    <s v="Farrell"/>
    <s v="Eddy Farrell"/>
    <x v="0"/>
    <n v="39"/>
    <x v="1"/>
    <x v="3"/>
    <x v="72"/>
    <x v="1"/>
    <x v="1"/>
  </r>
  <r>
    <x v="42"/>
    <s v="Montgomery"/>
    <s v="Jordan Montgomery"/>
    <x v="0"/>
    <n v="53"/>
    <x v="0"/>
    <x v="12"/>
    <x v="644"/>
    <x v="0"/>
    <x v="2"/>
  </r>
  <r>
    <x v="41"/>
    <s v="Crawford"/>
    <s v="Honey Crawford"/>
    <x v="1"/>
    <n v="23"/>
    <x v="2"/>
    <x v="15"/>
    <x v="645"/>
    <x v="0"/>
    <x v="1"/>
  </r>
  <r>
    <x v="75"/>
    <s v="Carroll"/>
    <s v="Stella Carroll"/>
    <x v="1"/>
    <n v="31"/>
    <x v="1"/>
    <x v="42"/>
    <x v="646"/>
    <x v="1"/>
    <x v="3"/>
  </r>
  <r>
    <x v="18"/>
    <s v="Grant"/>
    <s v="Alan Grant"/>
    <x v="0"/>
    <n v="23"/>
    <x v="2"/>
    <x v="32"/>
    <x v="647"/>
    <x v="1"/>
    <x v="4"/>
  </r>
  <r>
    <x v="43"/>
    <s v="Ellis"/>
    <s v="Mary Ellis"/>
    <x v="1"/>
    <n v="36"/>
    <x v="1"/>
    <x v="27"/>
    <x v="612"/>
    <x v="0"/>
    <x v="0"/>
  </r>
  <r>
    <x v="119"/>
    <s v="Anderson"/>
    <s v="James Anderson"/>
    <x v="0"/>
    <n v="27"/>
    <x v="2"/>
    <x v="32"/>
    <x v="648"/>
    <x v="1"/>
    <x v="4"/>
  </r>
  <r>
    <x v="89"/>
    <s v="Perkins"/>
    <s v="Alissa Perkins"/>
    <x v="1"/>
    <n v="19"/>
    <x v="2"/>
    <x v="11"/>
    <x v="649"/>
    <x v="0"/>
    <x v="4"/>
  </r>
  <r>
    <x v="136"/>
    <s v="Rogers"/>
    <s v="Caroline Rogers"/>
    <x v="1"/>
    <n v="21"/>
    <x v="2"/>
    <x v="7"/>
    <x v="650"/>
    <x v="0"/>
    <x v="5"/>
  </r>
  <r>
    <x v="139"/>
    <s v="Thomas"/>
    <s v="Byron Thomas"/>
    <x v="0"/>
    <n v="45"/>
    <x v="1"/>
    <x v="50"/>
    <x v="651"/>
    <x v="1"/>
    <x v="4"/>
  </r>
  <r>
    <x v="15"/>
    <s v="Higgins"/>
    <s v="Edgar Higgins"/>
    <x v="0"/>
    <n v="25"/>
    <x v="2"/>
    <x v="25"/>
    <x v="652"/>
    <x v="0"/>
    <x v="0"/>
  </r>
  <r>
    <x v="197"/>
    <s v="Martin"/>
    <s v="Jasmine Martin"/>
    <x v="1"/>
    <n v="31"/>
    <x v="1"/>
    <x v="32"/>
    <x v="653"/>
    <x v="0"/>
    <x v="0"/>
  </r>
  <r>
    <x v="31"/>
    <s v="Miller"/>
    <s v="Tara Miller"/>
    <x v="1"/>
    <n v="23"/>
    <x v="2"/>
    <x v="10"/>
    <x v="654"/>
    <x v="0"/>
    <x v="2"/>
  </r>
  <r>
    <x v="130"/>
    <s v="Warren"/>
    <s v="Charlotte Warren"/>
    <x v="1"/>
    <n v="29"/>
    <x v="2"/>
    <x v="12"/>
    <x v="655"/>
    <x v="0"/>
    <x v="5"/>
  </r>
  <r>
    <x v="194"/>
    <s v="Alexander"/>
    <s v="Daisy Alexander"/>
    <x v="1"/>
    <n v="22"/>
    <x v="2"/>
    <x v="42"/>
    <x v="656"/>
    <x v="1"/>
    <x v="0"/>
  </r>
  <r>
    <x v="156"/>
    <s v="Edwards"/>
    <s v="John Edwards"/>
    <x v="0"/>
    <n v="48"/>
    <x v="1"/>
    <x v="42"/>
    <x v="657"/>
    <x v="0"/>
    <x v="3"/>
  </r>
  <r>
    <x v="74"/>
    <s v="Elliott"/>
    <s v="Florrie Elliott"/>
    <x v="1"/>
    <n v="40"/>
    <x v="1"/>
    <x v="51"/>
    <x v="658"/>
    <x v="1"/>
    <x v="1"/>
  </r>
  <r>
    <x v="98"/>
    <s v="Cooper"/>
    <s v="Arianna Cooper"/>
    <x v="1"/>
    <n v="41"/>
    <x v="1"/>
    <x v="23"/>
    <x v="659"/>
    <x v="1"/>
    <x v="2"/>
  </r>
  <r>
    <x v="68"/>
    <s v="Morrison"/>
    <s v="Robert Morrison"/>
    <x v="0"/>
    <n v="56"/>
    <x v="0"/>
    <x v="34"/>
    <x v="660"/>
    <x v="0"/>
    <x v="5"/>
  </r>
  <r>
    <x v="158"/>
    <s v="Bennett"/>
    <s v="Blake Bennett"/>
    <x v="0"/>
    <n v="51"/>
    <x v="0"/>
    <x v="22"/>
    <x v="661"/>
    <x v="1"/>
    <x v="5"/>
  </r>
  <r>
    <x v="176"/>
    <s v="Taylor"/>
    <s v="Justin Taylor"/>
    <x v="0"/>
    <n v="41"/>
    <x v="1"/>
    <x v="42"/>
    <x v="662"/>
    <x v="1"/>
    <x v="1"/>
  </r>
  <r>
    <x v="65"/>
    <s v="Elliott"/>
    <s v="Haris Elliott"/>
    <x v="0"/>
    <n v="55"/>
    <x v="0"/>
    <x v="42"/>
    <x v="663"/>
    <x v="0"/>
    <x v="1"/>
  </r>
  <r>
    <x v="124"/>
    <s v="Williams"/>
    <s v="Lily Williams"/>
    <x v="1"/>
    <n v="22"/>
    <x v="2"/>
    <x v="16"/>
    <x v="664"/>
    <x v="0"/>
    <x v="2"/>
  </r>
  <r>
    <x v="181"/>
    <s v="Russell"/>
    <s v="Annabella Russell"/>
    <x v="1"/>
    <n v="50"/>
    <x v="1"/>
    <x v="27"/>
    <x v="65"/>
    <x v="1"/>
    <x v="1"/>
  </r>
  <r>
    <x v="67"/>
    <s v="Perkins"/>
    <s v="Michael Perkins"/>
    <x v="0"/>
    <n v="23"/>
    <x v="2"/>
    <x v="18"/>
    <x v="12"/>
    <x v="1"/>
    <x v="4"/>
  </r>
  <r>
    <x v="53"/>
    <s v="Owens"/>
    <s v="Nicole Owens"/>
    <x v="1"/>
    <n v="32"/>
    <x v="1"/>
    <x v="38"/>
    <x v="665"/>
    <x v="1"/>
    <x v="0"/>
  </r>
  <r>
    <x v="116"/>
    <s v="Walker"/>
    <s v="Kristian Walker"/>
    <x v="0"/>
    <n v="59"/>
    <x v="0"/>
    <x v="22"/>
    <x v="666"/>
    <x v="0"/>
    <x v="1"/>
  </r>
  <r>
    <x v="31"/>
    <s v="Richardson"/>
    <s v="Tara Richardson"/>
    <x v="1"/>
    <n v="55"/>
    <x v="0"/>
    <x v="28"/>
    <x v="667"/>
    <x v="0"/>
    <x v="5"/>
  </r>
  <r>
    <x v="152"/>
    <s v="Farrell"/>
    <s v="Ned Farrell"/>
    <x v="0"/>
    <n v="52"/>
    <x v="0"/>
    <x v="38"/>
    <x v="668"/>
    <x v="0"/>
    <x v="2"/>
  </r>
  <r>
    <x v="176"/>
    <s v="Mason"/>
    <s v="Justin Mason"/>
    <x v="0"/>
    <n v="57"/>
    <x v="0"/>
    <x v="8"/>
    <x v="669"/>
    <x v="1"/>
    <x v="2"/>
  </r>
  <r>
    <x v="155"/>
    <s v="Cooper"/>
    <s v="Adrianna Cooper"/>
    <x v="1"/>
    <n v="32"/>
    <x v="1"/>
    <x v="10"/>
    <x v="670"/>
    <x v="1"/>
    <x v="1"/>
  </r>
  <r>
    <x v="147"/>
    <s v="Harper"/>
    <s v="Lana Harper"/>
    <x v="1"/>
    <n v="55"/>
    <x v="0"/>
    <x v="13"/>
    <x v="671"/>
    <x v="1"/>
    <x v="3"/>
  </r>
  <r>
    <x v="106"/>
    <s v="Moore"/>
    <s v="Ada Moore"/>
    <x v="1"/>
    <n v="43"/>
    <x v="1"/>
    <x v="13"/>
    <x v="672"/>
    <x v="1"/>
    <x v="0"/>
  </r>
  <r>
    <x v="187"/>
    <s v="Hawkins"/>
    <s v="Clark Hawkins"/>
    <x v="0"/>
    <n v="53"/>
    <x v="0"/>
    <x v="3"/>
    <x v="673"/>
    <x v="0"/>
    <x v="0"/>
  </r>
  <r>
    <x v="182"/>
    <s v="Riley"/>
    <s v="Alfred Riley"/>
    <x v="0"/>
    <n v="48"/>
    <x v="1"/>
    <x v="44"/>
    <x v="674"/>
    <x v="0"/>
    <x v="0"/>
  </r>
  <r>
    <x v="126"/>
    <s v="Bailey"/>
    <s v="Adison Bailey"/>
    <x v="0"/>
    <n v="32"/>
    <x v="1"/>
    <x v="9"/>
    <x v="675"/>
    <x v="0"/>
    <x v="4"/>
  </r>
  <r>
    <x v="22"/>
    <s v="Gibson"/>
    <s v="Sofia Gibson"/>
    <x v="1"/>
    <n v="58"/>
    <x v="0"/>
    <x v="14"/>
    <x v="676"/>
    <x v="1"/>
    <x v="1"/>
  </r>
  <r>
    <x v="19"/>
    <s v="Evans"/>
    <s v="Nicholas Evans"/>
    <x v="0"/>
    <n v="28"/>
    <x v="2"/>
    <x v="30"/>
    <x v="677"/>
    <x v="0"/>
    <x v="0"/>
  </r>
  <r>
    <x v="61"/>
    <s v="Adams"/>
    <s v="Sienna Adams"/>
    <x v="1"/>
    <n v="35"/>
    <x v="1"/>
    <x v="13"/>
    <x v="678"/>
    <x v="1"/>
    <x v="4"/>
  </r>
  <r>
    <x v="63"/>
    <s v="Davis"/>
    <s v="Heather Davis"/>
    <x v="1"/>
    <n v="19"/>
    <x v="2"/>
    <x v="20"/>
    <x v="679"/>
    <x v="1"/>
    <x v="5"/>
  </r>
  <r>
    <x v="70"/>
    <s v="Barrett"/>
    <s v="Owen Barrett"/>
    <x v="0"/>
    <n v="40"/>
    <x v="1"/>
    <x v="10"/>
    <x v="680"/>
    <x v="0"/>
    <x v="3"/>
  </r>
  <r>
    <x v="106"/>
    <s v="Dixon"/>
    <s v="Ada Dixon"/>
    <x v="1"/>
    <n v="27"/>
    <x v="2"/>
    <x v="41"/>
    <x v="681"/>
    <x v="0"/>
    <x v="5"/>
  </r>
  <r>
    <x v="198"/>
    <s v="Johnson"/>
    <s v="Joyce Johnson"/>
    <x v="1"/>
    <n v="31"/>
    <x v="1"/>
    <x v="21"/>
    <x v="682"/>
    <x v="1"/>
    <x v="3"/>
  </r>
  <r>
    <x v="87"/>
    <s v="Scott"/>
    <s v="Catherine Scott"/>
    <x v="1"/>
    <n v="54"/>
    <x v="0"/>
    <x v="52"/>
    <x v="683"/>
    <x v="1"/>
    <x v="2"/>
  </r>
  <r>
    <x v="193"/>
    <s v="West"/>
    <s v="Antony West"/>
    <x v="0"/>
    <n v="53"/>
    <x v="0"/>
    <x v="29"/>
    <x v="684"/>
    <x v="0"/>
    <x v="1"/>
  </r>
  <r>
    <x v="97"/>
    <s v="Clark"/>
    <s v="Carina Clark"/>
    <x v="1"/>
    <n v="57"/>
    <x v="0"/>
    <x v="46"/>
    <x v="685"/>
    <x v="0"/>
    <x v="0"/>
  </r>
  <r>
    <x v="177"/>
    <s v="Hall"/>
    <s v="Alford Hall"/>
    <x v="0"/>
    <n v="58"/>
    <x v="0"/>
    <x v="27"/>
    <x v="686"/>
    <x v="0"/>
    <x v="1"/>
  </r>
  <r>
    <x v="11"/>
    <s v="Owens"/>
    <s v="Tiana Owens"/>
    <x v="1"/>
    <n v="60"/>
    <x v="0"/>
    <x v="0"/>
    <x v="687"/>
    <x v="1"/>
    <x v="1"/>
  </r>
  <r>
    <x v="113"/>
    <s v="Foster"/>
    <s v="Lilianna Foster"/>
    <x v="1"/>
    <n v="30"/>
    <x v="2"/>
    <x v="39"/>
    <x v="688"/>
    <x v="0"/>
    <x v="4"/>
  </r>
  <r>
    <x v="197"/>
    <s v="Fowler"/>
    <s v="Jasmine Fowler"/>
    <x v="1"/>
    <n v="54"/>
    <x v="0"/>
    <x v="4"/>
    <x v="689"/>
    <x v="1"/>
    <x v="0"/>
  </r>
  <r>
    <x v="155"/>
    <s v="Kelley"/>
    <s v="Adrianna Kelley"/>
    <x v="1"/>
    <n v="44"/>
    <x v="1"/>
    <x v="6"/>
    <x v="690"/>
    <x v="0"/>
    <x v="5"/>
  </r>
  <r>
    <x v="46"/>
    <s v="Howard"/>
    <s v="Brad Howard"/>
    <x v="0"/>
    <n v="19"/>
    <x v="2"/>
    <x v="4"/>
    <x v="691"/>
    <x v="0"/>
    <x v="0"/>
  </r>
  <r>
    <x v="28"/>
    <s v="Stewart"/>
    <s v="Jenna Stewart"/>
    <x v="1"/>
    <n v="38"/>
    <x v="1"/>
    <x v="28"/>
    <x v="692"/>
    <x v="1"/>
    <x v="0"/>
  </r>
  <r>
    <x v="95"/>
    <s v="Campbell"/>
    <s v="Marcus Campbell"/>
    <x v="0"/>
    <n v="24"/>
    <x v="2"/>
    <x v="42"/>
    <x v="693"/>
    <x v="1"/>
    <x v="2"/>
  </r>
  <r>
    <x v="128"/>
    <s v="Wells"/>
    <s v="Gianna Wells"/>
    <x v="1"/>
    <n v="19"/>
    <x v="2"/>
    <x v="21"/>
    <x v="694"/>
    <x v="1"/>
    <x v="4"/>
  </r>
  <r>
    <x v="5"/>
    <s v="Thomas"/>
    <s v="Lucas Thomas"/>
    <x v="0"/>
    <n v="18"/>
    <x v="2"/>
    <x v="32"/>
    <x v="414"/>
    <x v="0"/>
    <x v="1"/>
  </r>
  <r>
    <x v="50"/>
    <s v="Turner"/>
    <s v="April Turner"/>
    <x v="1"/>
    <n v="35"/>
    <x v="1"/>
    <x v="14"/>
    <x v="695"/>
    <x v="1"/>
    <x v="0"/>
  </r>
  <r>
    <x v="59"/>
    <s v="Barrett"/>
    <s v="Eric Barrett"/>
    <x v="0"/>
    <n v="19"/>
    <x v="2"/>
    <x v="17"/>
    <x v="696"/>
    <x v="1"/>
    <x v="3"/>
  </r>
  <r>
    <x v="162"/>
    <s v="Evans"/>
    <s v="Ted Evans"/>
    <x v="0"/>
    <n v="18"/>
    <x v="2"/>
    <x v="52"/>
    <x v="697"/>
    <x v="0"/>
    <x v="0"/>
  </r>
  <r>
    <x v="138"/>
    <s v="Hawkins"/>
    <s v="Cadie Hawkins"/>
    <x v="1"/>
    <n v="47"/>
    <x v="1"/>
    <x v="42"/>
    <x v="698"/>
    <x v="0"/>
    <x v="3"/>
  </r>
  <r>
    <x v="124"/>
    <s v="Wright"/>
    <s v="Lily Wright"/>
    <x v="1"/>
    <n v="20"/>
    <x v="2"/>
    <x v="43"/>
    <x v="699"/>
    <x v="1"/>
    <x v="1"/>
  </r>
  <r>
    <x v="19"/>
    <s v="Warren"/>
    <s v="Nicholas Warren"/>
    <x v="0"/>
    <n v="54"/>
    <x v="0"/>
    <x v="21"/>
    <x v="700"/>
    <x v="1"/>
    <x v="3"/>
  </r>
  <r>
    <x v="103"/>
    <s v="Hill"/>
    <s v="Fiona Hill"/>
    <x v="1"/>
    <n v="60"/>
    <x v="0"/>
    <x v="32"/>
    <x v="701"/>
    <x v="1"/>
    <x v="4"/>
  </r>
  <r>
    <x v="103"/>
    <s v="Kelly"/>
    <s v="Fiona Kelly"/>
    <x v="1"/>
    <n v="26"/>
    <x v="2"/>
    <x v="32"/>
    <x v="702"/>
    <x v="0"/>
    <x v="3"/>
  </r>
  <r>
    <x v="199"/>
    <s v="Carroll"/>
    <s v="William Carroll"/>
    <x v="0"/>
    <n v="42"/>
    <x v="1"/>
    <x v="17"/>
    <x v="703"/>
    <x v="0"/>
    <x v="3"/>
  </r>
  <r>
    <x v="179"/>
    <s v="Turner"/>
    <s v="Melissa Turner"/>
    <x v="1"/>
    <n v="50"/>
    <x v="1"/>
    <x v="49"/>
    <x v="704"/>
    <x v="1"/>
    <x v="5"/>
  </r>
  <r>
    <x v="182"/>
    <s v="Henderson"/>
    <s v="Alfred Henderson"/>
    <x v="0"/>
    <n v="47"/>
    <x v="1"/>
    <x v="28"/>
    <x v="705"/>
    <x v="1"/>
    <x v="2"/>
  </r>
  <r>
    <x v="114"/>
    <s v="Warren"/>
    <s v="Deanna Warren"/>
    <x v="1"/>
    <n v="49"/>
    <x v="1"/>
    <x v="50"/>
    <x v="706"/>
    <x v="1"/>
    <x v="3"/>
  </r>
  <r>
    <x v="99"/>
    <s v="Roberts"/>
    <s v="Ryan Roberts"/>
    <x v="0"/>
    <n v="32"/>
    <x v="1"/>
    <x v="40"/>
    <x v="707"/>
    <x v="0"/>
    <x v="3"/>
  </r>
  <r>
    <x v="158"/>
    <s v="Morgan"/>
    <s v="Blake Morgan"/>
    <x v="0"/>
    <n v="42"/>
    <x v="1"/>
    <x v="14"/>
    <x v="708"/>
    <x v="1"/>
    <x v="3"/>
  </r>
  <r>
    <x v="127"/>
    <s v="Hunt"/>
    <s v="Rubie Hunt"/>
    <x v="1"/>
    <n v="59"/>
    <x v="0"/>
    <x v="17"/>
    <x v="709"/>
    <x v="1"/>
    <x v="4"/>
  </r>
  <r>
    <x v="170"/>
    <s v="Hill"/>
    <s v="Victoria Hill"/>
    <x v="1"/>
    <n v="49"/>
    <x v="1"/>
    <x v="4"/>
    <x v="710"/>
    <x v="1"/>
    <x v="3"/>
  </r>
  <r>
    <x v="87"/>
    <s v="Higgins"/>
    <s v="Catherine Higgins"/>
    <x v="1"/>
    <n v="21"/>
    <x v="2"/>
    <x v="48"/>
    <x v="711"/>
    <x v="1"/>
    <x v="3"/>
  </r>
  <r>
    <x v="63"/>
    <s v="Hawkins"/>
    <s v="Heather Hawkins"/>
    <x v="1"/>
    <n v="21"/>
    <x v="2"/>
    <x v="0"/>
    <x v="712"/>
    <x v="0"/>
    <x v="5"/>
  </r>
  <r>
    <x v="177"/>
    <s v="Myers"/>
    <s v="Alford Myers"/>
    <x v="0"/>
    <n v="57"/>
    <x v="0"/>
    <x v="4"/>
    <x v="713"/>
    <x v="0"/>
    <x v="2"/>
  </r>
  <r>
    <x v="159"/>
    <s v="Mason"/>
    <s v="Preston Mason"/>
    <x v="0"/>
    <n v="38"/>
    <x v="1"/>
    <x v="28"/>
    <x v="714"/>
    <x v="0"/>
    <x v="2"/>
  </r>
  <r>
    <x v="52"/>
    <s v="Allen"/>
    <s v="Alexander Allen"/>
    <x v="0"/>
    <n v="47"/>
    <x v="1"/>
    <x v="41"/>
    <x v="715"/>
    <x v="1"/>
    <x v="5"/>
  </r>
  <r>
    <x v="25"/>
    <s v="Richardson"/>
    <s v="Lucy Richardson"/>
    <x v="1"/>
    <n v="49"/>
    <x v="1"/>
    <x v="48"/>
    <x v="716"/>
    <x v="0"/>
    <x v="0"/>
  </r>
  <r>
    <x v="14"/>
    <s v="Hall"/>
    <s v="Connie Hall"/>
    <x v="1"/>
    <n v="30"/>
    <x v="2"/>
    <x v="44"/>
    <x v="717"/>
    <x v="1"/>
    <x v="4"/>
  </r>
  <r>
    <x v="135"/>
    <s v="West"/>
    <s v="Reid West"/>
    <x v="0"/>
    <n v="43"/>
    <x v="1"/>
    <x v="26"/>
    <x v="718"/>
    <x v="0"/>
    <x v="3"/>
  </r>
  <r>
    <x v="106"/>
    <s v="Parker"/>
    <s v="Ada Parker"/>
    <x v="1"/>
    <n v="41"/>
    <x v="1"/>
    <x v="46"/>
    <x v="719"/>
    <x v="1"/>
    <x v="0"/>
  </r>
  <r>
    <x v="88"/>
    <s v="Mitchell"/>
    <s v="Oliver Mitchell"/>
    <x v="0"/>
    <n v="35"/>
    <x v="1"/>
    <x v="37"/>
    <x v="720"/>
    <x v="0"/>
    <x v="2"/>
  </r>
  <r>
    <x v="15"/>
    <s v="Carter"/>
    <s v="Edgar Carter"/>
    <x v="0"/>
    <n v="49"/>
    <x v="1"/>
    <x v="30"/>
    <x v="721"/>
    <x v="1"/>
    <x v="5"/>
  </r>
  <r>
    <x v="86"/>
    <s v="Higgins"/>
    <s v="Garry Higgins"/>
    <x v="0"/>
    <n v="33"/>
    <x v="1"/>
    <x v="13"/>
    <x v="722"/>
    <x v="1"/>
    <x v="5"/>
  </r>
  <r>
    <x v="131"/>
    <s v="Reed"/>
    <s v="Julian Reed"/>
    <x v="0"/>
    <n v="41"/>
    <x v="1"/>
    <x v="45"/>
    <x v="723"/>
    <x v="0"/>
    <x v="4"/>
  </r>
  <r>
    <x v="132"/>
    <s v="Stewart"/>
    <s v="Albert Stewart"/>
    <x v="0"/>
    <n v="29"/>
    <x v="2"/>
    <x v="47"/>
    <x v="724"/>
    <x v="0"/>
    <x v="0"/>
  </r>
  <r>
    <x v="139"/>
    <s v="Bennett"/>
    <s v="Byron Bennett"/>
    <x v="0"/>
    <n v="51"/>
    <x v="0"/>
    <x v="25"/>
    <x v="725"/>
    <x v="1"/>
    <x v="2"/>
  </r>
  <r>
    <x v="53"/>
    <s v="Hill"/>
    <s v="Nicole Hill"/>
    <x v="1"/>
    <n v="24"/>
    <x v="2"/>
    <x v="41"/>
    <x v="726"/>
    <x v="0"/>
    <x v="1"/>
  </r>
  <r>
    <x v="37"/>
    <s v="Parker"/>
    <s v="Emma Parker"/>
    <x v="1"/>
    <n v="55"/>
    <x v="0"/>
    <x v="24"/>
    <x v="727"/>
    <x v="0"/>
    <x v="1"/>
  </r>
  <r>
    <x v="90"/>
    <s v="Adams"/>
    <s v="Spike Adams"/>
    <x v="0"/>
    <n v="50"/>
    <x v="1"/>
    <x v="25"/>
    <x v="728"/>
    <x v="0"/>
    <x v="4"/>
  </r>
  <r>
    <x v="99"/>
    <s v="Harrison"/>
    <s v="Ryan Harrison"/>
    <x v="0"/>
    <n v="50"/>
    <x v="1"/>
    <x v="36"/>
    <x v="729"/>
    <x v="0"/>
    <x v="1"/>
  </r>
  <r>
    <x v="45"/>
    <s v="Henderson"/>
    <s v="Jack Henderson"/>
    <x v="0"/>
    <n v="58"/>
    <x v="0"/>
    <x v="11"/>
    <x v="730"/>
    <x v="0"/>
    <x v="5"/>
  </r>
  <r>
    <x v="200"/>
    <s v="Parker"/>
    <s v="Derek Parker"/>
    <x v="0"/>
    <n v="30"/>
    <x v="2"/>
    <x v="1"/>
    <x v="731"/>
    <x v="1"/>
    <x v="0"/>
  </r>
  <r>
    <x v="141"/>
    <s v="Sullivan"/>
    <s v="Paul Sullivan"/>
    <x v="0"/>
    <n v="51"/>
    <x v="0"/>
    <x v="47"/>
    <x v="732"/>
    <x v="0"/>
    <x v="2"/>
  </r>
  <r>
    <x v="81"/>
    <s v="Riley"/>
    <s v="Elian Riley"/>
    <x v="0"/>
    <n v="50"/>
    <x v="1"/>
    <x v="0"/>
    <x v="733"/>
    <x v="0"/>
    <x v="3"/>
  </r>
  <r>
    <x v="40"/>
    <s v="Richardson"/>
    <s v="Henry Richardson"/>
    <x v="0"/>
    <n v="45"/>
    <x v="1"/>
    <x v="49"/>
    <x v="734"/>
    <x v="0"/>
    <x v="0"/>
  </r>
  <r>
    <x v="186"/>
    <s v="Thomas"/>
    <s v="Olivia Thomas"/>
    <x v="1"/>
    <n v="30"/>
    <x v="2"/>
    <x v="35"/>
    <x v="197"/>
    <x v="1"/>
    <x v="0"/>
  </r>
  <r>
    <x v="126"/>
    <s v="Johnston"/>
    <s v="Adison Johnston"/>
    <x v="0"/>
    <n v="24"/>
    <x v="2"/>
    <x v="33"/>
    <x v="735"/>
    <x v="0"/>
    <x v="0"/>
  </r>
  <r>
    <x v="101"/>
    <s v="Hill"/>
    <s v="Savana Hill"/>
    <x v="1"/>
    <n v="39"/>
    <x v="1"/>
    <x v="27"/>
    <x v="736"/>
    <x v="0"/>
    <x v="1"/>
  </r>
  <r>
    <x v="139"/>
    <s v="Casey"/>
    <s v="Byron Casey"/>
    <x v="0"/>
    <n v="57"/>
    <x v="0"/>
    <x v="42"/>
    <x v="737"/>
    <x v="0"/>
    <x v="3"/>
  </r>
  <r>
    <x v="32"/>
    <s v="Edwards"/>
    <s v="Dominik Edwards"/>
    <x v="0"/>
    <n v="59"/>
    <x v="0"/>
    <x v="20"/>
    <x v="652"/>
    <x v="0"/>
    <x v="1"/>
  </r>
  <r>
    <x v="188"/>
    <s v="Grant"/>
    <s v="Patrick Grant"/>
    <x v="0"/>
    <n v="59"/>
    <x v="0"/>
    <x v="40"/>
    <x v="738"/>
    <x v="1"/>
    <x v="2"/>
  </r>
  <r>
    <x v="48"/>
    <s v="Watson"/>
    <s v="Sarah Watson"/>
    <x v="1"/>
    <n v="23"/>
    <x v="2"/>
    <x v="2"/>
    <x v="739"/>
    <x v="0"/>
    <x v="5"/>
  </r>
  <r>
    <x v="30"/>
    <s v="Parker"/>
    <s v="Anna Parker"/>
    <x v="1"/>
    <n v="27"/>
    <x v="2"/>
    <x v="14"/>
    <x v="740"/>
    <x v="0"/>
    <x v="1"/>
  </r>
  <r>
    <x v="64"/>
    <s v="Moore"/>
    <s v="Tony Moore"/>
    <x v="0"/>
    <n v="30"/>
    <x v="2"/>
    <x v="22"/>
    <x v="741"/>
    <x v="1"/>
    <x v="4"/>
  </r>
  <r>
    <x v="189"/>
    <s v="Holmes"/>
    <s v="Alberta Holmes"/>
    <x v="1"/>
    <n v="19"/>
    <x v="2"/>
    <x v="35"/>
    <x v="742"/>
    <x v="1"/>
    <x v="4"/>
  </r>
  <r>
    <x v="67"/>
    <s v="Johnson"/>
    <s v="Michael Johnson"/>
    <x v="0"/>
    <n v="45"/>
    <x v="1"/>
    <x v="0"/>
    <x v="743"/>
    <x v="0"/>
    <x v="3"/>
  </r>
  <r>
    <x v="84"/>
    <s v="Grant"/>
    <s v="Hailey Grant"/>
    <x v="1"/>
    <n v="22"/>
    <x v="2"/>
    <x v="45"/>
    <x v="744"/>
    <x v="1"/>
    <x v="0"/>
  </r>
  <r>
    <x v="75"/>
    <s v="Henderson"/>
    <s v="Stella Henderson"/>
    <x v="1"/>
    <n v="18"/>
    <x v="2"/>
    <x v="24"/>
    <x v="745"/>
    <x v="0"/>
    <x v="2"/>
  </r>
  <r>
    <x v="161"/>
    <s v="Tucker"/>
    <s v="George Tucker"/>
    <x v="0"/>
    <n v="39"/>
    <x v="1"/>
    <x v="38"/>
    <x v="746"/>
    <x v="0"/>
    <x v="1"/>
  </r>
  <r>
    <x v="83"/>
    <s v="Carroll"/>
    <s v="Daryl Carroll"/>
    <x v="0"/>
    <n v="36"/>
    <x v="1"/>
    <x v="10"/>
    <x v="747"/>
    <x v="0"/>
    <x v="4"/>
  </r>
  <r>
    <x v="101"/>
    <s v="Spencer"/>
    <s v="Savana Spencer"/>
    <x v="1"/>
    <n v="26"/>
    <x v="2"/>
    <x v="15"/>
    <x v="748"/>
    <x v="0"/>
    <x v="5"/>
  </r>
  <r>
    <x v="57"/>
    <s v="Grant"/>
    <s v="Kevin Grant"/>
    <x v="0"/>
    <n v="35"/>
    <x v="1"/>
    <x v="9"/>
    <x v="749"/>
    <x v="1"/>
    <x v="0"/>
  </r>
  <r>
    <x v="174"/>
    <s v="Morris"/>
    <s v="Kirsten Morris"/>
    <x v="1"/>
    <n v="44"/>
    <x v="1"/>
    <x v="5"/>
    <x v="750"/>
    <x v="1"/>
    <x v="0"/>
  </r>
  <r>
    <x v="82"/>
    <s v="Bailey"/>
    <s v="Chloe Bailey"/>
    <x v="1"/>
    <n v="30"/>
    <x v="2"/>
    <x v="22"/>
    <x v="751"/>
    <x v="0"/>
    <x v="5"/>
  </r>
  <r>
    <x v="150"/>
    <s v="Kelly"/>
    <s v="Sam Kelly"/>
    <x v="0"/>
    <n v="26"/>
    <x v="2"/>
    <x v="21"/>
    <x v="752"/>
    <x v="1"/>
    <x v="5"/>
  </r>
  <r>
    <x v="142"/>
    <s v="Cunningham"/>
    <s v="Adele Cunningham"/>
    <x v="1"/>
    <n v="36"/>
    <x v="1"/>
    <x v="20"/>
    <x v="753"/>
    <x v="0"/>
    <x v="3"/>
  </r>
  <r>
    <x v="140"/>
    <s v="Baker"/>
    <s v="Edwin Baker"/>
    <x v="0"/>
    <n v="55"/>
    <x v="0"/>
    <x v="38"/>
    <x v="754"/>
    <x v="0"/>
    <x v="1"/>
  </r>
  <r>
    <x v="109"/>
    <s v="Ferguson"/>
    <s v="Adrian Ferguson"/>
    <x v="0"/>
    <n v="55"/>
    <x v="0"/>
    <x v="52"/>
    <x v="755"/>
    <x v="1"/>
    <x v="1"/>
  </r>
  <r>
    <x v="199"/>
    <s v="Lloyd"/>
    <s v="William Lloyd"/>
    <x v="0"/>
    <n v="31"/>
    <x v="1"/>
    <x v="10"/>
    <x v="756"/>
    <x v="0"/>
    <x v="1"/>
  </r>
  <r>
    <x v="89"/>
    <s v="Cunningham"/>
    <s v="Alissa Cunningham"/>
    <x v="1"/>
    <n v="35"/>
    <x v="1"/>
    <x v="41"/>
    <x v="757"/>
    <x v="1"/>
    <x v="4"/>
  </r>
  <r>
    <x v="99"/>
    <s v="Phillips"/>
    <s v="Ryan Phillips"/>
    <x v="0"/>
    <n v="39"/>
    <x v="1"/>
    <x v="31"/>
    <x v="758"/>
    <x v="1"/>
    <x v="1"/>
  </r>
  <r>
    <x v="76"/>
    <s v="Warren"/>
    <s v="Freddie Warren"/>
    <x v="0"/>
    <n v="42"/>
    <x v="1"/>
    <x v="1"/>
    <x v="759"/>
    <x v="0"/>
    <x v="4"/>
  </r>
  <r>
    <x v="10"/>
    <s v="Watson"/>
    <s v="Alina Watson"/>
    <x v="1"/>
    <n v="59"/>
    <x v="0"/>
    <x v="12"/>
    <x v="760"/>
    <x v="0"/>
    <x v="4"/>
  </r>
  <r>
    <x v="64"/>
    <s v="Carroll"/>
    <s v="Tony Carroll"/>
    <x v="0"/>
    <n v="35"/>
    <x v="1"/>
    <x v="5"/>
    <x v="761"/>
    <x v="1"/>
    <x v="4"/>
  </r>
  <r>
    <x v="129"/>
    <s v="Nelson"/>
    <s v="Melanie Nelson"/>
    <x v="1"/>
    <n v="57"/>
    <x v="0"/>
    <x v="50"/>
    <x v="762"/>
    <x v="0"/>
    <x v="5"/>
  </r>
  <r>
    <x v="109"/>
    <s v="Wilson"/>
    <s v="Adrian Wilson"/>
    <x v="0"/>
    <n v="32"/>
    <x v="1"/>
    <x v="5"/>
    <x v="763"/>
    <x v="1"/>
    <x v="3"/>
  </r>
  <r>
    <x v="123"/>
    <s v="Taylor"/>
    <s v="Roland Taylor"/>
    <x v="0"/>
    <n v="51"/>
    <x v="0"/>
    <x v="31"/>
    <x v="764"/>
    <x v="0"/>
    <x v="3"/>
  </r>
  <r>
    <x v="2"/>
    <s v="Wells"/>
    <s v="Charlie Wells"/>
    <x v="0"/>
    <n v="55"/>
    <x v="0"/>
    <x v="35"/>
    <x v="765"/>
    <x v="1"/>
    <x v="5"/>
  </r>
  <r>
    <x v="99"/>
    <s v="Gibson"/>
    <s v="Ryan Gibson"/>
    <x v="0"/>
    <n v="59"/>
    <x v="0"/>
    <x v="46"/>
    <x v="766"/>
    <x v="0"/>
    <x v="5"/>
  </r>
  <r>
    <x v="50"/>
    <s v="Morrison"/>
    <s v="April Morrison"/>
    <x v="1"/>
    <n v="19"/>
    <x v="2"/>
    <x v="35"/>
    <x v="767"/>
    <x v="0"/>
    <x v="2"/>
  </r>
  <r>
    <x v="1"/>
    <s v="Edwards"/>
    <s v="Grace Edwards"/>
    <x v="1"/>
    <n v="31"/>
    <x v="1"/>
    <x v="19"/>
    <x v="768"/>
    <x v="1"/>
    <x v="2"/>
  </r>
  <r>
    <x v="27"/>
    <s v="Miller"/>
    <s v="Frederick Miller"/>
    <x v="0"/>
    <n v="18"/>
    <x v="2"/>
    <x v="45"/>
    <x v="769"/>
    <x v="0"/>
    <x v="0"/>
  </r>
  <r>
    <x v="6"/>
    <s v="Moore"/>
    <s v="Belinda Moore"/>
    <x v="1"/>
    <n v="46"/>
    <x v="1"/>
    <x v="42"/>
    <x v="770"/>
    <x v="0"/>
    <x v="2"/>
  </r>
  <r>
    <x v="75"/>
    <s v="Bennett"/>
    <s v="Stella Bennett"/>
    <x v="1"/>
    <n v="58"/>
    <x v="0"/>
    <x v="49"/>
    <x v="771"/>
    <x v="1"/>
    <x v="4"/>
  </r>
  <r>
    <x v="28"/>
    <s v="Ellis"/>
    <s v="Jenna Ellis"/>
    <x v="1"/>
    <n v="40"/>
    <x v="1"/>
    <x v="12"/>
    <x v="772"/>
    <x v="0"/>
    <x v="0"/>
  </r>
  <r>
    <x v="187"/>
    <s v="Gibson"/>
    <s v="Clark Gibson"/>
    <x v="0"/>
    <n v="55"/>
    <x v="0"/>
    <x v="28"/>
    <x v="773"/>
    <x v="0"/>
    <x v="0"/>
  </r>
  <r>
    <x v="95"/>
    <s v="Nelson"/>
    <s v="Marcus Nelson"/>
    <x v="0"/>
    <n v="43"/>
    <x v="1"/>
    <x v="26"/>
    <x v="774"/>
    <x v="0"/>
    <x v="1"/>
  </r>
  <r>
    <x v="73"/>
    <s v="Mitchell"/>
    <s v="Julia Mitchell"/>
    <x v="1"/>
    <n v="22"/>
    <x v="2"/>
    <x v="43"/>
    <x v="775"/>
    <x v="1"/>
    <x v="3"/>
  </r>
  <r>
    <x v="24"/>
    <s v="Johnston"/>
    <s v="Emily Johnston"/>
    <x v="1"/>
    <n v="59"/>
    <x v="0"/>
    <x v="20"/>
    <x v="776"/>
    <x v="0"/>
    <x v="5"/>
  </r>
  <r>
    <x v="127"/>
    <s v="Rogers"/>
    <s v="Rubie Rogers"/>
    <x v="1"/>
    <n v="33"/>
    <x v="1"/>
    <x v="23"/>
    <x v="777"/>
    <x v="0"/>
    <x v="5"/>
  </r>
  <r>
    <x v="190"/>
    <s v="Moore"/>
    <s v="Miley Moore"/>
    <x v="1"/>
    <n v="52"/>
    <x v="0"/>
    <x v="13"/>
    <x v="778"/>
    <x v="1"/>
    <x v="2"/>
  </r>
  <r>
    <x v="48"/>
    <s v="Cunningham"/>
    <s v="Sarah Cunningham"/>
    <x v="1"/>
    <n v="27"/>
    <x v="2"/>
    <x v="18"/>
    <x v="779"/>
    <x v="0"/>
    <x v="3"/>
  </r>
  <r>
    <x v="160"/>
    <s v="Thomas"/>
    <s v="Violet Thomas"/>
    <x v="1"/>
    <n v="48"/>
    <x v="1"/>
    <x v="32"/>
    <x v="780"/>
    <x v="0"/>
    <x v="4"/>
  </r>
  <r>
    <x v="187"/>
    <s v="Owens"/>
    <s v="Clark Owens"/>
    <x v="0"/>
    <n v="24"/>
    <x v="2"/>
    <x v="35"/>
    <x v="781"/>
    <x v="1"/>
    <x v="5"/>
  </r>
  <r>
    <x v="50"/>
    <s v="Walker"/>
    <s v="April Walker"/>
    <x v="1"/>
    <n v="52"/>
    <x v="0"/>
    <x v="22"/>
    <x v="782"/>
    <x v="1"/>
    <x v="1"/>
  </r>
  <r>
    <x v="109"/>
    <s v="Carter"/>
    <s v="Adrian Carter"/>
    <x v="0"/>
    <n v="21"/>
    <x v="2"/>
    <x v="37"/>
    <x v="783"/>
    <x v="1"/>
    <x v="5"/>
  </r>
  <r>
    <x v="66"/>
    <s v="Carroll"/>
    <s v="Alen Carroll"/>
    <x v="0"/>
    <n v="51"/>
    <x v="0"/>
    <x v="23"/>
    <x v="784"/>
    <x v="1"/>
    <x v="2"/>
  </r>
  <r>
    <x v="27"/>
    <s v="Ryan"/>
    <s v="Frederick Ryan"/>
    <x v="0"/>
    <n v="56"/>
    <x v="0"/>
    <x v="34"/>
    <x v="785"/>
    <x v="0"/>
    <x v="1"/>
  </r>
  <r>
    <x v="86"/>
    <s v="Turner"/>
    <s v="Garry Turner"/>
    <x v="0"/>
    <n v="45"/>
    <x v="1"/>
    <x v="33"/>
    <x v="786"/>
    <x v="0"/>
    <x v="4"/>
  </r>
  <r>
    <x v="96"/>
    <s v="Taylor"/>
    <s v="Brooke Taylor"/>
    <x v="1"/>
    <n v="31"/>
    <x v="1"/>
    <x v="48"/>
    <x v="787"/>
    <x v="1"/>
    <x v="5"/>
  </r>
  <r>
    <x v="92"/>
    <s v="Higgins"/>
    <s v="Agata Higgins"/>
    <x v="1"/>
    <n v="53"/>
    <x v="0"/>
    <x v="29"/>
    <x v="788"/>
    <x v="1"/>
    <x v="1"/>
  </r>
  <r>
    <x v="149"/>
    <s v="Russell"/>
    <s v="Naomi Russell"/>
    <x v="1"/>
    <n v="21"/>
    <x v="2"/>
    <x v="37"/>
    <x v="789"/>
    <x v="0"/>
    <x v="1"/>
  </r>
  <r>
    <x v="188"/>
    <s v="Cooper"/>
    <s v="Patrick Cooper"/>
    <x v="0"/>
    <n v="23"/>
    <x v="2"/>
    <x v="3"/>
    <x v="790"/>
    <x v="0"/>
    <x v="4"/>
  </r>
  <r>
    <x v="169"/>
    <s v="Ryan"/>
    <s v="Chester Ryan"/>
    <x v="0"/>
    <n v="55"/>
    <x v="0"/>
    <x v="36"/>
    <x v="791"/>
    <x v="0"/>
    <x v="5"/>
  </r>
  <r>
    <x v="171"/>
    <s v="Perry"/>
    <s v="Carlos Perry"/>
    <x v="0"/>
    <n v="26"/>
    <x v="2"/>
    <x v="39"/>
    <x v="464"/>
    <x v="0"/>
    <x v="2"/>
  </r>
  <r>
    <x v="176"/>
    <s v="Cole"/>
    <s v="Justin Cole"/>
    <x v="0"/>
    <n v="56"/>
    <x v="0"/>
    <x v="51"/>
    <x v="792"/>
    <x v="1"/>
    <x v="5"/>
  </r>
  <r>
    <x v="152"/>
    <s v="Thompson"/>
    <s v="Ned Thompson"/>
    <x v="0"/>
    <n v="34"/>
    <x v="1"/>
    <x v="43"/>
    <x v="793"/>
    <x v="0"/>
    <x v="4"/>
  </r>
  <r>
    <x v="113"/>
    <s v="Baker"/>
    <s v="Lilianna Baker"/>
    <x v="1"/>
    <n v="30"/>
    <x v="2"/>
    <x v="47"/>
    <x v="794"/>
    <x v="0"/>
    <x v="2"/>
  </r>
  <r>
    <x v="8"/>
    <s v="Elliott"/>
    <s v="Kellan Elliott"/>
    <x v="0"/>
    <n v="19"/>
    <x v="2"/>
    <x v="47"/>
    <x v="795"/>
    <x v="1"/>
    <x v="2"/>
  </r>
  <r>
    <x v="91"/>
    <s v="Cooper"/>
    <s v="Maddie Cooper"/>
    <x v="1"/>
    <n v="34"/>
    <x v="1"/>
    <x v="4"/>
    <x v="796"/>
    <x v="1"/>
    <x v="1"/>
  </r>
  <r>
    <x v="50"/>
    <s v="Stevens"/>
    <s v="April Stevens"/>
    <x v="1"/>
    <n v="35"/>
    <x v="1"/>
    <x v="15"/>
    <x v="797"/>
    <x v="0"/>
    <x v="5"/>
  </r>
  <r>
    <x v="167"/>
    <s v="Gibson"/>
    <s v="Aida Gibson"/>
    <x v="1"/>
    <n v="35"/>
    <x v="1"/>
    <x v="26"/>
    <x v="3"/>
    <x v="1"/>
    <x v="5"/>
  </r>
  <r>
    <x v="112"/>
    <s v="Taylor"/>
    <s v="Vivian Taylor"/>
    <x v="1"/>
    <n v="39"/>
    <x v="1"/>
    <x v="46"/>
    <x v="798"/>
    <x v="1"/>
    <x v="4"/>
  </r>
  <r>
    <x v="24"/>
    <s v="Thomas"/>
    <s v="Emily Thomas"/>
    <x v="1"/>
    <n v="21"/>
    <x v="2"/>
    <x v="28"/>
    <x v="799"/>
    <x v="1"/>
    <x v="2"/>
  </r>
  <r>
    <x v="190"/>
    <s v="Martin"/>
    <s v="Miley Martin"/>
    <x v="1"/>
    <n v="48"/>
    <x v="1"/>
    <x v="25"/>
    <x v="800"/>
    <x v="0"/>
    <x v="3"/>
  </r>
  <r>
    <x v="103"/>
    <s v="Hawkins"/>
    <s v="Fiona Hawkins"/>
    <x v="1"/>
    <n v="58"/>
    <x v="0"/>
    <x v="43"/>
    <x v="801"/>
    <x v="1"/>
    <x v="2"/>
  </r>
  <r>
    <x v="187"/>
    <s v="Stewart"/>
    <s v="Clark Stewart"/>
    <x v="0"/>
    <n v="45"/>
    <x v="1"/>
    <x v="32"/>
    <x v="802"/>
    <x v="0"/>
    <x v="4"/>
  </r>
  <r>
    <x v="72"/>
    <s v="Montgomery"/>
    <s v="Vincent Montgomery"/>
    <x v="0"/>
    <n v="39"/>
    <x v="1"/>
    <x v="9"/>
    <x v="803"/>
    <x v="0"/>
    <x v="2"/>
  </r>
  <r>
    <x v="177"/>
    <s v="Mason"/>
    <s v="Alford Mason"/>
    <x v="0"/>
    <n v="54"/>
    <x v="0"/>
    <x v="20"/>
    <x v="804"/>
    <x v="0"/>
    <x v="4"/>
  </r>
  <r>
    <x v="68"/>
    <s v="Andrews"/>
    <s v="Robert Andrews"/>
    <x v="0"/>
    <n v="29"/>
    <x v="2"/>
    <x v="52"/>
    <x v="805"/>
    <x v="1"/>
    <x v="2"/>
  </r>
  <r>
    <x v="174"/>
    <s v="Allen"/>
    <s v="Kirsten Allen"/>
    <x v="1"/>
    <n v="39"/>
    <x v="1"/>
    <x v="20"/>
    <x v="806"/>
    <x v="1"/>
    <x v="5"/>
  </r>
  <r>
    <x v="131"/>
    <s v="Clark"/>
    <s v="Julian Clark"/>
    <x v="0"/>
    <n v="25"/>
    <x v="2"/>
    <x v="15"/>
    <x v="807"/>
    <x v="0"/>
    <x v="4"/>
  </r>
  <r>
    <x v="26"/>
    <s v="Elliott"/>
    <s v="Edward Elliott"/>
    <x v="0"/>
    <n v="59"/>
    <x v="0"/>
    <x v="39"/>
    <x v="808"/>
    <x v="0"/>
    <x v="5"/>
  </r>
  <r>
    <x v="33"/>
    <s v="Foster"/>
    <s v="Roman Foster"/>
    <x v="0"/>
    <n v="33"/>
    <x v="1"/>
    <x v="25"/>
    <x v="809"/>
    <x v="1"/>
    <x v="2"/>
  </r>
  <r>
    <x v="58"/>
    <s v="Cunningham"/>
    <s v="Maximilian Cunningham"/>
    <x v="0"/>
    <n v="18"/>
    <x v="2"/>
    <x v="5"/>
    <x v="477"/>
    <x v="0"/>
    <x v="3"/>
  </r>
  <r>
    <x v="131"/>
    <s v="Baker"/>
    <s v="Julian Baker"/>
    <x v="0"/>
    <n v="20"/>
    <x v="2"/>
    <x v="25"/>
    <x v="810"/>
    <x v="0"/>
    <x v="2"/>
  </r>
  <r>
    <x v="93"/>
    <s v="Barnes"/>
    <s v="Harold Barnes"/>
    <x v="0"/>
    <n v="50"/>
    <x v="1"/>
    <x v="25"/>
    <x v="811"/>
    <x v="0"/>
    <x v="2"/>
  </r>
  <r>
    <x v="21"/>
    <s v="Watson"/>
    <s v="Lyndon Watson"/>
    <x v="0"/>
    <n v="26"/>
    <x v="2"/>
    <x v="39"/>
    <x v="812"/>
    <x v="1"/>
    <x v="4"/>
  </r>
  <r>
    <x v="166"/>
    <s v="Bailey"/>
    <s v="Edith Bailey"/>
    <x v="1"/>
    <n v="24"/>
    <x v="2"/>
    <x v="27"/>
    <x v="813"/>
    <x v="1"/>
    <x v="2"/>
  </r>
  <r>
    <x v="115"/>
    <s v="Wilson"/>
    <s v="Thomas Wilson"/>
    <x v="0"/>
    <n v="47"/>
    <x v="1"/>
    <x v="40"/>
    <x v="814"/>
    <x v="0"/>
    <x v="4"/>
  </r>
  <r>
    <x v="26"/>
    <s v="Kelly"/>
    <s v="Edward Kelly"/>
    <x v="0"/>
    <n v="50"/>
    <x v="1"/>
    <x v="5"/>
    <x v="815"/>
    <x v="1"/>
    <x v="5"/>
  </r>
  <r>
    <x v="201"/>
    <s v="Chapman"/>
    <s v="Martin Chapman"/>
    <x v="0"/>
    <n v="42"/>
    <x v="1"/>
    <x v="17"/>
    <x v="816"/>
    <x v="0"/>
    <x v="2"/>
  </r>
  <r>
    <x v="168"/>
    <s v="Moore"/>
    <s v="Jessica Moore"/>
    <x v="1"/>
    <n v="36"/>
    <x v="1"/>
    <x v="14"/>
    <x v="817"/>
    <x v="1"/>
    <x v="1"/>
  </r>
  <r>
    <x v="107"/>
    <s v="Baker"/>
    <s v="Paige Baker"/>
    <x v="1"/>
    <n v="38"/>
    <x v="1"/>
    <x v="2"/>
    <x v="818"/>
    <x v="0"/>
    <x v="0"/>
  </r>
  <r>
    <x v="197"/>
    <s v="Higgins"/>
    <s v="Jasmine Higgins"/>
    <x v="1"/>
    <n v="43"/>
    <x v="1"/>
    <x v="26"/>
    <x v="819"/>
    <x v="0"/>
    <x v="0"/>
  </r>
  <r>
    <x v="44"/>
    <s v="Robinson"/>
    <s v="Arnold Robinson"/>
    <x v="0"/>
    <n v="39"/>
    <x v="1"/>
    <x v="48"/>
    <x v="820"/>
    <x v="1"/>
    <x v="1"/>
  </r>
  <r>
    <x v="97"/>
    <s v="Ferguson"/>
    <s v="Carina Ferguson"/>
    <x v="1"/>
    <n v="49"/>
    <x v="1"/>
    <x v="44"/>
    <x v="821"/>
    <x v="0"/>
    <x v="3"/>
  </r>
  <r>
    <x v="202"/>
    <s v="Fowler"/>
    <s v="Michelle Fowler"/>
    <x v="1"/>
    <n v="41"/>
    <x v="1"/>
    <x v="9"/>
    <x v="532"/>
    <x v="0"/>
    <x v="5"/>
  </r>
  <r>
    <x v="175"/>
    <s v="Gray"/>
    <s v="Lucia Gray"/>
    <x v="1"/>
    <n v="59"/>
    <x v="0"/>
    <x v="24"/>
    <x v="822"/>
    <x v="1"/>
    <x v="5"/>
  </r>
  <r>
    <x v="119"/>
    <s v="Johnston"/>
    <s v="James Johnston"/>
    <x v="0"/>
    <n v="41"/>
    <x v="1"/>
    <x v="10"/>
    <x v="823"/>
    <x v="1"/>
    <x v="3"/>
  </r>
  <r>
    <x v="88"/>
    <s v="Robinson"/>
    <s v="Oliver Robinson"/>
    <x v="0"/>
    <n v="60"/>
    <x v="0"/>
    <x v="41"/>
    <x v="824"/>
    <x v="1"/>
    <x v="2"/>
  </r>
  <r>
    <x v="189"/>
    <s v="Wells"/>
    <s v="Alberta Wells"/>
    <x v="1"/>
    <n v="48"/>
    <x v="1"/>
    <x v="24"/>
    <x v="825"/>
    <x v="1"/>
    <x v="2"/>
  </r>
  <r>
    <x v="94"/>
    <s v="Cameron"/>
    <s v="Aiden Cameron"/>
    <x v="0"/>
    <n v="60"/>
    <x v="0"/>
    <x v="8"/>
    <x v="826"/>
    <x v="1"/>
    <x v="5"/>
  </r>
  <r>
    <x v="155"/>
    <s v="Kelley"/>
    <s v="Adrianna Kelley"/>
    <x v="1"/>
    <n v="51"/>
    <x v="0"/>
    <x v="32"/>
    <x v="317"/>
    <x v="1"/>
    <x v="4"/>
  </r>
  <r>
    <x v="156"/>
    <s v="Mason"/>
    <s v="John Mason"/>
    <x v="0"/>
    <n v="37"/>
    <x v="1"/>
    <x v="1"/>
    <x v="827"/>
    <x v="0"/>
    <x v="4"/>
  </r>
  <r>
    <x v="176"/>
    <s v="Perry"/>
    <s v="Justin Perry"/>
    <x v="0"/>
    <n v="37"/>
    <x v="1"/>
    <x v="12"/>
    <x v="828"/>
    <x v="1"/>
    <x v="2"/>
  </r>
  <r>
    <x v="195"/>
    <s v="Phillips"/>
    <s v="Alisa Phillips"/>
    <x v="1"/>
    <n v="21"/>
    <x v="2"/>
    <x v="23"/>
    <x v="829"/>
    <x v="0"/>
    <x v="2"/>
  </r>
  <r>
    <x v="44"/>
    <s v="Barnes"/>
    <s v="Arnold Barnes"/>
    <x v="0"/>
    <n v="50"/>
    <x v="1"/>
    <x v="13"/>
    <x v="830"/>
    <x v="1"/>
    <x v="0"/>
  </r>
  <r>
    <x v="45"/>
    <s v="Robinson"/>
    <s v="Jack Robinson"/>
    <x v="0"/>
    <n v="55"/>
    <x v="0"/>
    <x v="31"/>
    <x v="831"/>
    <x v="1"/>
    <x v="4"/>
  </r>
  <r>
    <x v="200"/>
    <s v="Taylor"/>
    <s v="Derek Taylor"/>
    <x v="0"/>
    <n v="28"/>
    <x v="2"/>
    <x v="46"/>
    <x v="832"/>
    <x v="1"/>
    <x v="1"/>
  </r>
  <r>
    <x v="19"/>
    <s v="Dixon"/>
    <s v="Nicholas Dixon"/>
    <x v="0"/>
    <n v="29"/>
    <x v="2"/>
    <x v="8"/>
    <x v="833"/>
    <x v="0"/>
    <x v="1"/>
  </r>
  <r>
    <x v="131"/>
    <s v="Myers"/>
    <s v="Julian Myers"/>
    <x v="0"/>
    <n v="27"/>
    <x v="2"/>
    <x v="34"/>
    <x v="834"/>
    <x v="1"/>
    <x v="2"/>
  </r>
  <r>
    <x v="96"/>
    <s v="Harrison"/>
    <s v="Brooke Harrison"/>
    <x v="1"/>
    <n v="56"/>
    <x v="0"/>
    <x v="14"/>
    <x v="835"/>
    <x v="0"/>
    <x v="1"/>
  </r>
  <r>
    <x v="149"/>
    <s v="Elliott"/>
    <s v="Naomi Elliott"/>
    <x v="1"/>
    <n v="41"/>
    <x v="1"/>
    <x v="0"/>
    <x v="123"/>
    <x v="0"/>
    <x v="3"/>
  </r>
  <r>
    <x v="157"/>
    <s v="Robinson"/>
    <s v="Penelope Robinson"/>
    <x v="1"/>
    <n v="33"/>
    <x v="1"/>
    <x v="20"/>
    <x v="836"/>
    <x v="1"/>
    <x v="0"/>
  </r>
  <r>
    <x v="177"/>
    <s v="Hamilton"/>
    <s v="Alford Hamilton"/>
    <x v="0"/>
    <n v="36"/>
    <x v="1"/>
    <x v="24"/>
    <x v="837"/>
    <x v="0"/>
    <x v="3"/>
  </r>
  <r>
    <x v="203"/>
    <s v="Craig"/>
    <s v="Sydney Craig"/>
    <x v="1"/>
    <n v="43"/>
    <x v="1"/>
    <x v="0"/>
    <x v="838"/>
    <x v="1"/>
    <x v="1"/>
  </r>
  <r>
    <x v="186"/>
    <s v="Murray"/>
    <s v="Olivia Murray"/>
    <x v="1"/>
    <n v="37"/>
    <x v="1"/>
    <x v="13"/>
    <x v="723"/>
    <x v="1"/>
    <x v="1"/>
  </r>
  <r>
    <x v="89"/>
    <s v="Armstrong"/>
    <s v="Alissa Armstrong"/>
    <x v="1"/>
    <n v="35"/>
    <x v="1"/>
    <x v="37"/>
    <x v="839"/>
    <x v="0"/>
    <x v="5"/>
  </r>
  <r>
    <x v="42"/>
    <s v="Allen"/>
    <s v="Jordan Allen"/>
    <x v="0"/>
    <n v="56"/>
    <x v="0"/>
    <x v="9"/>
    <x v="840"/>
    <x v="1"/>
    <x v="1"/>
  </r>
  <r>
    <x v="10"/>
    <s v="Henderson"/>
    <s v="Alina Henderson"/>
    <x v="1"/>
    <n v="36"/>
    <x v="1"/>
    <x v="36"/>
    <x v="24"/>
    <x v="0"/>
    <x v="2"/>
  </r>
  <r>
    <x v="92"/>
    <s v="Barnes"/>
    <s v="Agata Barnes"/>
    <x v="1"/>
    <n v="20"/>
    <x v="2"/>
    <x v="16"/>
    <x v="413"/>
    <x v="1"/>
    <x v="1"/>
  </r>
  <r>
    <x v="51"/>
    <s v="Wright"/>
    <s v="Bruce Wright"/>
    <x v="0"/>
    <n v="32"/>
    <x v="1"/>
    <x v="31"/>
    <x v="841"/>
    <x v="1"/>
    <x v="5"/>
  </r>
  <r>
    <x v="73"/>
    <s v="Taylor"/>
    <s v="Julia Taylor"/>
    <x v="1"/>
    <n v="47"/>
    <x v="1"/>
    <x v="35"/>
    <x v="842"/>
    <x v="0"/>
    <x v="1"/>
  </r>
  <r>
    <x v="127"/>
    <s v="Bailey"/>
    <s v="Rubie Bailey"/>
    <x v="1"/>
    <n v="53"/>
    <x v="0"/>
    <x v="1"/>
    <x v="843"/>
    <x v="0"/>
    <x v="3"/>
  </r>
  <r>
    <x v="47"/>
    <s v="Barnes"/>
    <s v="Jared Barnes"/>
    <x v="0"/>
    <n v="46"/>
    <x v="1"/>
    <x v="16"/>
    <x v="844"/>
    <x v="1"/>
    <x v="2"/>
  </r>
  <r>
    <x v="199"/>
    <s v="Richardson"/>
    <s v="William Richardson"/>
    <x v="0"/>
    <n v="26"/>
    <x v="2"/>
    <x v="4"/>
    <x v="845"/>
    <x v="0"/>
    <x v="2"/>
  </r>
  <r>
    <x v="60"/>
    <s v="Anderson"/>
    <s v="Samantha Anderson"/>
    <x v="1"/>
    <n v="55"/>
    <x v="0"/>
    <x v="51"/>
    <x v="846"/>
    <x v="1"/>
    <x v="5"/>
  </r>
  <r>
    <x v="166"/>
    <s v="Edwards"/>
    <s v="Edith Edwards"/>
    <x v="1"/>
    <n v="34"/>
    <x v="1"/>
    <x v="27"/>
    <x v="847"/>
    <x v="0"/>
    <x v="5"/>
  </r>
  <r>
    <x v="160"/>
    <s v="Dixon"/>
    <s v="Violet Dixon"/>
    <x v="1"/>
    <n v="53"/>
    <x v="0"/>
    <x v="14"/>
    <x v="848"/>
    <x v="1"/>
    <x v="4"/>
  </r>
  <r>
    <x v="80"/>
    <s v="Smith"/>
    <s v="Arthur Smith"/>
    <x v="0"/>
    <n v="57"/>
    <x v="0"/>
    <x v="15"/>
    <x v="849"/>
    <x v="0"/>
    <x v="1"/>
  </r>
  <r>
    <x v="69"/>
    <s v="Carter"/>
    <s v="Camila Carter"/>
    <x v="1"/>
    <n v="60"/>
    <x v="0"/>
    <x v="44"/>
    <x v="850"/>
    <x v="0"/>
    <x v="2"/>
  </r>
  <r>
    <x v="54"/>
    <s v="Richards"/>
    <s v="Dale Richards"/>
    <x v="0"/>
    <n v="30"/>
    <x v="2"/>
    <x v="15"/>
    <x v="826"/>
    <x v="0"/>
    <x v="1"/>
  </r>
  <r>
    <x v="180"/>
    <s v="Fowler"/>
    <s v="Abigail Fowler"/>
    <x v="1"/>
    <n v="40"/>
    <x v="1"/>
    <x v="40"/>
    <x v="851"/>
    <x v="0"/>
    <x v="2"/>
  </r>
  <r>
    <x v="47"/>
    <s v="Ellis"/>
    <s v="Jared Ellis"/>
    <x v="0"/>
    <n v="28"/>
    <x v="2"/>
    <x v="25"/>
    <x v="852"/>
    <x v="1"/>
    <x v="2"/>
  </r>
  <r>
    <x v="60"/>
    <s v="Foster"/>
    <s v="Samantha Foster"/>
    <x v="1"/>
    <n v="27"/>
    <x v="2"/>
    <x v="25"/>
    <x v="853"/>
    <x v="1"/>
    <x v="2"/>
  </r>
  <r>
    <x v="153"/>
    <s v="Williams"/>
    <s v="Tess Williams"/>
    <x v="1"/>
    <n v="51"/>
    <x v="0"/>
    <x v="0"/>
    <x v="854"/>
    <x v="1"/>
    <x v="3"/>
  </r>
  <r>
    <x v="121"/>
    <s v="Miller"/>
    <s v="Mike Miller"/>
    <x v="0"/>
    <n v="58"/>
    <x v="0"/>
    <x v="36"/>
    <x v="855"/>
    <x v="0"/>
    <x v="5"/>
  </r>
  <r>
    <x v="169"/>
    <s v="Smith"/>
    <s v="Chester Smith"/>
    <x v="0"/>
    <n v="47"/>
    <x v="1"/>
    <x v="22"/>
    <x v="856"/>
    <x v="0"/>
    <x v="2"/>
  </r>
  <r>
    <x v="154"/>
    <s v="Myers"/>
    <s v="Darcy Myers"/>
    <x v="1"/>
    <n v="50"/>
    <x v="1"/>
    <x v="44"/>
    <x v="857"/>
    <x v="1"/>
    <x v="0"/>
  </r>
  <r>
    <x v="115"/>
    <s v="Chapman"/>
    <s v="Thomas Chapman"/>
    <x v="0"/>
    <n v="34"/>
    <x v="1"/>
    <x v="30"/>
    <x v="858"/>
    <x v="1"/>
    <x v="1"/>
  </r>
  <r>
    <x v="44"/>
    <s v="Johnston"/>
    <s v="Arnold Johnston"/>
    <x v="0"/>
    <n v="41"/>
    <x v="1"/>
    <x v="15"/>
    <x v="859"/>
    <x v="1"/>
    <x v="2"/>
  </r>
  <r>
    <x v="21"/>
    <s v="Murphy"/>
    <s v="Lyndon Murphy"/>
    <x v="0"/>
    <n v="56"/>
    <x v="0"/>
    <x v="15"/>
    <x v="860"/>
    <x v="1"/>
    <x v="3"/>
  </r>
  <r>
    <x v="62"/>
    <s v="Spencer"/>
    <s v="Miranda Spencer"/>
    <x v="1"/>
    <n v="33"/>
    <x v="1"/>
    <x v="42"/>
    <x v="861"/>
    <x v="0"/>
    <x v="1"/>
  </r>
  <r>
    <x v="21"/>
    <s v="Fowler"/>
    <s v="Lyndon Fowler"/>
    <x v="0"/>
    <n v="49"/>
    <x v="1"/>
    <x v="33"/>
    <x v="862"/>
    <x v="1"/>
    <x v="1"/>
  </r>
  <r>
    <x v="84"/>
    <s v="Cole"/>
    <s v="Hailey Cole"/>
    <x v="1"/>
    <n v="39"/>
    <x v="1"/>
    <x v="40"/>
    <x v="863"/>
    <x v="1"/>
    <x v="4"/>
  </r>
  <r>
    <x v="91"/>
    <s v="Jones"/>
    <s v="Maddie Jones"/>
    <x v="1"/>
    <n v="32"/>
    <x v="1"/>
    <x v="30"/>
    <x v="864"/>
    <x v="1"/>
    <x v="0"/>
  </r>
  <r>
    <x v="27"/>
    <s v="Craig"/>
    <s v="Frederick Craig"/>
    <x v="0"/>
    <n v="49"/>
    <x v="1"/>
    <x v="34"/>
    <x v="865"/>
    <x v="0"/>
    <x v="1"/>
  </r>
  <r>
    <x v="110"/>
    <s v="Barnes"/>
    <s v="Cherry Barnes"/>
    <x v="1"/>
    <n v="53"/>
    <x v="0"/>
    <x v="45"/>
    <x v="866"/>
    <x v="1"/>
    <x v="5"/>
  </r>
  <r>
    <x v="37"/>
    <s v="Wright"/>
    <s v="Emma Wright"/>
    <x v="1"/>
    <n v="46"/>
    <x v="1"/>
    <x v="27"/>
    <x v="867"/>
    <x v="0"/>
    <x v="2"/>
  </r>
  <r>
    <x v="6"/>
    <s v="Brown"/>
    <s v="Belinda Brown"/>
    <x v="1"/>
    <n v="47"/>
    <x v="1"/>
    <x v="43"/>
    <x v="868"/>
    <x v="0"/>
    <x v="1"/>
  </r>
  <r>
    <x v="99"/>
    <s v="Bennett"/>
    <s v="Ryan Bennett"/>
    <x v="0"/>
    <n v="51"/>
    <x v="0"/>
    <x v="2"/>
    <x v="869"/>
    <x v="0"/>
    <x v="2"/>
  </r>
  <r>
    <x v="13"/>
    <s v="Barrett"/>
    <s v="Amelia Barrett"/>
    <x v="1"/>
    <n v="23"/>
    <x v="2"/>
    <x v="10"/>
    <x v="870"/>
    <x v="0"/>
    <x v="1"/>
  </r>
  <r>
    <x v="115"/>
    <s v="Baker"/>
    <s v="Thomas Baker"/>
    <x v="0"/>
    <n v="18"/>
    <x v="2"/>
    <x v="27"/>
    <x v="871"/>
    <x v="1"/>
    <x v="5"/>
  </r>
  <r>
    <x v="189"/>
    <s v="Robinson"/>
    <s v="Alberta Robinson"/>
    <x v="1"/>
    <n v="43"/>
    <x v="1"/>
    <x v="38"/>
    <x v="872"/>
    <x v="0"/>
    <x v="4"/>
  </r>
  <r>
    <x v="160"/>
    <s v="Ellis"/>
    <s v="Violet Ellis"/>
    <x v="1"/>
    <n v="56"/>
    <x v="0"/>
    <x v="25"/>
    <x v="74"/>
    <x v="1"/>
    <x v="1"/>
  </r>
  <r>
    <x v="96"/>
    <s v="Walker"/>
    <s v="Brooke Walker"/>
    <x v="1"/>
    <n v="34"/>
    <x v="1"/>
    <x v="30"/>
    <x v="873"/>
    <x v="0"/>
    <x v="3"/>
  </r>
  <r>
    <x v="182"/>
    <s v="Ryan"/>
    <s v="Alfred Ryan"/>
    <x v="0"/>
    <n v="29"/>
    <x v="2"/>
    <x v="14"/>
    <x v="874"/>
    <x v="1"/>
    <x v="4"/>
  </r>
  <r>
    <x v="94"/>
    <s v="Nelson"/>
    <s v="Aiden Nelson"/>
    <x v="0"/>
    <n v="45"/>
    <x v="1"/>
    <x v="45"/>
    <x v="875"/>
    <x v="1"/>
    <x v="0"/>
  </r>
  <r>
    <x v="204"/>
    <s v="Higgins"/>
    <s v="Briony Higgins"/>
    <x v="1"/>
    <n v="30"/>
    <x v="2"/>
    <x v="40"/>
    <x v="818"/>
    <x v="0"/>
    <x v="2"/>
  </r>
  <r>
    <x v="31"/>
    <s v="Owens"/>
    <s v="Tara Owens"/>
    <x v="1"/>
    <n v="44"/>
    <x v="1"/>
    <x v="10"/>
    <x v="876"/>
    <x v="0"/>
    <x v="0"/>
  </r>
  <r>
    <x v="142"/>
    <s v="Adams"/>
    <s v="Adele Adams"/>
    <x v="1"/>
    <n v="54"/>
    <x v="0"/>
    <x v="14"/>
    <x v="877"/>
    <x v="0"/>
    <x v="4"/>
  </r>
  <r>
    <x v="139"/>
    <s v="Tucker"/>
    <s v="Byron Tucker"/>
    <x v="0"/>
    <n v="37"/>
    <x v="1"/>
    <x v="42"/>
    <x v="878"/>
    <x v="0"/>
    <x v="3"/>
  </r>
  <r>
    <x v="34"/>
    <s v="Hamilton"/>
    <s v="Eddy Hamilton"/>
    <x v="0"/>
    <n v="58"/>
    <x v="0"/>
    <x v="40"/>
    <x v="879"/>
    <x v="0"/>
    <x v="4"/>
  </r>
  <r>
    <x v="28"/>
    <s v="Montgomery"/>
    <s v="Jenna Montgomery"/>
    <x v="1"/>
    <n v="51"/>
    <x v="0"/>
    <x v="39"/>
    <x v="880"/>
    <x v="1"/>
    <x v="3"/>
  </r>
  <r>
    <x v="107"/>
    <s v="Murphy"/>
    <s v="Paige Murphy"/>
    <x v="1"/>
    <n v="34"/>
    <x v="1"/>
    <x v="4"/>
    <x v="881"/>
    <x v="0"/>
    <x v="2"/>
  </r>
  <r>
    <x v="199"/>
    <s v="Brown"/>
    <s v="William Brown"/>
    <x v="0"/>
    <n v="49"/>
    <x v="1"/>
    <x v="37"/>
    <x v="882"/>
    <x v="1"/>
    <x v="3"/>
  </r>
  <r>
    <x v="8"/>
    <s v="Crawford"/>
    <s v="Kellan Crawford"/>
    <x v="0"/>
    <n v="47"/>
    <x v="1"/>
    <x v="12"/>
    <x v="509"/>
    <x v="1"/>
    <x v="1"/>
  </r>
  <r>
    <x v="119"/>
    <s v="Carroll"/>
    <s v="James Carroll"/>
    <x v="0"/>
    <n v="47"/>
    <x v="1"/>
    <x v="24"/>
    <x v="883"/>
    <x v="0"/>
    <x v="5"/>
  </r>
  <r>
    <x v="114"/>
    <s v="Adams"/>
    <s v="Deanna Adams"/>
    <x v="1"/>
    <n v="34"/>
    <x v="1"/>
    <x v="32"/>
    <x v="884"/>
    <x v="1"/>
    <x v="2"/>
  </r>
  <r>
    <x v="100"/>
    <s v="Rogers"/>
    <s v="David Rogers"/>
    <x v="0"/>
    <n v="45"/>
    <x v="1"/>
    <x v="46"/>
    <x v="201"/>
    <x v="0"/>
    <x v="1"/>
  </r>
  <r>
    <x v="166"/>
    <s v="Wright"/>
    <s v="Edith Wright"/>
    <x v="1"/>
    <n v="44"/>
    <x v="1"/>
    <x v="43"/>
    <x v="885"/>
    <x v="0"/>
    <x v="4"/>
  </r>
  <r>
    <x v="145"/>
    <s v="Brooks"/>
    <s v="Leonardo Brooks"/>
    <x v="0"/>
    <n v="49"/>
    <x v="1"/>
    <x v="41"/>
    <x v="886"/>
    <x v="0"/>
    <x v="3"/>
  </r>
  <r>
    <x v="193"/>
    <s v="Higgins"/>
    <s v="Antony Higgins"/>
    <x v="0"/>
    <n v="43"/>
    <x v="1"/>
    <x v="37"/>
    <x v="887"/>
    <x v="1"/>
    <x v="5"/>
  </r>
  <r>
    <x v="48"/>
    <s v="Dixon"/>
    <s v="Sarah Dixon"/>
    <x v="1"/>
    <n v="43"/>
    <x v="1"/>
    <x v="16"/>
    <x v="888"/>
    <x v="0"/>
    <x v="0"/>
  </r>
  <r>
    <x v="188"/>
    <s v="Evans"/>
    <s v="Patrick Evans"/>
    <x v="0"/>
    <n v="19"/>
    <x v="2"/>
    <x v="8"/>
    <x v="889"/>
    <x v="1"/>
    <x v="5"/>
  </r>
  <r>
    <x v="173"/>
    <s v="Tucker"/>
    <s v="Evelyn Tucker"/>
    <x v="1"/>
    <n v="36"/>
    <x v="1"/>
    <x v="50"/>
    <x v="890"/>
    <x v="0"/>
    <x v="2"/>
  </r>
  <r>
    <x v="133"/>
    <s v="Alexander"/>
    <s v="Luke Alexander"/>
    <x v="0"/>
    <n v="35"/>
    <x v="1"/>
    <x v="31"/>
    <x v="891"/>
    <x v="0"/>
    <x v="0"/>
  </r>
  <r>
    <x v="63"/>
    <s v="Harper"/>
    <s v="Heather Harper"/>
    <x v="1"/>
    <n v="29"/>
    <x v="2"/>
    <x v="30"/>
    <x v="892"/>
    <x v="0"/>
    <x v="5"/>
  </r>
  <r>
    <x v="103"/>
    <s v="Harper"/>
    <s v="Fiona Harper"/>
    <x v="1"/>
    <n v="36"/>
    <x v="1"/>
    <x v="8"/>
    <x v="287"/>
    <x v="0"/>
    <x v="3"/>
  </r>
  <r>
    <x v="111"/>
    <s v="Tucker"/>
    <s v="Max Tucker"/>
    <x v="0"/>
    <n v="34"/>
    <x v="1"/>
    <x v="45"/>
    <x v="893"/>
    <x v="0"/>
    <x v="2"/>
  </r>
  <r>
    <x v="171"/>
    <s v="Fowler"/>
    <s v="Carlos Fowler"/>
    <x v="0"/>
    <n v="30"/>
    <x v="2"/>
    <x v="46"/>
    <x v="894"/>
    <x v="0"/>
    <x v="4"/>
  </r>
  <r>
    <x v="32"/>
    <s v="Carroll"/>
    <s v="Dominik Carroll"/>
    <x v="0"/>
    <n v="18"/>
    <x v="2"/>
    <x v="1"/>
    <x v="895"/>
    <x v="0"/>
    <x v="0"/>
  </r>
  <r>
    <x v="152"/>
    <s v="Morgan"/>
    <s v="Ned Morgan"/>
    <x v="0"/>
    <n v="43"/>
    <x v="1"/>
    <x v="23"/>
    <x v="896"/>
    <x v="0"/>
    <x v="5"/>
  </r>
  <r>
    <x v="153"/>
    <s v="Elliott"/>
    <s v="Tess Elliott"/>
    <x v="1"/>
    <n v="48"/>
    <x v="1"/>
    <x v="46"/>
    <x v="897"/>
    <x v="1"/>
    <x v="0"/>
  </r>
  <r>
    <x v="168"/>
    <s v="Wells"/>
    <s v="Jessica Wells"/>
    <x v="1"/>
    <n v="58"/>
    <x v="0"/>
    <x v="38"/>
    <x v="898"/>
    <x v="0"/>
    <x v="4"/>
  </r>
  <r>
    <x v="27"/>
    <s v="Henderson"/>
    <s v="Frederick Henderson"/>
    <x v="0"/>
    <n v="45"/>
    <x v="1"/>
    <x v="13"/>
    <x v="899"/>
    <x v="0"/>
    <x v="3"/>
  </r>
  <r>
    <x v="144"/>
    <s v="Robinson"/>
    <s v="Dexter Robinson"/>
    <x v="0"/>
    <n v="26"/>
    <x v="2"/>
    <x v="13"/>
    <x v="900"/>
    <x v="1"/>
    <x v="3"/>
  </r>
  <r>
    <x v="64"/>
    <s v="Douglas"/>
    <s v="Tony Douglas"/>
    <x v="0"/>
    <n v="45"/>
    <x v="1"/>
    <x v="50"/>
    <x v="901"/>
    <x v="0"/>
    <x v="2"/>
  </r>
  <r>
    <x v="162"/>
    <s v="Foster"/>
    <s v="Ted Foster"/>
    <x v="0"/>
    <n v="35"/>
    <x v="1"/>
    <x v="3"/>
    <x v="902"/>
    <x v="0"/>
    <x v="3"/>
  </r>
  <r>
    <x v="33"/>
    <s v="Payne"/>
    <s v="Roman Payne"/>
    <x v="0"/>
    <n v="18"/>
    <x v="2"/>
    <x v="19"/>
    <x v="903"/>
    <x v="1"/>
    <x v="2"/>
  </r>
  <r>
    <x v="122"/>
    <s v="Johnston"/>
    <s v="Audrey Johnston"/>
    <x v="1"/>
    <n v="23"/>
    <x v="2"/>
    <x v="30"/>
    <x v="632"/>
    <x v="1"/>
    <x v="5"/>
  </r>
  <r>
    <x v="29"/>
    <s v="Hunt"/>
    <s v="Adam Hunt"/>
    <x v="0"/>
    <n v="48"/>
    <x v="1"/>
    <x v="45"/>
    <x v="904"/>
    <x v="1"/>
    <x v="2"/>
  </r>
  <r>
    <x v="171"/>
    <s v="Edwards"/>
    <s v="Carlos Edwards"/>
    <x v="0"/>
    <n v="52"/>
    <x v="0"/>
    <x v="0"/>
    <x v="905"/>
    <x v="1"/>
    <x v="4"/>
  </r>
  <r>
    <x v="21"/>
    <s v="Kelley"/>
    <s v="Lyndon Kelley"/>
    <x v="0"/>
    <n v="46"/>
    <x v="1"/>
    <x v="52"/>
    <x v="906"/>
    <x v="1"/>
    <x v="5"/>
  </r>
  <r>
    <x v="185"/>
    <s v="Walker"/>
    <s v="Carl Walker"/>
    <x v="0"/>
    <n v="22"/>
    <x v="2"/>
    <x v="0"/>
    <x v="907"/>
    <x v="0"/>
    <x v="5"/>
  </r>
  <r>
    <x v="170"/>
    <s v="Richards"/>
    <s v="Victoria Richards"/>
    <x v="1"/>
    <n v="51"/>
    <x v="0"/>
    <x v="52"/>
    <x v="908"/>
    <x v="1"/>
    <x v="1"/>
  </r>
  <r>
    <x v="51"/>
    <s v="Ellis"/>
    <s v="Bruce Ellis"/>
    <x v="0"/>
    <n v="38"/>
    <x v="1"/>
    <x v="20"/>
    <x v="909"/>
    <x v="1"/>
    <x v="4"/>
  </r>
  <r>
    <x v="159"/>
    <s v="Harper"/>
    <s v="Preston Harper"/>
    <x v="0"/>
    <n v="60"/>
    <x v="0"/>
    <x v="45"/>
    <x v="825"/>
    <x v="1"/>
    <x v="3"/>
  </r>
  <r>
    <x v="120"/>
    <s v="Higgins"/>
    <s v="Aldus Higgins"/>
    <x v="0"/>
    <n v="55"/>
    <x v="0"/>
    <x v="12"/>
    <x v="910"/>
    <x v="0"/>
    <x v="3"/>
  </r>
  <r>
    <x v="33"/>
    <s v="Cole"/>
    <s v="Roman Cole"/>
    <x v="0"/>
    <n v="50"/>
    <x v="1"/>
    <x v="42"/>
    <x v="911"/>
    <x v="1"/>
    <x v="1"/>
  </r>
  <r>
    <x v="200"/>
    <s v="Adams"/>
    <s v="Derek Adams"/>
    <x v="0"/>
    <n v="47"/>
    <x v="1"/>
    <x v="7"/>
    <x v="912"/>
    <x v="0"/>
    <x v="2"/>
  </r>
  <r>
    <x v="80"/>
    <s v="Stevens"/>
    <s v="Arthur Stevens"/>
    <x v="0"/>
    <n v="22"/>
    <x v="2"/>
    <x v="32"/>
    <x v="913"/>
    <x v="0"/>
    <x v="1"/>
  </r>
  <r>
    <x v="96"/>
    <s v="Morrison"/>
    <s v="Brooke Morrison"/>
    <x v="1"/>
    <n v="59"/>
    <x v="0"/>
    <x v="10"/>
    <x v="914"/>
    <x v="0"/>
    <x v="3"/>
  </r>
  <r>
    <x v="11"/>
    <s v="Thompson"/>
    <s v="Tiana Thompson"/>
    <x v="1"/>
    <n v="34"/>
    <x v="1"/>
    <x v="39"/>
    <x v="915"/>
    <x v="0"/>
    <x v="1"/>
  </r>
  <r>
    <x v="73"/>
    <s v="Ferguson"/>
    <s v="Julia Ferguson"/>
    <x v="1"/>
    <n v="57"/>
    <x v="0"/>
    <x v="12"/>
    <x v="916"/>
    <x v="0"/>
    <x v="1"/>
  </r>
  <r>
    <x v="82"/>
    <s v="Gibson"/>
    <s v="Chloe Gibson"/>
    <x v="1"/>
    <n v="37"/>
    <x v="1"/>
    <x v="20"/>
    <x v="917"/>
    <x v="1"/>
    <x v="0"/>
  </r>
  <r>
    <x v="205"/>
    <s v="Wilson"/>
    <s v="Amy Wilson"/>
    <x v="1"/>
    <n v="47"/>
    <x v="1"/>
    <x v="48"/>
    <x v="918"/>
    <x v="1"/>
    <x v="5"/>
  </r>
  <r>
    <x v="117"/>
    <s v="Holmes"/>
    <s v="Rebecca Holmes"/>
    <x v="1"/>
    <n v="31"/>
    <x v="1"/>
    <x v="35"/>
    <x v="919"/>
    <x v="0"/>
    <x v="5"/>
  </r>
  <r>
    <x v="103"/>
    <s v="Kelly"/>
    <s v="Fiona Kelly"/>
    <x v="1"/>
    <n v="33"/>
    <x v="1"/>
    <x v="6"/>
    <x v="920"/>
    <x v="0"/>
    <x v="2"/>
  </r>
  <r>
    <x v="19"/>
    <s v="Taylor"/>
    <s v="Nicholas Taylor"/>
    <x v="0"/>
    <n v="21"/>
    <x v="2"/>
    <x v="38"/>
    <x v="921"/>
    <x v="1"/>
    <x v="4"/>
  </r>
  <r>
    <x v="126"/>
    <s v="Elliott"/>
    <s v="Adison Elliott"/>
    <x v="0"/>
    <n v="55"/>
    <x v="0"/>
    <x v="46"/>
    <x v="836"/>
    <x v="0"/>
    <x v="1"/>
  </r>
  <r>
    <x v="59"/>
    <s v="Hamilton"/>
    <s v="Eric Hamilton"/>
    <x v="0"/>
    <n v="22"/>
    <x v="2"/>
    <x v="5"/>
    <x v="922"/>
    <x v="0"/>
    <x v="0"/>
  </r>
  <r>
    <x v="139"/>
    <s v="Warren"/>
    <s v="Byron Warren"/>
    <x v="0"/>
    <n v="60"/>
    <x v="0"/>
    <x v="21"/>
    <x v="923"/>
    <x v="0"/>
    <x v="4"/>
  </r>
  <r>
    <x v="203"/>
    <s v="Douglas"/>
    <s v="Sydney Douglas"/>
    <x v="1"/>
    <n v="30"/>
    <x v="2"/>
    <x v="3"/>
    <x v="924"/>
    <x v="0"/>
    <x v="2"/>
  </r>
  <r>
    <x v="199"/>
    <s v="Miller"/>
    <s v="William Miller"/>
    <x v="0"/>
    <n v="48"/>
    <x v="1"/>
    <x v="4"/>
    <x v="925"/>
    <x v="0"/>
    <x v="1"/>
  </r>
  <r>
    <x v="140"/>
    <s v="Crawford"/>
    <s v="Edwin Crawford"/>
    <x v="0"/>
    <n v="38"/>
    <x v="1"/>
    <x v="17"/>
    <x v="926"/>
    <x v="1"/>
    <x v="4"/>
  </r>
  <r>
    <x v="7"/>
    <s v="Williams"/>
    <s v="Ashton Williams"/>
    <x v="0"/>
    <n v="24"/>
    <x v="2"/>
    <x v="10"/>
    <x v="927"/>
    <x v="1"/>
    <x v="3"/>
  </r>
  <r>
    <x v="138"/>
    <s v="Richards"/>
    <s v="Cadie Richards"/>
    <x v="1"/>
    <n v="32"/>
    <x v="1"/>
    <x v="15"/>
    <x v="928"/>
    <x v="1"/>
    <x v="5"/>
  </r>
  <r>
    <x v="135"/>
    <s v="Scott"/>
    <s v="Reid Scott"/>
    <x v="0"/>
    <n v="49"/>
    <x v="1"/>
    <x v="31"/>
    <x v="929"/>
    <x v="1"/>
    <x v="3"/>
  </r>
  <r>
    <x v="204"/>
    <s v="Tucker"/>
    <s v="Briony Tucker"/>
    <x v="1"/>
    <n v="32"/>
    <x v="1"/>
    <x v="43"/>
    <x v="930"/>
    <x v="1"/>
    <x v="1"/>
  </r>
  <r>
    <x v="24"/>
    <s v="Smith"/>
    <s v="Emily Smith"/>
    <x v="1"/>
    <n v="31"/>
    <x v="1"/>
    <x v="0"/>
    <x v="931"/>
    <x v="1"/>
    <x v="5"/>
  </r>
  <r>
    <x v="94"/>
    <s v="Foster"/>
    <s v="Aiden Foster"/>
    <x v="0"/>
    <n v="57"/>
    <x v="0"/>
    <x v="17"/>
    <x v="932"/>
    <x v="1"/>
    <x v="0"/>
  </r>
  <r>
    <x v="15"/>
    <s v="Wilson"/>
    <s v="Edgar Wilson"/>
    <x v="0"/>
    <n v="49"/>
    <x v="1"/>
    <x v="30"/>
    <x v="684"/>
    <x v="0"/>
    <x v="3"/>
  </r>
  <r>
    <x v="107"/>
    <s v="Tucker"/>
    <s v="Paige Tucker"/>
    <x v="1"/>
    <n v="25"/>
    <x v="2"/>
    <x v="11"/>
    <x v="933"/>
    <x v="0"/>
    <x v="0"/>
  </r>
  <r>
    <x v="163"/>
    <s v="Wells"/>
    <s v="Elise Wells"/>
    <x v="1"/>
    <n v="34"/>
    <x v="1"/>
    <x v="40"/>
    <x v="934"/>
    <x v="1"/>
    <x v="1"/>
  </r>
  <r>
    <x v="193"/>
    <s v="Roberts"/>
    <s v="Antony Roberts"/>
    <x v="0"/>
    <n v="45"/>
    <x v="1"/>
    <x v="42"/>
    <x v="935"/>
    <x v="0"/>
    <x v="5"/>
  </r>
  <r>
    <x v="126"/>
    <s v="Hall"/>
    <s v="Adison Hall"/>
    <x v="0"/>
    <n v="45"/>
    <x v="1"/>
    <x v="32"/>
    <x v="936"/>
    <x v="0"/>
    <x v="0"/>
  </r>
  <r>
    <x v="16"/>
    <s v="Andrews"/>
    <s v="Steven Andrews"/>
    <x v="0"/>
    <n v="52"/>
    <x v="0"/>
    <x v="1"/>
    <x v="937"/>
    <x v="1"/>
    <x v="2"/>
  </r>
  <r>
    <x v="38"/>
    <s v="Gray"/>
    <s v="Alexia Gray"/>
    <x v="1"/>
    <n v="42"/>
    <x v="1"/>
    <x v="1"/>
    <x v="938"/>
    <x v="1"/>
    <x v="0"/>
  </r>
  <r>
    <x v="134"/>
    <s v="Alexander"/>
    <s v="Oscar Alexander"/>
    <x v="0"/>
    <n v="44"/>
    <x v="1"/>
    <x v="20"/>
    <x v="308"/>
    <x v="0"/>
    <x v="1"/>
  </r>
  <r>
    <x v="168"/>
    <s v="Fowler"/>
    <s v="Jessica Fowler"/>
    <x v="1"/>
    <n v="47"/>
    <x v="1"/>
    <x v="39"/>
    <x v="939"/>
    <x v="0"/>
    <x v="4"/>
  </r>
  <r>
    <x v="197"/>
    <s v="Anderson"/>
    <s v="Jasmine Anderson"/>
    <x v="1"/>
    <n v="50"/>
    <x v="1"/>
    <x v="3"/>
    <x v="133"/>
    <x v="1"/>
    <x v="1"/>
  </r>
  <r>
    <x v="5"/>
    <s v="Jones"/>
    <s v="Lucas Jones"/>
    <x v="0"/>
    <n v="54"/>
    <x v="0"/>
    <x v="40"/>
    <x v="940"/>
    <x v="0"/>
    <x v="1"/>
  </r>
  <r>
    <x v="112"/>
    <s v="Casey"/>
    <s v="Vivian Casey"/>
    <x v="1"/>
    <n v="56"/>
    <x v="0"/>
    <x v="25"/>
    <x v="941"/>
    <x v="0"/>
    <x v="2"/>
  </r>
  <r>
    <x v="99"/>
    <s v="Thomas"/>
    <s v="Ryan Thomas"/>
    <x v="0"/>
    <n v="60"/>
    <x v="0"/>
    <x v="41"/>
    <x v="942"/>
    <x v="1"/>
    <x v="4"/>
  </r>
  <r>
    <x v="33"/>
    <s v="Martin"/>
    <s v="Roman Martin"/>
    <x v="0"/>
    <n v="26"/>
    <x v="2"/>
    <x v="29"/>
    <x v="943"/>
    <x v="1"/>
    <x v="4"/>
  </r>
  <r>
    <x v="157"/>
    <s v="Gibson"/>
    <s v="Penelope Gibson"/>
    <x v="1"/>
    <n v="38"/>
    <x v="1"/>
    <x v="30"/>
    <x v="944"/>
    <x v="1"/>
    <x v="5"/>
  </r>
  <r>
    <x v="30"/>
    <s v="Tucker"/>
    <s v="Anna Tucker"/>
    <x v="1"/>
    <n v="28"/>
    <x v="2"/>
    <x v="3"/>
    <x v="945"/>
    <x v="0"/>
    <x v="2"/>
  </r>
  <r>
    <x v="175"/>
    <s v="Holmes"/>
    <s v="Lucia Holmes"/>
    <x v="1"/>
    <n v="33"/>
    <x v="1"/>
    <x v="52"/>
    <x v="946"/>
    <x v="1"/>
    <x v="4"/>
  </r>
  <r>
    <x v="118"/>
    <s v="Montgomery"/>
    <s v="Adelaide Montgomery"/>
    <x v="1"/>
    <n v="25"/>
    <x v="2"/>
    <x v="4"/>
    <x v="947"/>
    <x v="0"/>
    <x v="0"/>
  </r>
  <r>
    <x v="85"/>
    <s v="Harper"/>
    <s v="Rosie Harper"/>
    <x v="1"/>
    <n v="52"/>
    <x v="0"/>
    <x v="31"/>
    <x v="948"/>
    <x v="0"/>
    <x v="2"/>
  </r>
  <r>
    <x v="125"/>
    <s v="Ferguson"/>
    <s v="Sophia Ferguson"/>
    <x v="1"/>
    <n v="48"/>
    <x v="1"/>
    <x v="3"/>
    <x v="949"/>
    <x v="1"/>
    <x v="3"/>
  </r>
  <r>
    <x v="4"/>
    <s v="Stewart"/>
    <s v="Fenton Stewart"/>
    <x v="0"/>
    <n v="53"/>
    <x v="0"/>
    <x v="17"/>
    <x v="950"/>
    <x v="1"/>
    <x v="3"/>
  </r>
  <r>
    <x v="24"/>
    <s v="Baker"/>
    <s v="Emily Baker"/>
    <x v="1"/>
    <n v="38"/>
    <x v="1"/>
    <x v="48"/>
    <x v="951"/>
    <x v="0"/>
    <x v="2"/>
  </r>
  <r>
    <x v="10"/>
    <s v="Cameron"/>
    <s v="Alina Cameron"/>
    <x v="1"/>
    <n v="38"/>
    <x v="1"/>
    <x v="36"/>
    <x v="952"/>
    <x v="1"/>
    <x v="4"/>
  </r>
  <r>
    <x v="102"/>
    <s v="Chapman"/>
    <s v="Lydia Chapman"/>
    <x v="1"/>
    <n v="21"/>
    <x v="2"/>
    <x v="41"/>
    <x v="953"/>
    <x v="0"/>
    <x v="2"/>
  </r>
  <r>
    <x v="94"/>
    <s v="Chapman"/>
    <s v="Aiden Chapman"/>
    <x v="0"/>
    <n v="35"/>
    <x v="1"/>
    <x v="27"/>
    <x v="954"/>
    <x v="0"/>
    <x v="1"/>
  </r>
  <r>
    <x v="85"/>
    <s v="Douglas"/>
    <s v="Rosie Douglas"/>
    <x v="1"/>
    <n v="21"/>
    <x v="2"/>
    <x v="39"/>
    <x v="955"/>
    <x v="1"/>
    <x v="3"/>
  </r>
  <r>
    <x v="144"/>
    <s v="Williams"/>
    <s v="Dexter Williams"/>
    <x v="0"/>
    <n v="58"/>
    <x v="0"/>
    <x v="1"/>
    <x v="956"/>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256D8-B603-445E-9E86-F36FA4BE160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7:B60" firstHeaderRow="1" firstDataRow="1" firstDataCol="1"/>
  <pivotFields count="10">
    <pivotField showAll="0"/>
    <pivotField showAll="0"/>
    <pivotField showAll="0"/>
    <pivotField showAll="0">
      <items count="3">
        <item x="1"/>
        <item x="0"/>
        <item t="default"/>
      </items>
    </pivotField>
    <pivotField showAll="0"/>
    <pivotField showAll="0">
      <items count="4">
        <item x="1"/>
        <item x="0"/>
        <item x="2"/>
        <item t="default"/>
      </items>
    </pivotField>
    <pivotField showAll="0"/>
    <pivotField numFmtId="164" showAll="0"/>
    <pivotField axis="axisRow" showAll="0">
      <items count="3">
        <item x="0"/>
        <item x="1"/>
        <item t="default"/>
      </items>
    </pivotField>
    <pivotField dataField="1" showAll="0"/>
  </pivotFields>
  <rowFields count="1">
    <field x="8"/>
  </rowFields>
  <rowItems count="3">
    <i>
      <x/>
    </i>
    <i>
      <x v="1"/>
    </i>
    <i t="grand">
      <x/>
    </i>
  </rowItems>
  <colItems count="1">
    <i/>
  </colItems>
  <dataFields count="1">
    <dataField name="Sum of No. of Children" fld="9" baseField="0" baseItem="0"/>
  </dataFields>
  <chartFormats count="3">
    <chartFormat chart="3" format="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60608C-010A-4B4F-A8A0-F791D82D1CC2}" name="PivotTable4" cacheId="1" applyNumberFormats="0" applyBorderFormats="0" applyFontFormats="0" applyPatternFormats="0" applyAlignmentFormats="0" applyWidthHeightFormats="1" dataCaption="Values" grandTotalCaption="Average Salary" updatedVersion="8" minRefreshableVersion="3" useAutoFormatting="1" itemPrintTitles="1" createdVersion="8" indent="0" outline="1" outlineData="1" multipleFieldFilters="0" chartFormat="6">
  <location ref="A36:L38" firstHeaderRow="1" firstDataRow="2" firstDataCol="1"/>
  <pivotFields count="10">
    <pivotField showAll="0"/>
    <pivotField showAll="0"/>
    <pivotField showAll="0"/>
    <pivotField showAll="0">
      <items count="3">
        <item x="1"/>
        <item x="0"/>
        <item t="default"/>
      </items>
    </pivotField>
    <pivotField showAll="0"/>
    <pivotField showAll="0">
      <items count="4">
        <item x="1"/>
        <item x="0"/>
        <item x="2"/>
        <item t="default"/>
      </items>
    </pivotField>
    <pivotField axis="axisCol" showAll="0" measureFilter="1" sortType="descending">
      <items count="54">
        <item x="46"/>
        <item x="50"/>
        <item x="48"/>
        <item x="15"/>
        <item x="11"/>
        <item x="40"/>
        <item x="17"/>
        <item x="20"/>
        <item x="7"/>
        <item x="38"/>
        <item x="22"/>
        <item x="29"/>
        <item x="31"/>
        <item x="18"/>
        <item x="32"/>
        <item x="14"/>
        <item x="19"/>
        <item x="25"/>
        <item x="0"/>
        <item x="30"/>
        <item x="24"/>
        <item x="45"/>
        <item x="44"/>
        <item x="1"/>
        <item x="27"/>
        <item x="39"/>
        <item x="49"/>
        <item x="10"/>
        <item x="36"/>
        <item x="52"/>
        <item x="16"/>
        <item x="34"/>
        <item x="8"/>
        <item x="28"/>
        <item x="12"/>
        <item x="13"/>
        <item x="5"/>
        <item x="6"/>
        <item x="9"/>
        <item x="33"/>
        <item x="23"/>
        <item x="41"/>
        <item x="35"/>
        <item x="42"/>
        <item x="21"/>
        <item x="4"/>
        <item x="37"/>
        <item x="3"/>
        <item x="26"/>
        <item x="43"/>
        <item x="2"/>
        <item x="47"/>
        <item x="51"/>
        <item t="default"/>
      </items>
      <autoSortScope>
        <pivotArea dataOnly="0" outline="0" fieldPosition="0">
          <references count="1">
            <reference field="4294967294" count="1" selected="0">
              <x v="0"/>
            </reference>
          </references>
        </pivotArea>
      </autoSortScope>
    </pivotField>
    <pivotField dataField="1" numFmtId="164" showAll="0"/>
    <pivotField showAll="0">
      <items count="3">
        <item x="0"/>
        <item x="1"/>
        <item t="default"/>
      </items>
    </pivotField>
    <pivotField showAll="0"/>
  </pivotFields>
  <rowItems count="1">
    <i/>
  </rowItems>
  <colFields count="1">
    <field x="6"/>
  </colFields>
  <colItems count="11">
    <i>
      <x v="14"/>
    </i>
    <i>
      <x v="50"/>
    </i>
    <i>
      <x v="52"/>
    </i>
    <i>
      <x v="29"/>
    </i>
    <i>
      <x v="8"/>
    </i>
    <i>
      <x v="36"/>
    </i>
    <i>
      <x v="12"/>
    </i>
    <i>
      <x v="40"/>
    </i>
    <i>
      <x v="48"/>
    </i>
    <i>
      <x v="19"/>
    </i>
    <i t="grand">
      <x/>
    </i>
  </colItems>
  <dataFields count="1">
    <dataField name="Average of Salary" fld="7" subtotal="average" baseField="6" baseItem="0" numFmtId="164"/>
  </dataFields>
  <formats count="1">
    <format dxfId="0">
      <pivotArea outline="0" collapsedLevelsAreSubtotals="1" fieldPosition="0"/>
    </format>
  </formats>
  <chartFormats count="10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50"/>
          </reference>
        </references>
      </pivotArea>
    </chartFormat>
    <chartFormat chart="0" format="2" series="1">
      <pivotArea type="data" outline="0" fieldPosition="0">
        <references count="2">
          <reference field="4294967294" count="1" selected="0">
            <x v="0"/>
          </reference>
          <reference field="6" count="1" selected="0">
            <x v="52"/>
          </reference>
        </references>
      </pivotArea>
    </chartFormat>
    <chartFormat chart="0" format="3" series="1">
      <pivotArea type="data" outline="0" fieldPosition="0">
        <references count="2">
          <reference field="4294967294" count="1" selected="0">
            <x v="0"/>
          </reference>
          <reference field="6" count="1" selected="0">
            <x v="29"/>
          </reference>
        </references>
      </pivotArea>
    </chartFormat>
    <chartFormat chart="0" format="4" series="1">
      <pivotArea type="data" outline="0" fieldPosition="0">
        <references count="2">
          <reference field="4294967294" count="1" selected="0">
            <x v="0"/>
          </reference>
          <reference field="6" count="1" selected="0">
            <x v="8"/>
          </reference>
        </references>
      </pivotArea>
    </chartFormat>
    <chartFormat chart="0" format="5" series="1">
      <pivotArea type="data" outline="0" fieldPosition="0">
        <references count="2">
          <reference field="4294967294" count="1" selected="0">
            <x v="0"/>
          </reference>
          <reference field="6" count="1" selected="0">
            <x v="36"/>
          </reference>
        </references>
      </pivotArea>
    </chartFormat>
    <chartFormat chart="0" format="6" series="1">
      <pivotArea type="data" outline="0" fieldPosition="0">
        <references count="2">
          <reference field="4294967294" count="1" selected="0">
            <x v="0"/>
          </reference>
          <reference field="6" count="1" selected="0">
            <x v="12"/>
          </reference>
        </references>
      </pivotArea>
    </chartFormat>
    <chartFormat chart="0" format="7" series="1">
      <pivotArea type="data" outline="0" fieldPosition="0">
        <references count="2">
          <reference field="4294967294" count="1" selected="0">
            <x v="0"/>
          </reference>
          <reference field="6" count="1" selected="0">
            <x v="40"/>
          </reference>
        </references>
      </pivotArea>
    </chartFormat>
    <chartFormat chart="0" format="8" series="1">
      <pivotArea type="data" outline="0" fieldPosition="0">
        <references count="2">
          <reference field="4294967294" count="1" selected="0">
            <x v="0"/>
          </reference>
          <reference field="6" count="1" selected="0">
            <x v="48"/>
          </reference>
        </references>
      </pivotArea>
    </chartFormat>
    <chartFormat chart="0" format="9" series="1">
      <pivotArea type="data" outline="0" fieldPosition="0">
        <references count="2">
          <reference field="4294967294" count="1" selected="0">
            <x v="0"/>
          </reference>
          <reference field="6" count="1" selected="0">
            <x v="19"/>
          </reference>
        </references>
      </pivotArea>
    </chartFormat>
    <chartFormat chart="0" format="10" series="1">
      <pivotArea type="data" outline="0" fieldPosition="0">
        <references count="2">
          <reference field="4294967294" count="1" selected="0">
            <x v="0"/>
          </reference>
          <reference field="6" count="1" selected="0">
            <x v="14"/>
          </reference>
        </references>
      </pivotArea>
    </chartFormat>
    <chartFormat chart="5" format="21" series="1">
      <pivotArea type="data" outline="0" fieldPosition="0">
        <references count="2">
          <reference field="4294967294" count="1" selected="0">
            <x v="0"/>
          </reference>
          <reference field="6" count="1" selected="0">
            <x v="14"/>
          </reference>
        </references>
      </pivotArea>
    </chartFormat>
    <chartFormat chart="5" format="22" series="1">
      <pivotArea type="data" outline="0" fieldPosition="0">
        <references count="2">
          <reference field="4294967294" count="1" selected="0">
            <x v="0"/>
          </reference>
          <reference field="6" count="1" selected="0">
            <x v="50"/>
          </reference>
        </references>
      </pivotArea>
    </chartFormat>
    <chartFormat chart="5" format="23" series="1">
      <pivotArea type="data" outline="0" fieldPosition="0">
        <references count="2">
          <reference field="4294967294" count="1" selected="0">
            <x v="0"/>
          </reference>
          <reference field="6" count="1" selected="0">
            <x v="52"/>
          </reference>
        </references>
      </pivotArea>
    </chartFormat>
    <chartFormat chart="5" format="24" series="1">
      <pivotArea type="data" outline="0" fieldPosition="0">
        <references count="2">
          <reference field="4294967294" count="1" selected="0">
            <x v="0"/>
          </reference>
          <reference field="6" count="1" selected="0">
            <x v="29"/>
          </reference>
        </references>
      </pivotArea>
    </chartFormat>
    <chartFormat chart="5" format="25" series="1">
      <pivotArea type="data" outline="0" fieldPosition="0">
        <references count="2">
          <reference field="4294967294" count="1" selected="0">
            <x v="0"/>
          </reference>
          <reference field="6" count="1" selected="0">
            <x v="8"/>
          </reference>
        </references>
      </pivotArea>
    </chartFormat>
    <chartFormat chart="5" format="26" series="1">
      <pivotArea type="data" outline="0" fieldPosition="0">
        <references count="2">
          <reference field="4294967294" count="1" selected="0">
            <x v="0"/>
          </reference>
          <reference field="6" count="1" selected="0">
            <x v="36"/>
          </reference>
        </references>
      </pivotArea>
    </chartFormat>
    <chartFormat chart="5" format="27" series="1">
      <pivotArea type="data" outline="0" fieldPosition="0">
        <references count="2">
          <reference field="4294967294" count="1" selected="0">
            <x v="0"/>
          </reference>
          <reference field="6" count="1" selected="0">
            <x v="12"/>
          </reference>
        </references>
      </pivotArea>
    </chartFormat>
    <chartFormat chart="5" format="28" series="1">
      <pivotArea type="data" outline="0" fieldPosition="0">
        <references count="2">
          <reference field="4294967294" count="1" selected="0">
            <x v="0"/>
          </reference>
          <reference field="6" count="1" selected="0">
            <x v="40"/>
          </reference>
        </references>
      </pivotArea>
    </chartFormat>
    <chartFormat chart="5" format="29" series="1">
      <pivotArea type="data" outline="0" fieldPosition="0">
        <references count="2">
          <reference field="4294967294" count="1" selected="0">
            <x v="0"/>
          </reference>
          <reference field="6" count="1" selected="0">
            <x v="48"/>
          </reference>
        </references>
      </pivotArea>
    </chartFormat>
    <chartFormat chart="5" format="30" series="1">
      <pivotArea type="data" outline="0" fieldPosition="0">
        <references count="2">
          <reference field="4294967294" count="1" selected="0">
            <x v="0"/>
          </reference>
          <reference field="6" count="1" selected="0">
            <x v="19"/>
          </reference>
        </references>
      </pivotArea>
    </chartFormat>
    <chartFormat chart="5" format="31" series="1">
      <pivotArea type="data" outline="0" fieldPosition="0">
        <references count="2">
          <reference field="4294967294" count="1" selected="0">
            <x v="0"/>
          </reference>
          <reference field="6" count="1" selected="0">
            <x v="3"/>
          </reference>
        </references>
      </pivotArea>
    </chartFormat>
    <chartFormat chart="5" format="32" series="1">
      <pivotArea type="data" outline="0" fieldPosition="0">
        <references count="2">
          <reference field="4294967294" count="1" selected="0">
            <x v="0"/>
          </reference>
          <reference field="6" count="1" selected="0">
            <x v="31"/>
          </reference>
        </references>
      </pivotArea>
    </chartFormat>
    <chartFormat chart="5" format="33" series="1">
      <pivotArea type="data" outline="0" fieldPosition="0">
        <references count="2">
          <reference field="4294967294" count="1" selected="0">
            <x v="0"/>
          </reference>
          <reference field="6" count="1" selected="0">
            <x v="41"/>
          </reference>
        </references>
      </pivotArea>
    </chartFormat>
    <chartFormat chart="5" format="34" series="1">
      <pivotArea type="data" outline="0" fieldPosition="0">
        <references count="2">
          <reference field="4294967294" count="1" selected="0">
            <x v="0"/>
          </reference>
          <reference field="6" count="1" selected="0">
            <x v="34"/>
          </reference>
        </references>
      </pivotArea>
    </chartFormat>
    <chartFormat chart="5" format="35" series="1">
      <pivotArea type="data" outline="0" fieldPosition="0">
        <references count="2">
          <reference field="4294967294" count="1" selected="0">
            <x v="0"/>
          </reference>
          <reference field="6" count="1" selected="0">
            <x v="43"/>
          </reference>
        </references>
      </pivotArea>
    </chartFormat>
    <chartFormat chart="5" format="36" series="1">
      <pivotArea type="data" outline="0" fieldPosition="0">
        <references count="2">
          <reference field="4294967294" count="1" selected="0">
            <x v="0"/>
          </reference>
          <reference field="6" count="1" selected="0">
            <x v="0"/>
          </reference>
        </references>
      </pivotArea>
    </chartFormat>
    <chartFormat chart="5" format="37" series="1">
      <pivotArea type="data" outline="0" fieldPosition="0">
        <references count="2">
          <reference field="4294967294" count="1" selected="0">
            <x v="0"/>
          </reference>
          <reference field="6" count="1" selected="0">
            <x v="13"/>
          </reference>
        </references>
      </pivotArea>
    </chartFormat>
    <chartFormat chart="5" format="38" series="1">
      <pivotArea type="data" outline="0" fieldPosition="0">
        <references count="2">
          <reference field="4294967294" count="1" selected="0">
            <x v="0"/>
          </reference>
          <reference field="6" count="1" selected="0">
            <x v="1"/>
          </reference>
        </references>
      </pivotArea>
    </chartFormat>
    <chartFormat chart="5" format="39" series="1">
      <pivotArea type="data" outline="0" fieldPosition="0">
        <references count="2">
          <reference field="4294967294" count="1" selected="0">
            <x v="0"/>
          </reference>
          <reference field="6" count="1" selected="0">
            <x v="38"/>
          </reference>
        </references>
      </pivotArea>
    </chartFormat>
    <chartFormat chart="5" format="40" series="1">
      <pivotArea type="data" outline="0" fieldPosition="0">
        <references count="2">
          <reference field="4294967294" count="1" selected="0">
            <x v="0"/>
          </reference>
          <reference field="6" count="1" selected="0">
            <x v="21"/>
          </reference>
        </references>
      </pivotArea>
    </chartFormat>
    <chartFormat chart="5" format="41" series="1">
      <pivotArea type="data" outline="0" fieldPosition="0">
        <references count="2">
          <reference field="4294967294" count="1" selected="0">
            <x v="0"/>
          </reference>
          <reference field="6" count="1" selected="0">
            <x v="9"/>
          </reference>
        </references>
      </pivotArea>
    </chartFormat>
    <chartFormat chart="5" format="42" series="1">
      <pivotArea type="data" outline="0" fieldPosition="0">
        <references count="2">
          <reference field="4294967294" count="1" selected="0">
            <x v="0"/>
          </reference>
          <reference field="6" count="1" selected="0">
            <x v="5"/>
          </reference>
        </references>
      </pivotArea>
    </chartFormat>
    <chartFormat chart="5" format="43" series="1">
      <pivotArea type="data" outline="0" fieldPosition="0">
        <references count="2">
          <reference field="4294967294" count="1" selected="0">
            <x v="0"/>
          </reference>
          <reference field="6" count="1" selected="0">
            <x v="16"/>
          </reference>
        </references>
      </pivotArea>
    </chartFormat>
    <chartFormat chart="5" format="44" series="1">
      <pivotArea type="data" outline="0" fieldPosition="0">
        <references count="2">
          <reference field="4294967294" count="1" selected="0">
            <x v="0"/>
          </reference>
          <reference field="6" count="1" selected="0">
            <x v="7"/>
          </reference>
        </references>
      </pivotArea>
    </chartFormat>
    <chartFormat chart="5" format="45" series="1">
      <pivotArea type="data" outline="0" fieldPosition="0">
        <references count="2">
          <reference field="4294967294" count="1" selected="0">
            <x v="0"/>
          </reference>
          <reference field="6" count="1" selected="0">
            <x v="18"/>
          </reference>
        </references>
      </pivotArea>
    </chartFormat>
    <chartFormat chart="5" format="46" series="1">
      <pivotArea type="data" outline="0" fieldPosition="0">
        <references count="2">
          <reference field="4294967294" count="1" selected="0">
            <x v="0"/>
          </reference>
          <reference field="6" count="1" selected="0">
            <x v="32"/>
          </reference>
        </references>
      </pivotArea>
    </chartFormat>
    <chartFormat chart="5" format="47" series="1">
      <pivotArea type="data" outline="0" fieldPosition="0">
        <references count="2">
          <reference field="4294967294" count="1" selected="0">
            <x v="0"/>
          </reference>
          <reference field="6" count="1" selected="0">
            <x v="39"/>
          </reference>
        </references>
      </pivotArea>
    </chartFormat>
    <chartFormat chart="5" format="48" series="1">
      <pivotArea type="data" outline="0" fieldPosition="0">
        <references count="2">
          <reference field="4294967294" count="1" selected="0">
            <x v="0"/>
          </reference>
          <reference field="6" count="1" selected="0">
            <x v="35"/>
          </reference>
        </references>
      </pivotArea>
    </chartFormat>
    <chartFormat chart="5" format="49" series="1">
      <pivotArea type="data" outline="0" fieldPosition="0">
        <references count="2">
          <reference field="4294967294" count="1" selected="0">
            <x v="0"/>
          </reference>
          <reference field="6" count="1" selected="0">
            <x v="30"/>
          </reference>
        </references>
      </pivotArea>
    </chartFormat>
    <chartFormat chart="5" format="50" series="1">
      <pivotArea type="data" outline="0" fieldPosition="0">
        <references count="2">
          <reference field="4294967294" count="1" selected="0">
            <x v="0"/>
          </reference>
          <reference field="6" count="1" selected="0">
            <x v="24"/>
          </reference>
        </references>
      </pivotArea>
    </chartFormat>
    <chartFormat chart="5" format="51" series="1">
      <pivotArea type="data" outline="0" fieldPosition="0">
        <references count="2">
          <reference field="4294967294" count="1" selected="0">
            <x v="0"/>
          </reference>
          <reference field="6" count="1" selected="0">
            <x v="44"/>
          </reference>
        </references>
      </pivotArea>
    </chartFormat>
    <chartFormat chart="5" format="52" series="1">
      <pivotArea type="data" outline="0" fieldPosition="0">
        <references count="2">
          <reference field="4294967294" count="1" selected="0">
            <x v="0"/>
          </reference>
          <reference field="6" count="1" selected="0">
            <x v="46"/>
          </reference>
        </references>
      </pivotArea>
    </chartFormat>
    <chartFormat chart="5" format="53" series="1">
      <pivotArea type="data" outline="0" fieldPosition="0">
        <references count="2">
          <reference field="4294967294" count="1" selected="0">
            <x v="0"/>
          </reference>
          <reference field="6" count="1" selected="0">
            <x v="6"/>
          </reference>
        </references>
      </pivotArea>
    </chartFormat>
    <chartFormat chart="5" format="54" series="1">
      <pivotArea type="data" outline="0" fieldPosition="0">
        <references count="2">
          <reference field="4294967294" count="1" selected="0">
            <x v="0"/>
          </reference>
          <reference field="6" count="1" selected="0">
            <x v="17"/>
          </reference>
        </references>
      </pivotArea>
    </chartFormat>
    <chartFormat chart="5" format="55" series="1">
      <pivotArea type="data" outline="0" fieldPosition="0">
        <references count="2">
          <reference field="4294967294" count="1" selected="0">
            <x v="0"/>
          </reference>
          <reference field="6" count="1" selected="0">
            <x v="4"/>
          </reference>
        </references>
      </pivotArea>
    </chartFormat>
    <chartFormat chart="5" format="56" series="1">
      <pivotArea type="data" outline="0" fieldPosition="0">
        <references count="2">
          <reference field="4294967294" count="1" selected="0">
            <x v="0"/>
          </reference>
          <reference field="6" count="1" selected="0">
            <x v="23"/>
          </reference>
        </references>
      </pivotArea>
    </chartFormat>
    <chartFormat chart="5" format="57" series="1">
      <pivotArea type="data" outline="0" fieldPosition="0">
        <references count="2">
          <reference field="4294967294" count="1" selected="0">
            <x v="0"/>
          </reference>
          <reference field="6" count="1" selected="0">
            <x v="47"/>
          </reference>
        </references>
      </pivotArea>
    </chartFormat>
    <chartFormat chart="5" format="58" series="1">
      <pivotArea type="data" outline="0" fieldPosition="0">
        <references count="2">
          <reference field="4294967294" count="1" selected="0">
            <x v="0"/>
          </reference>
          <reference field="6" count="1" selected="0">
            <x v="45"/>
          </reference>
        </references>
      </pivotArea>
    </chartFormat>
    <chartFormat chart="5" format="59" series="1">
      <pivotArea type="data" outline="0" fieldPosition="0">
        <references count="2">
          <reference field="4294967294" count="1" selected="0">
            <x v="0"/>
          </reference>
          <reference field="6" count="1" selected="0">
            <x v="27"/>
          </reference>
        </references>
      </pivotArea>
    </chartFormat>
    <chartFormat chart="5" format="60" series="1">
      <pivotArea type="data" outline="0" fieldPosition="0">
        <references count="2">
          <reference field="4294967294" count="1" selected="0">
            <x v="0"/>
          </reference>
          <reference field="6" count="1" selected="0">
            <x v="33"/>
          </reference>
        </references>
      </pivotArea>
    </chartFormat>
    <chartFormat chart="5" format="61" series="1">
      <pivotArea type="data" outline="0" fieldPosition="0">
        <references count="2">
          <reference field="4294967294" count="1" selected="0">
            <x v="0"/>
          </reference>
          <reference field="6" count="1" selected="0">
            <x v="25"/>
          </reference>
        </references>
      </pivotArea>
    </chartFormat>
    <chartFormat chart="5" format="62" series="1">
      <pivotArea type="data" outline="0" fieldPosition="0">
        <references count="2">
          <reference field="4294967294" count="1" selected="0">
            <x v="0"/>
          </reference>
          <reference field="6" count="1" selected="0">
            <x v="11"/>
          </reference>
        </references>
      </pivotArea>
    </chartFormat>
    <chartFormat chart="5" format="63" series="1">
      <pivotArea type="data" outline="0" fieldPosition="0">
        <references count="2">
          <reference field="4294967294" count="1" selected="0">
            <x v="0"/>
          </reference>
          <reference field="6" count="1" selected="0">
            <x v="49"/>
          </reference>
        </references>
      </pivotArea>
    </chartFormat>
    <chartFormat chart="5" format="64" series="1">
      <pivotArea type="data" outline="0" fieldPosition="0">
        <references count="2">
          <reference field="4294967294" count="1" selected="0">
            <x v="0"/>
          </reference>
          <reference field="6" count="1" selected="0">
            <x v="22"/>
          </reference>
        </references>
      </pivotArea>
    </chartFormat>
    <chartFormat chart="5" format="65" series="1">
      <pivotArea type="data" outline="0" fieldPosition="0">
        <references count="2">
          <reference field="4294967294" count="1" selected="0">
            <x v="0"/>
          </reference>
          <reference field="6" count="1" selected="0">
            <x v="26"/>
          </reference>
        </references>
      </pivotArea>
    </chartFormat>
    <chartFormat chart="5" format="66" series="1">
      <pivotArea type="data" outline="0" fieldPosition="0">
        <references count="2">
          <reference field="4294967294" count="1" selected="0">
            <x v="0"/>
          </reference>
          <reference field="6" count="1" selected="0">
            <x v="2"/>
          </reference>
        </references>
      </pivotArea>
    </chartFormat>
    <chartFormat chart="5" format="67" series="1">
      <pivotArea type="data" outline="0" fieldPosition="0">
        <references count="2">
          <reference field="4294967294" count="1" selected="0">
            <x v="0"/>
          </reference>
          <reference field="6" count="1" selected="0">
            <x v="15"/>
          </reference>
        </references>
      </pivotArea>
    </chartFormat>
    <chartFormat chart="5" format="68" series="1">
      <pivotArea type="data" outline="0" fieldPosition="0">
        <references count="2">
          <reference field="4294967294" count="1" selected="0">
            <x v="0"/>
          </reference>
          <reference field="6" count="1" selected="0">
            <x v="51"/>
          </reference>
        </references>
      </pivotArea>
    </chartFormat>
    <chartFormat chart="5" format="69" series="1">
      <pivotArea type="data" outline="0" fieldPosition="0">
        <references count="2">
          <reference field="4294967294" count="1" selected="0">
            <x v="0"/>
          </reference>
          <reference field="6" count="1" selected="0">
            <x v="42"/>
          </reference>
        </references>
      </pivotArea>
    </chartFormat>
    <chartFormat chart="5" format="70" series="1">
      <pivotArea type="data" outline="0" fieldPosition="0">
        <references count="2">
          <reference field="4294967294" count="1" selected="0">
            <x v="0"/>
          </reference>
          <reference field="6" count="1" selected="0">
            <x v="20"/>
          </reference>
        </references>
      </pivotArea>
    </chartFormat>
    <chartFormat chart="5" format="71" series="1">
      <pivotArea type="data" outline="0" fieldPosition="0">
        <references count="2">
          <reference field="4294967294" count="1" selected="0">
            <x v="0"/>
          </reference>
          <reference field="6" count="1" selected="0">
            <x v="28"/>
          </reference>
        </references>
      </pivotArea>
    </chartFormat>
    <chartFormat chart="5" format="72" series="1">
      <pivotArea type="data" outline="0" fieldPosition="0">
        <references count="2">
          <reference field="4294967294" count="1" selected="0">
            <x v="0"/>
          </reference>
          <reference field="6" count="1" selected="0">
            <x v="37"/>
          </reference>
        </references>
      </pivotArea>
    </chartFormat>
    <chartFormat chart="5" format="73"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32"/>
          </reference>
        </references>
      </pivotArea>
    </chartFormat>
    <chartFormat chart="0" format="12" series="1">
      <pivotArea type="data" outline="0" fieldPosition="0">
        <references count="2">
          <reference field="4294967294" count="1" selected="0">
            <x v="0"/>
          </reference>
          <reference field="6" count="1" selected="0">
            <x v="41"/>
          </reference>
        </references>
      </pivotArea>
    </chartFormat>
    <chartFormat chart="0" format="13" series="1">
      <pivotArea type="data" outline="0" fieldPosition="0">
        <references count="2">
          <reference field="4294967294" count="1" selected="0">
            <x v="0"/>
          </reference>
          <reference field="6" count="1" selected="0">
            <x v="7"/>
          </reference>
        </references>
      </pivotArea>
    </chartFormat>
    <chartFormat chart="0" format="14" series="1">
      <pivotArea type="data" outline="0" fieldPosition="0">
        <references count="2">
          <reference field="4294967294" count="1" selected="0">
            <x v="0"/>
          </reference>
          <reference field="6" count="1" selected="0">
            <x v="34"/>
          </reference>
        </references>
      </pivotArea>
    </chartFormat>
    <chartFormat chart="0" format="15" series="1">
      <pivotArea type="data" outline="0" fieldPosition="0">
        <references count="2">
          <reference field="4294967294" count="1" selected="0">
            <x v="0"/>
          </reference>
          <reference field="6" count="1" selected="0">
            <x v="3"/>
          </reference>
        </references>
      </pivotArea>
    </chartFormat>
    <chartFormat chart="0" format="16" series="1">
      <pivotArea type="data" outline="0" fieldPosition="0">
        <references count="2">
          <reference field="4294967294" count="1" selected="0">
            <x v="0"/>
          </reference>
          <reference field="6" count="1" selected="0">
            <x v="18"/>
          </reference>
        </references>
      </pivotArea>
    </chartFormat>
    <chartFormat chart="0" format="17" series="1">
      <pivotArea type="data" outline="0" fieldPosition="0">
        <references count="2">
          <reference field="4294967294" count="1" selected="0">
            <x v="0"/>
          </reference>
          <reference field="6" count="1" selected="0">
            <x v="23"/>
          </reference>
        </references>
      </pivotArea>
    </chartFormat>
    <chartFormat chart="0" format="18" series="1">
      <pivotArea type="data" outline="0" fieldPosition="0">
        <references count="2">
          <reference field="4294967294" count="1" selected="0">
            <x v="0"/>
          </reference>
          <reference field="6" count="1" selected="0">
            <x v="47"/>
          </reference>
        </references>
      </pivotArea>
    </chartFormat>
    <chartFormat chart="0" format="19" series="1">
      <pivotArea type="data" outline="0" fieldPosition="0">
        <references count="2">
          <reference field="4294967294" count="1" selected="0">
            <x v="0"/>
          </reference>
          <reference field="6" count="1" selected="0">
            <x v="38"/>
          </reference>
        </references>
      </pivotArea>
    </chartFormat>
    <chartFormat chart="0" format="20" series="1">
      <pivotArea type="data" outline="0" fieldPosition="0">
        <references count="2">
          <reference field="4294967294" count="1" selected="0">
            <x v="0"/>
          </reference>
          <reference field="6" count="1" selected="0">
            <x v="0"/>
          </reference>
        </references>
      </pivotArea>
    </chartFormat>
    <chartFormat chart="0" format="21" series="1">
      <pivotArea type="data" outline="0" fieldPosition="0">
        <references count="2">
          <reference field="4294967294" count="1" selected="0">
            <x v="0"/>
          </reference>
          <reference field="6" count="1" selected="0">
            <x v="31"/>
          </reference>
        </references>
      </pivotArea>
    </chartFormat>
    <chartFormat chart="0" format="22" series="1">
      <pivotArea type="data" outline="0" fieldPosition="0">
        <references count="2">
          <reference field="4294967294" count="1" selected="0">
            <x v="0"/>
          </reference>
          <reference field="6" count="1" selected="0">
            <x v="1"/>
          </reference>
        </references>
      </pivotArea>
    </chartFormat>
    <chartFormat chart="0" format="23" series="1">
      <pivotArea type="data" outline="0" fieldPosition="0">
        <references count="2">
          <reference field="4294967294" count="1" selected="0">
            <x v="0"/>
          </reference>
          <reference field="6" count="1" selected="0">
            <x v="30"/>
          </reference>
        </references>
      </pivotArea>
    </chartFormat>
    <chartFormat chart="0" format="24" series="1">
      <pivotArea type="data" outline="0" fieldPosition="0">
        <references count="2">
          <reference field="4294967294" count="1" selected="0">
            <x v="0"/>
          </reference>
          <reference field="6" count="1" selected="0">
            <x v="35"/>
          </reference>
        </references>
      </pivotArea>
    </chartFormat>
    <chartFormat chart="0" format="25" series="1">
      <pivotArea type="data" outline="0" fieldPosition="0">
        <references count="2">
          <reference field="4294967294" count="1" selected="0">
            <x v="0"/>
          </reference>
          <reference field="6" count="1" selected="0">
            <x v="24"/>
          </reference>
        </references>
      </pivotArea>
    </chartFormat>
    <chartFormat chart="0" format="26" series="1">
      <pivotArea type="data" outline="0" fieldPosition="0">
        <references count="2">
          <reference field="4294967294" count="1" selected="0">
            <x v="0"/>
          </reference>
          <reference field="6" count="1" selected="0">
            <x v="17"/>
          </reference>
        </references>
      </pivotArea>
    </chartFormat>
    <chartFormat chart="0" format="27" series="1">
      <pivotArea type="data" outline="0" fieldPosition="0">
        <references count="2">
          <reference field="4294967294" count="1" selected="0">
            <x v="0"/>
          </reference>
          <reference field="6" count="1" selected="0">
            <x v="45"/>
          </reference>
        </references>
      </pivotArea>
    </chartFormat>
    <chartFormat chart="0" format="28" series="1">
      <pivotArea type="data" outline="0" fieldPosition="0">
        <references count="2">
          <reference field="4294967294" count="1" selected="0">
            <x v="0"/>
          </reference>
          <reference field="6" count="1" selected="0">
            <x v="21"/>
          </reference>
        </references>
      </pivotArea>
    </chartFormat>
    <chartFormat chart="0" format="29" series="1">
      <pivotArea type="data" outline="0" fieldPosition="0">
        <references count="2">
          <reference field="4294967294" count="1" selected="0">
            <x v="0"/>
          </reference>
          <reference field="6" count="1" selected="0">
            <x v="43"/>
          </reference>
        </references>
      </pivotArea>
    </chartFormat>
    <chartFormat chart="0" format="30" series="1">
      <pivotArea type="data" outline="0" fieldPosition="0">
        <references count="2">
          <reference field="4294967294" count="1" selected="0">
            <x v="0"/>
          </reference>
          <reference field="6" count="1" selected="0">
            <x v="9"/>
          </reference>
        </references>
      </pivotArea>
    </chartFormat>
    <chartFormat chart="0" format="31" series="1">
      <pivotArea type="data" outline="0" fieldPosition="0">
        <references count="2">
          <reference field="4294967294" count="1" selected="0">
            <x v="0"/>
          </reference>
          <reference field="6" count="1" selected="0">
            <x v="39"/>
          </reference>
        </references>
      </pivotArea>
    </chartFormat>
    <chartFormat chart="0" format="32" series="1">
      <pivotArea type="data" outline="0" fieldPosition="0">
        <references count="2">
          <reference field="4294967294" count="1" selected="0">
            <x v="0"/>
          </reference>
          <reference field="6" count="1" selected="0">
            <x v="13"/>
          </reference>
        </references>
      </pivotArea>
    </chartFormat>
    <chartFormat chart="0" format="33" series="1">
      <pivotArea type="data" outline="0" fieldPosition="0">
        <references count="2">
          <reference field="4294967294" count="1" selected="0">
            <x v="0"/>
          </reference>
          <reference field="6" count="1" selected="0">
            <x v="27"/>
          </reference>
        </references>
      </pivotArea>
    </chartFormat>
    <chartFormat chart="0" format="34" series="1">
      <pivotArea type="data" outline="0" fieldPosition="0">
        <references count="2">
          <reference field="4294967294" count="1" selected="0">
            <x v="0"/>
          </reference>
          <reference field="6" count="1" selected="0">
            <x v="33"/>
          </reference>
        </references>
      </pivotArea>
    </chartFormat>
    <chartFormat chart="0" format="35" series="1">
      <pivotArea type="data" outline="0" fieldPosition="0">
        <references count="2">
          <reference field="4294967294" count="1" selected="0">
            <x v="0"/>
          </reference>
          <reference field="6" count="1" selected="0">
            <x v="25"/>
          </reference>
        </references>
      </pivotArea>
    </chartFormat>
    <chartFormat chart="0" format="36" series="1">
      <pivotArea type="data" outline="0" fieldPosition="0">
        <references count="2">
          <reference field="4294967294" count="1" selected="0">
            <x v="0"/>
          </reference>
          <reference field="6" count="1" selected="0">
            <x v="5"/>
          </reference>
        </references>
      </pivotArea>
    </chartFormat>
    <chartFormat chart="0" format="37" series="1">
      <pivotArea type="data" outline="0" fieldPosition="0">
        <references count="2">
          <reference field="4294967294" count="1" selected="0">
            <x v="0"/>
          </reference>
          <reference field="6" count="1" selected="0">
            <x v="11"/>
          </reference>
        </references>
      </pivotArea>
    </chartFormat>
    <chartFormat chart="0" format="38" series="1">
      <pivotArea type="data" outline="0" fieldPosition="0">
        <references count="2">
          <reference field="4294967294" count="1" selected="0">
            <x v="0"/>
          </reference>
          <reference field="6" count="1" selected="0">
            <x v="44"/>
          </reference>
        </references>
      </pivotArea>
    </chartFormat>
    <chartFormat chart="0" format="39" series="1">
      <pivotArea type="data" outline="0" fieldPosition="0">
        <references count="2">
          <reference field="4294967294" count="1" selected="0">
            <x v="0"/>
          </reference>
          <reference field="6" count="1" selected="0">
            <x v="49"/>
          </reference>
        </references>
      </pivotArea>
    </chartFormat>
    <chartFormat chart="0" format="40" series="1">
      <pivotArea type="data" outline="0" fieldPosition="0">
        <references count="2">
          <reference field="4294967294" count="1" selected="0">
            <x v="0"/>
          </reference>
          <reference field="6" count="1" selected="0">
            <x v="22"/>
          </reference>
        </references>
      </pivotArea>
    </chartFormat>
    <chartFormat chart="0" format="41" series="1">
      <pivotArea type="data" outline="0" fieldPosition="0">
        <references count="2">
          <reference field="4294967294" count="1" selected="0">
            <x v="0"/>
          </reference>
          <reference field="6" count="1" selected="0">
            <x v="26"/>
          </reference>
        </references>
      </pivotArea>
    </chartFormat>
    <chartFormat chart="0" format="42" series="1">
      <pivotArea type="data" outline="0" fieldPosition="0">
        <references count="2">
          <reference field="4294967294" count="1" selected="0">
            <x v="0"/>
          </reference>
          <reference field="6" count="1" selected="0">
            <x v="2"/>
          </reference>
        </references>
      </pivotArea>
    </chartFormat>
    <chartFormat chart="0" format="43" series="1">
      <pivotArea type="data" outline="0" fieldPosition="0">
        <references count="2">
          <reference field="4294967294" count="1" selected="0">
            <x v="0"/>
          </reference>
          <reference field="6" count="1" selected="0">
            <x v="4"/>
          </reference>
        </references>
      </pivotArea>
    </chartFormat>
    <chartFormat chart="0" format="44" series="1">
      <pivotArea type="data" outline="0" fieldPosition="0">
        <references count="2">
          <reference field="4294967294" count="1" selected="0">
            <x v="0"/>
          </reference>
          <reference field="6" count="1" selected="0">
            <x v="15"/>
          </reference>
        </references>
      </pivotArea>
    </chartFormat>
    <chartFormat chart="0" format="45" series="1">
      <pivotArea type="data" outline="0" fieldPosition="0">
        <references count="2">
          <reference field="4294967294" count="1" selected="0">
            <x v="0"/>
          </reference>
          <reference field="6" count="1" selected="0">
            <x v="46"/>
          </reference>
        </references>
      </pivotArea>
    </chartFormat>
    <chartFormat chart="0" format="46" series="1">
      <pivotArea type="data" outline="0" fieldPosition="0">
        <references count="2">
          <reference field="4294967294" count="1" selected="0">
            <x v="0"/>
          </reference>
          <reference field="6" count="1" selected="0">
            <x v="51"/>
          </reference>
        </references>
      </pivotArea>
    </chartFormat>
    <chartFormat chart="0" format="47" series="1">
      <pivotArea type="data" outline="0" fieldPosition="0">
        <references count="2">
          <reference field="4294967294" count="1" selected="0">
            <x v="0"/>
          </reference>
          <reference field="6" count="1" selected="0">
            <x v="42"/>
          </reference>
        </references>
      </pivotArea>
    </chartFormat>
    <chartFormat chart="0" format="48" series="1">
      <pivotArea type="data" outline="0" fieldPosition="0">
        <references count="2">
          <reference field="4294967294" count="1" selected="0">
            <x v="0"/>
          </reference>
          <reference field="6" count="1" selected="0">
            <x v="6"/>
          </reference>
        </references>
      </pivotArea>
    </chartFormat>
    <chartFormat chart="0" format="49" series="1">
      <pivotArea type="data" outline="0" fieldPosition="0">
        <references count="2">
          <reference field="4294967294" count="1" selected="0">
            <x v="0"/>
          </reference>
          <reference field="6" count="1" selected="0">
            <x v="16"/>
          </reference>
        </references>
      </pivotArea>
    </chartFormat>
    <chartFormat chart="0" format="50" series="1">
      <pivotArea type="data" outline="0" fieldPosition="0">
        <references count="2">
          <reference field="4294967294" count="1" selected="0">
            <x v="0"/>
          </reference>
          <reference field="6" count="1" selected="0">
            <x v="20"/>
          </reference>
        </references>
      </pivotArea>
    </chartFormat>
    <chartFormat chart="0" format="51" series="1">
      <pivotArea type="data" outline="0" fieldPosition="0">
        <references count="2">
          <reference field="4294967294" count="1" selected="0">
            <x v="0"/>
          </reference>
          <reference field="6" count="1" selected="0">
            <x v="28"/>
          </reference>
        </references>
      </pivotArea>
    </chartFormat>
    <chartFormat chart="0" format="52" series="1">
      <pivotArea type="data" outline="0" fieldPosition="0">
        <references count="2">
          <reference field="4294967294" count="1" selected="0">
            <x v="0"/>
          </reference>
          <reference field="6" count="1" selected="0">
            <x v="37"/>
          </reference>
        </references>
      </pivotArea>
    </chartFormat>
    <chartFormat chart="0" format="53" series="1">
      <pivotArea type="data" outline="0" fieldPosition="0">
        <references count="2">
          <reference field="4294967294" count="1" selected="0">
            <x v="0"/>
          </reference>
          <reference field="6" count="1" selected="0">
            <x v="10"/>
          </reference>
        </references>
      </pivotArea>
    </chartFormat>
    <chartFormat chart="5" format="7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418D9C-CAF3-4EC2-8C77-93CF9F23CB71}" name="PivotTable3" cacheId="1" applyNumberFormats="0" applyBorderFormats="0" applyFontFormats="0" applyPatternFormats="0" applyAlignmentFormats="0" applyWidthHeightFormats="1" dataCaption="Values" grandTotalCaption="Average Total" updatedVersion="8" minRefreshableVersion="3" useAutoFormatting="1" itemPrintTitles="1" createdVersion="8" indent="0" outline="1" outlineData="1" multipleFieldFilters="0" chartFormat="8">
  <location ref="A19:E21" firstHeaderRow="1" firstDataRow="2" firstDataCol="1"/>
  <pivotFields count="10">
    <pivotField showAll="0"/>
    <pivotField showAll="0"/>
    <pivotField showAll="0"/>
    <pivotField showAll="0">
      <items count="3">
        <item x="1"/>
        <item x="0"/>
        <item t="default"/>
      </items>
    </pivotField>
    <pivotField showAll="0"/>
    <pivotField axis="axisCol" showAll="0">
      <items count="4">
        <item x="1"/>
        <item x="0"/>
        <item x="2"/>
        <item t="default"/>
      </items>
    </pivotField>
    <pivotField showAll="0">
      <items count="54">
        <item x="51"/>
        <item x="47"/>
        <item x="2"/>
        <item x="43"/>
        <item x="26"/>
        <item x="3"/>
        <item x="37"/>
        <item x="4"/>
        <item x="21"/>
        <item x="42"/>
        <item x="35"/>
        <item x="41"/>
        <item x="23"/>
        <item x="33"/>
        <item x="9"/>
        <item x="6"/>
        <item x="5"/>
        <item x="13"/>
        <item x="12"/>
        <item x="28"/>
        <item x="8"/>
        <item x="34"/>
        <item x="16"/>
        <item x="52"/>
        <item x="36"/>
        <item x="10"/>
        <item x="49"/>
        <item x="39"/>
        <item x="27"/>
        <item x="1"/>
        <item x="44"/>
        <item x="45"/>
        <item x="24"/>
        <item x="30"/>
        <item x="0"/>
        <item x="25"/>
        <item x="19"/>
        <item x="14"/>
        <item x="32"/>
        <item x="18"/>
        <item x="31"/>
        <item x="29"/>
        <item x="22"/>
        <item x="38"/>
        <item x="7"/>
        <item x="20"/>
        <item x="17"/>
        <item x="40"/>
        <item x="11"/>
        <item x="15"/>
        <item x="48"/>
        <item x="50"/>
        <item x="46"/>
        <item t="default"/>
      </items>
    </pivotField>
    <pivotField dataField="1" numFmtId="164" showAll="0"/>
    <pivotField showAll="0">
      <items count="3">
        <item x="0"/>
        <item x="1"/>
        <item t="default"/>
      </items>
    </pivotField>
    <pivotField showAll="0">
      <items count="7">
        <item x="2"/>
        <item x="1"/>
        <item x="0"/>
        <item x="5"/>
        <item x="4"/>
        <item x="3"/>
        <item t="default"/>
      </items>
    </pivotField>
  </pivotFields>
  <rowItems count="1">
    <i/>
  </rowItems>
  <colFields count="1">
    <field x="5"/>
  </colFields>
  <colItems count="4">
    <i>
      <x/>
    </i>
    <i>
      <x v="1"/>
    </i>
    <i>
      <x v="2"/>
    </i>
    <i t="grand">
      <x/>
    </i>
  </colItems>
  <dataFields count="1">
    <dataField name="Average of Salary" fld="7" subtotal="average" baseField="5" baseItem="0" numFmtId="164"/>
  </dataFields>
  <formats count="1">
    <format dxfId="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0"/>
          </reference>
        </references>
      </pivotArea>
    </chartFormat>
    <chartFormat chart="2" format="8" series="1">
      <pivotArea type="data" outline="0" fieldPosition="0">
        <references count="2">
          <reference field="4294967294" count="1" selected="0">
            <x v="0"/>
          </reference>
          <reference field="5" count="1" selected="0">
            <x v="1"/>
          </reference>
        </references>
      </pivotArea>
    </chartFormat>
    <chartFormat chart="2" format="9"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5E372-25E7-449F-88C2-1D23EEB61C74}" name="PivotTable2" cacheId="1" applyNumberFormats="0" applyBorderFormats="0" applyFontFormats="0" applyPatternFormats="0" applyAlignmentFormats="0" applyWidthHeightFormats="1" dataCaption="Values" grandTotalCaption="Average Total" updatedVersion="8" minRefreshableVersion="3" useAutoFormatting="1" itemPrintTitles="1" createdVersion="8" indent="0" outline="1" outlineData="1" multipleFieldFilters="0" chartFormat="9">
  <location ref="A5:D7" firstHeaderRow="1" firstDataRow="2" firstDataCol="1"/>
  <pivotFields count="10">
    <pivotField showAll="0"/>
    <pivotField showAll="0"/>
    <pivotField showAll="0"/>
    <pivotField axis="axisCol" showAll="0">
      <items count="3">
        <item sd="0" x="1"/>
        <item sd="0" x="0"/>
        <item t="default"/>
      </items>
    </pivotField>
    <pivotField showAll="0"/>
    <pivotField showAll="0">
      <items count="4">
        <item x="1"/>
        <item x="0"/>
        <item x="2"/>
        <item t="default"/>
      </items>
    </pivotField>
    <pivotField showAll="0">
      <items count="54">
        <item x="51"/>
        <item x="47"/>
        <item x="2"/>
        <item x="43"/>
        <item x="26"/>
        <item x="3"/>
        <item x="37"/>
        <item x="4"/>
        <item x="21"/>
        <item x="42"/>
        <item x="35"/>
        <item x="41"/>
        <item x="23"/>
        <item x="33"/>
        <item x="9"/>
        <item x="6"/>
        <item x="5"/>
        <item x="13"/>
        <item x="12"/>
        <item x="28"/>
        <item x="8"/>
        <item x="34"/>
        <item x="16"/>
        <item x="52"/>
        <item x="36"/>
        <item x="10"/>
        <item x="49"/>
        <item x="39"/>
        <item x="27"/>
        <item x="1"/>
        <item x="44"/>
        <item x="45"/>
        <item x="24"/>
        <item x="30"/>
        <item x="0"/>
        <item x="25"/>
        <item x="19"/>
        <item x="14"/>
        <item x="32"/>
        <item x="18"/>
        <item x="31"/>
        <item x="29"/>
        <item x="22"/>
        <item x="38"/>
        <item x="7"/>
        <item x="20"/>
        <item x="17"/>
        <item x="40"/>
        <item x="11"/>
        <item x="15"/>
        <item x="48"/>
        <item x="50"/>
        <item x="46"/>
        <item t="default"/>
      </items>
    </pivotField>
    <pivotField dataField="1" numFmtId="164" showAll="0"/>
    <pivotField showAll="0">
      <items count="3">
        <item x="0"/>
        <item x="1"/>
        <item t="default"/>
      </items>
    </pivotField>
    <pivotField showAll="0"/>
  </pivotFields>
  <rowItems count="1">
    <i/>
  </rowItems>
  <colFields count="1">
    <field x="3"/>
  </colFields>
  <colItems count="3">
    <i>
      <x/>
    </i>
    <i>
      <x v="1"/>
    </i>
    <i t="grand">
      <x/>
    </i>
  </colItems>
  <dataFields count="1">
    <dataField name="Average of Salary" fld="7" subtotal="average" baseField="3" baseItem="0" numFmtId="164"/>
  </dataFields>
  <formats count="1">
    <format dxfId="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7" format="5" series="1">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F3D4AB5F-57AB-4DF5-A6B7-D8E6986E3CC4}" sourceName="Age Bracket">
  <pivotTables>
    <pivotTable tabId="4" name="PivotTable2"/>
    <pivotTable tabId="4" name="PivotTable3"/>
    <pivotTable tabId="4" name="PivotTable4"/>
    <pivotTable tabId="4" name="PivotTable5"/>
  </pivotTables>
  <data>
    <tabular pivotCacheId="211232391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0389BB-AC4E-4F39-B04A-0737282A0481}" sourceName="Gender">
  <pivotTables>
    <pivotTable tabId="4" name="PivotTable2"/>
    <pivotTable tabId="4" name="PivotTable3"/>
    <pivotTable tabId="4" name="PivotTable4"/>
    <pivotTable tabId="4" name="PivotTable5"/>
  </pivotTables>
  <data>
    <tabular pivotCacheId="211232391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C62FAE6-FD62-4EDA-98FD-8203C76DFAC1}" sourceName="Marital Status">
  <pivotTables>
    <pivotTable tabId="4" name="PivotTable2"/>
    <pivotTable tabId="4" name="PivotTable3"/>
    <pivotTable tabId="4" name="PivotTable4"/>
    <pivotTable tabId="4" name="PivotTable5"/>
  </pivotTables>
  <data>
    <tabular pivotCacheId="211232391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8F8EEF58-7C7B-46CB-A68C-E7554309E2BA}" cache="Slicer_Age_Bracket" caption="Age Bracket" style="SlicerStyleLight4" rowHeight="234950"/>
  <slicer name="Gender" xr10:uid="{698E0B4D-706E-4F62-954F-679ADEFA99AB}" cache="Slicer_Gender" caption="Gender" style="SlicerStyleLight4" rowHeight="234950"/>
  <slicer name="Marital Status" xr10:uid="{910170C4-5B94-41A4-99B5-02DB19BDAB55}" cache="Slicer_Marital_Status" caption="Marital Status"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4E8EDD-CC6B-4471-B22B-76DACEAF1809}" name="Table1" displayName="Table1" ref="A1:J1001" totalsRowShown="0">
  <autoFilter ref="A1:J1001" xr:uid="{DC0610C2-90BE-4214-B629-D9C7928B09C8}"/>
  <tableColumns count="10">
    <tableColumn id="1" xr3:uid="{649337E2-6673-4E25-B4B2-B30F786C6562}" name="First Name"/>
    <tableColumn id="2" xr3:uid="{4DF9210F-3D1E-49D8-B70D-1FC3D2E099C1}" name="Last Name"/>
    <tableColumn id="3" xr3:uid="{3F85A404-8D0F-424B-B0E1-F20E075E9C31}" name="Full Name"/>
    <tableColumn id="4" xr3:uid="{49D27CB5-45E2-437E-B0AB-2D13C20E89AB}" name="Gender"/>
    <tableColumn id="5" xr3:uid="{8FC39DC3-0621-41DA-853C-353C61BBCE16}" name="Age"/>
    <tableColumn id="6" xr3:uid="{DF649D9C-D678-4681-86D5-A45012602738}" name="Age Bracket">
      <calculatedColumnFormula>IF(E2&gt;50,"Old",IF(E2&gt;=31,"Middle Age",IF(E2&lt;31,"Young","Invalid")))</calculatedColumnFormula>
    </tableColumn>
    <tableColumn id="7" xr3:uid="{63EA5AAB-859B-4775-AE94-DECDA4A72F15}" name="Occupation"/>
    <tableColumn id="8" xr3:uid="{4D13D9B6-2BFE-439D-BF99-51E615675DB4}" name="Salary" dataDxfId="3" dataCellStyle="Comma"/>
    <tableColumn id="9" xr3:uid="{31394BD5-6F94-4D4D-B53D-8DA8DF2337F8}" name="Marital Status"/>
    <tableColumn id="10" xr3:uid="{F5643244-521A-4F87-B0AC-9B24484325BF}" name="No. of Children"/>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610C2-90BE-4214-B629-D9C7928B09C8}">
  <dimension ref="A1:J1001"/>
  <sheetViews>
    <sheetView topLeftCell="A54" workbookViewId="0">
      <selection activeCell="A70" sqref="A70"/>
    </sheetView>
  </sheetViews>
  <sheetFormatPr defaultRowHeight="13.8" x14ac:dyDescent="0.25"/>
  <cols>
    <col min="1" max="1" width="12" customWidth="1"/>
    <col min="2" max="2" width="11.8984375" customWidth="1"/>
    <col min="3" max="3" width="20.5" customWidth="1"/>
    <col min="4" max="4" width="9.3984375" customWidth="1"/>
    <col min="5" max="5" width="11.69921875" customWidth="1"/>
    <col min="6" max="6" width="14.69921875" customWidth="1"/>
    <col min="7" max="7" width="13.19921875" style="4" customWidth="1"/>
    <col min="8" max="8" width="14.796875" style="3" customWidth="1"/>
    <col min="9" max="9" width="16.59765625" customWidth="1"/>
    <col min="10" max="10" width="15.69921875" customWidth="1"/>
  </cols>
  <sheetData>
    <row r="1" spans="1:10" x14ac:dyDescent="0.25">
      <c r="A1" t="s">
        <v>1343</v>
      </c>
      <c r="B1" t="s">
        <v>1344</v>
      </c>
      <c r="C1" t="s">
        <v>1345</v>
      </c>
      <c r="D1" t="s">
        <v>1346</v>
      </c>
      <c r="E1" t="s">
        <v>1347</v>
      </c>
      <c r="F1" t="s">
        <v>1356</v>
      </c>
      <c r="G1" t="s">
        <v>1348</v>
      </c>
      <c r="H1" s="3" t="s">
        <v>1349</v>
      </c>
      <c r="I1" t="s">
        <v>1350</v>
      </c>
      <c r="J1" t="s">
        <v>1351</v>
      </c>
    </row>
    <row r="2" spans="1:10" x14ac:dyDescent="0.25">
      <c r="A2" t="s">
        <v>0</v>
      </c>
      <c r="B2" t="s">
        <v>1</v>
      </c>
      <c r="C2" t="s">
        <v>2</v>
      </c>
      <c r="D2" t="s">
        <v>3</v>
      </c>
      <c r="E2">
        <v>58</v>
      </c>
      <c r="F2" t="str">
        <f>IF(E2&gt;50,"Old",IF(E2&gt;=31,"Middle Age",IF(E2&lt;31,"Young","Invalid")))</f>
        <v>Old</v>
      </c>
      <c r="G2" t="s">
        <v>1364</v>
      </c>
      <c r="H2" s="3">
        <v>6779</v>
      </c>
      <c r="I2" t="s">
        <v>4</v>
      </c>
      <c r="J2">
        <v>2</v>
      </c>
    </row>
    <row r="3" spans="1:10" x14ac:dyDescent="0.25">
      <c r="A3" t="s">
        <v>5</v>
      </c>
      <c r="B3" t="s">
        <v>6</v>
      </c>
      <c r="C3" t="s">
        <v>7</v>
      </c>
      <c r="D3" t="s">
        <v>8</v>
      </c>
      <c r="E3">
        <v>36</v>
      </c>
      <c r="F3" t="str">
        <f t="shared" ref="F3:F66" si="0">IF(E3&gt;50,"Old",IF(E3&gt;=31,"Middle Age",IF(E3&lt;31,"Young","Invalid")))</f>
        <v>Middle Age</v>
      </c>
      <c r="G3" t="s">
        <v>9</v>
      </c>
      <c r="H3" s="3">
        <v>4466</v>
      </c>
      <c r="I3" t="s">
        <v>4</v>
      </c>
      <c r="J3">
        <v>1</v>
      </c>
    </row>
    <row r="4" spans="1:10" x14ac:dyDescent="0.25">
      <c r="A4" t="s">
        <v>10</v>
      </c>
      <c r="B4" t="s">
        <v>11</v>
      </c>
      <c r="C4" t="s">
        <v>12</v>
      </c>
      <c r="D4" t="s">
        <v>3</v>
      </c>
      <c r="E4">
        <v>58</v>
      </c>
      <c r="F4" t="str">
        <f t="shared" si="0"/>
        <v>Old</v>
      </c>
      <c r="G4" t="s">
        <v>13</v>
      </c>
      <c r="H4" s="3">
        <v>5786</v>
      </c>
      <c r="I4" t="s">
        <v>14</v>
      </c>
      <c r="J4">
        <v>0</v>
      </c>
    </row>
    <row r="5" spans="1:10" x14ac:dyDescent="0.25">
      <c r="A5" t="s">
        <v>15</v>
      </c>
      <c r="B5" t="s">
        <v>16</v>
      </c>
      <c r="C5" t="s">
        <v>17</v>
      </c>
      <c r="D5" t="s">
        <v>8</v>
      </c>
      <c r="E5">
        <v>23</v>
      </c>
      <c r="F5" t="str">
        <f t="shared" si="0"/>
        <v>Young</v>
      </c>
      <c r="G5" t="s">
        <v>1364</v>
      </c>
      <c r="H5" s="3">
        <v>3403</v>
      </c>
      <c r="I5" t="s">
        <v>4</v>
      </c>
      <c r="J5">
        <v>2</v>
      </c>
    </row>
    <row r="6" spans="1:10" x14ac:dyDescent="0.25">
      <c r="A6" t="s">
        <v>18</v>
      </c>
      <c r="B6" t="s">
        <v>19</v>
      </c>
      <c r="C6" t="s">
        <v>20</v>
      </c>
      <c r="D6" t="s">
        <v>3</v>
      </c>
      <c r="E6">
        <v>21</v>
      </c>
      <c r="F6" t="str">
        <f t="shared" si="0"/>
        <v>Young</v>
      </c>
      <c r="G6" t="s">
        <v>21</v>
      </c>
      <c r="H6" s="3">
        <v>693</v>
      </c>
      <c r="I6" t="s">
        <v>4</v>
      </c>
      <c r="J6">
        <v>0</v>
      </c>
    </row>
    <row r="7" spans="1:10" x14ac:dyDescent="0.25">
      <c r="A7" t="s">
        <v>22</v>
      </c>
      <c r="B7" t="s">
        <v>23</v>
      </c>
      <c r="C7" t="s">
        <v>24</v>
      </c>
      <c r="D7" t="s">
        <v>3</v>
      </c>
      <c r="E7">
        <v>38</v>
      </c>
      <c r="F7" t="str">
        <f t="shared" si="0"/>
        <v>Middle Age</v>
      </c>
      <c r="G7" t="s">
        <v>25</v>
      </c>
      <c r="H7" s="3">
        <v>3029</v>
      </c>
      <c r="I7" t="s">
        <v>14</v>
      </c>
      <c r="J7">
        <v>1</v>
      </c>
    </row>
    <row r="8" spans="1:10" x14ac:dyDescent="0.25">
      <c r="A8" t="s">
        <v>26</v>
      </c>
      <c r="B8" t="s">
        <v>27</v>
      </c>
      <c r="C8" t="s">
        <v>28</v>
      </c>
      <c r="D8" t="s">
        <v>8</v>
      </c>
      <c r="E8">
        <v>24</v>
      </c>
      <c r="F8" t="str">
        <f t="shared" si="0"/>
        <v>Young</v>
      </c>
      <c r="G8" t="s">
        <v>29</v>
      </c>
      <c r="H8" s="3">
        <v>8927</v>
      </c>
      <c r="I8" t="s">
        <v>4</v>
      </c>
      <c r="J8">
        <v>5</v>
      </c>
    </row>
    <row r="9" spans="1:10" x14ac:dyDescent="0.25">
      <c r="A9" t="s">
        <v>30</v>
      </c>
      <c r="B9" t="s">
        <v>16</v>
      </c>
      <c r="C9" t="s">
        <v>31</v>
      </c>
      <c r="D9" t="s">
        <v>3</v>
      </c>
      <c r="E9">
        <v>30</v>
      </c>
      <c r="F9" t="str">
        <f t="shared" si="0"/>
        <v>Young</v>
      </c>
      <c r="G9" t="s">
        <v>32</v>
      </c>
      <c r="H9" s="3">
        <v>916</v>
      </c>
      <c r="I9" t="s">
        <v>4</v>
      </c>
      <c r="J9">
        <v>1</v>
      </c>
    </row>
    <row r="10" spans="1:10" x14ac:dyDescent="0.25">
      <c r="A10" t="s">
        <v>33</v>
      </c>
      <c r="B10" t="s">
        <v>34</v>
      </c>
      <c r="C10" t="s">
        <v>35</v>
      </c>
      <c r="D10" t="s">
        <v>3</v>
      </c>
      <c r="E10">
        <v>38</v>
      </c>
      <c r="F10" t="str">
        <f t="shared" si="0"/>
        <v>Middle Age</v>
      </c>
      <c r="G10" t="s">
        <v>36</v>
      </c>
      <c r="H10" s="3">
        <v>8337</v>
      </c>
      <c r="I10" t="s">
        <v>4</v>
      </c>
      <c r="J10">
        <v>4</v>
      </c>
    </row>
    <row r="11" spans="1:10" x14ac:dyDescent="0.25">
      <c r="A11" t="s">
        <v>37</v>
      </c>
      <c r="B11" t="s">
        <v>38</v>
      </c>
      <c r="C11" t="s">
        <v>39</v>
      </c>
      <c r="D11" t="s">
        <v>3</v>
      </c>
      <c r="E11">
        <v>60</v>
      </c>
      <c r="F11" t="str">
        <f t="shared" si="0"/>
        <v>Old</v>
      </c>
      <c r="G11" t="s">
        <v>29</v>
      </c>
      <c r="H11" s="3">
        <v>2705</v>
      </c>
      <c r="I11" t="s">
        <v>4</v>
      </c>
      <c r="J11">
        <v>1</v>
      </c>
    </row>
    <row r="12" spans="1:10" x14ac:dyDescent="0.25">
      <c r="A12" t="s">
        <v>40</v>
      </c>
      <c r="B12" t="s">
        <v>41</v>
      </c>
      <c r="C12" t="s">
        <v>42</v>
      </c>
      <c r="D12" t="s">
        <v>8</v>
      </c>
      <c r="E12">
        <v>51</v>
      </c>
      <c r="F12" t="str">
        <f t="shared" si="0"/>
        <v>Old</v>
      </c>
      <c r="G12" t="s">
        <v>43</v>
      </c>
      <c r="H12" s="3">
        <v>8411</v>
      </c>
      <c r="I12" t="s">
        <v>14</v>
      </c>
      <c r="J12">
        <v>0</v>
      </c>
    </row>
    <row r="13" spans="1:10" x14ac:dyDescent="0.25">
      <c r="A13" t="s">
        <v>44</v>
      </c>
      <c r="B13" t="s">
        <v>45</v>
      </c>
      <c r="C13" t="s">
        <v>46</v>
      </c>
      <c r="D13" t="s">
        <v>8</v>
      </c>
      <c r="E13">
        <v>59</v>
      </c>
      <c r="F13" t="str">
        <f t="shared" si="0"/>
        <v>Old</v>
      </c>
      <c r="G13" t="s">
        <v>47</v>
      </c>
      <c r="H13" s="3">
        <v>8087</v>
      </c>
      <c r="I13" t="s">
        <v>14</v>
      </c>
      <c r="J13">
        <v>4</v>
      </c>
    </row>
    <row r="14" spans="1:10" x14ac:dyDescent="0.25">
      <c r="A14" t="s">
        <v>48</v>
      </c>
      <c r="B14" t="s">
        <v>49</v>
      </c>
      <c r="C14" t="s">
        <v>50</v>
      </c>
      <c r="D14" t="s">
        <v>8</v>
      </c>
      <c r="E14">
        <v>54</v>
      </c>
      <c r="F14" t="str">
        <f t="shared" si="0"/>
        <v>Old</v>
      </c>
      <c r="G14" t="s">
        <v>51</v>
      </c>
      <c r="H14" s="3">
        <v>7929</v>
      </c>
      <c r="I14" t="s">
        <v>14</v>
      </c>
      <c r="J14">
        <v>2</v>
      </c>
    </row>
    <row r="15" spans="1:10" x14ac:dyDescent="0.25">
      <c r="A15" t="s">
        <v>52</v>
      </c>
      <c r="B15" t="s">
        <v>53</v>
      </c>
      <c r="C15" t="s">
        <v>54</v>
      </c>
      <c r="D15" t="s">
        <v>8</v>
      </c>
      <c r="E15">
        <v>55</v>
      </c>
      <c r="F15" t="str">
        <f t="shared" si="0"/>
        <v>Old</v>
      </c>
      <c r="G15" t="s">
        <v>55</v>
      </c>
      <c r="H15" s="3">
        <v>9278</v>
      </c>
      <c r="I15" t="s">
        <v>14</v>
      </c>
      <c r="J15">
        <v>2</v>
      </c>
    </row>
    <row r="16" spans="1:10" x14ac:dyDescent="0.25">
      <c r="A16" t="s">
        <v>56</v>
      </c>
      <c r="B16" t="s">
        <v>57</v>
      </c>
      <c r="C16" t="s">
        <v>58</v>
      </c>
      <c r="D16" t="s">
        <v>8</v>
      </c>
      <c r="E16">
        <v>56</v>
      </c>
      <c r="F16" t="str">
        <f t="shared" si="0"/>
        <v>Old</v>
      </c>
      <c r="G16" t="s">
        <v>59</v>
      </c>
      <c r="H16" s="3">
        <v>7868</v>
      </c>
      <c r="I16" t="s">
        <v>14</v>
      </c>
      <c r="J16">
        <v>1</v>
      </c>
    </row>
    <row r="17" spans="1:10" x14ac:dyDescent="0.25">
      <c r="A17" t="s">
        <v>60</v>
      </c>
      <c r="B17" t="s">
        <v>61</v>
      </c>
      <c r="C17" t="s">
        <v>62</v>
      </c>
      <c r="D17" t="s">
        <v>3</v>
      </c>
      <c r="E17">
        <v>42</v>
      </c>
      <c r="F17" t="str">
        <f t="shared" si="0"/>
        <v>Middle Age</v>
      </c>
      <c r="G17" t="s">
        <v>63</v>
      </c>
      <c r="H17" s="3">
        <v>2264</v>
      </c>
      <c r="I17" t="s">
        <v>4</v>
      </c>
      <c r="J17">
        <v>3</v>
      </c>
    </row>
    <row r="18" spans="1:10" x14ac:dyDescent="0.25">
      <c r="A18" t="s">
        <v>64</v>
      </c>
      <c r="B18" t="s">
        <v>65</v>
      </c>
      <c r="C18" t="s">
        <v>66</v>
      </c>
      <c r="D18" t="s">
        <v>3</v>
      </c>
      <c r="E18">
        <v>48</v>
      </c>
      <c r="F18" t="str">
        <f t="shared" si="0"/>
        <v>Middle Age</v>
      </c>
      <c r="G18" t="s">
        <v>25</v>
      </c>
      <c r="H18" s="3">
        <v>2533</v>
      </c>
      <c r="I18" t="s">
        <v>14</v>
      </c>
      <c r="J18">
        <v>5</v>
      </c>
    </row>
    <row r="19" spans="1:10" x14ac:dyDescent="0.25">
      <c r="A19" t="s">
        <v>10</v>
      </c>
      <c r="B19" t="s">
        <v>67</v>
      </c>
      <c r="C19" t="s">
        <v>68</v>
      </c>
      <c r="D19" t="s">
        <v>3</v>
      </c>
      <c r="E19">
        <v>47</v>
      </c>
      <c r="F19" t="str">
        <f t="shared" si="0"/>
        <v>Middle Age</v>
      </c>
      <c r="G19" t="s">
        <v>69</v>
      </c>
      <c r="H19" s="3">
        <v>1378</v>
      </c>
      <c r="I19" t="s">
        <v>14</v>
      </c>
      <c r="J19">
        <v>4</v>
      </c>
    </row>
    <row r="20" spans="1:10" x14ac:dyDescent="0.25">
      <c r="A20" t="s">
        <v>70</v>
      </c>
      <c r="B20" t="s">
        <v>71</v>
      </c>
      <c r="C20" t="s">
        <v>72</v>
      </c>
      <c r="D20" t="s">
        <v>3</v>
      </c>
      <c r="E20">
        <v>56</v>
      </c>
      <c r="F20" t="str">
        <f t="shared" si="0"/>
        <v>Old</v>
      </c>
      <c r="G20" t="s">
        <v>43</v>
      </c>
      <c r="H20" s="3">
        <v>6229</v>
      </c>
      <c r="I20" t="s">
        <v>14</v>
      </c>
      <c r="J20">
        <v>2</v>
      </c>
    </row>
    <row r="21" spans="1:10" x14ac:dyDescent="0.25">
      <c r="A21" t="s">
        <v>73</v>
      </c>
      <c r="B21" t="s">
        <v>74</v>
      </c>
      <c r="C21" t="s">
        <v>75</v>
      </c>
      <c r="D21" t="s">
        <v>3</v>
      </c>
      <c r="E21">
        <v>57</v>
      </c>
      <c r="F21" t="str">
        <f t="shared" si="0"/>
        <v>Old</v>
      </c>
      <c r="G21" t="s">
        <v>76</v>
      </c>
      <c r="H21" s="3">
        <v>5461</v>
      </c>
      <c r="I21" t="s">
        <v>14</v>
      </c>
      <c r="J21">
        <v>2</v>
      </c>
    </row>
    <row r="22" spans="1:10" x14ac:dyDescent="0.25">
      <c r="A22" t="s">
        <v>77</v>
      </c>
      <c r="B22" t="s">
        <v>78</v>
      </c>
      <c r="C22" t="s">
        <v>79</v>
      </c>
      <c r="D22" t="s">
        <v>3</v>
      </c>
      <c r="E22">
        <v>47</v>
      </c>
      <c r="F22" t="str">
        <f t="shared" si="0"/>
        <v>Middle Age</v>
      </c>
      <c r="G22" t="s">
        <v>80</v>
      </c>
      <c r="H22" s="3">
        <v>931</v>
      </c>
      <c r="I22" t="s">
        <v>4</v>
      </c>
      <c r="J22">
        <v>3</v>
      </c>
    </row>
    <row r="23" spans="1:10" x14ac:dyDescent="0.25">
      <c r="A23" t="s">
        <v>44</v>
      </c>
      <c r="B23" t="s">
        <v>16</v>
      </c>
      <c r="C23" t="s">
        <v>81</v>
      </c>
      <c r="D23" t="s">
        <v>8</v>
      </c>
      <c r="E23">
        <v>43</v>
      </c>
      <c r="F23" t="str">
        <f t="shared" si="0"/>
        <v>Middle Age</v>
      </c>
      <c r="G23" t="s">
        <v>82</v>
      </c>
      <c r="H23" s="3">
        <v>5120</v>
      </c>
      <c r="I23" t="s">
        <v>14</v>
      </c>
      <c r="J23">
        <v>0</v>
      </c>
    </row>
    <row r="24" spans="1:10" x14ac:dyDescent="0.25">
      <c r="A24" t="s">
        <v>83</v>
      </c>
      <c r="B24" t="s">
        <v>84</v>
      </c>
      <c r="C24" t="s">
        <v>85</v>
      </c>
      <c r="D24" t="s">
        <v>3</v>
      </c>
      <c r="E24">
        <v>26</v>
      </c>
      <c r="F24" t="str">
        <f t="shared" si="0"/>
        <v>Young</v>
      </c>
      <c r="G24" t="s">
        <v>86</v>
      </c>
      <c r="H24" s="3">
        <v>9039</v>
      </c>
      <c r="I24" t="s">
        <v>4</v>
      </c>
      <c r="J24">
        <v>4</v>
      </c>
    </row>
    <row r="25" spans="1:10" x14ac:dyDescent="0.25">
      <c r="A25" t="s">
        <v>87</v>
      </c>
      <c r="B25" t="s">
        <v>88</v>
      </c>
      <c r="C25" t="s">
        <v>89</v>
      </c>
      <c r="D25" t="s">
        <v>3</v>
      </c>
      <c r="E25">
        <v>45</v>
      </c>
      <c r="F25" t="str">
        <f t="shared" si="0"/>
        <v>Middle Age</v>
      </c>
      <c r="G25" t="s">
        <v>82</v>
      </c>
      <c r="H25" s="3">
        <v>4813</v>
      </c>
      <c r="I25" t="s">
        <v>4</v>
      </c>
      <c r="J25">
        <v>1</v>
      </c>
    </row>
    <row r="26" spans="1:10" x14ac:dyDescent="0.25">
      <c r="A26" t="s">
        <v>90</v>
      </c>
      <c r="B26" t="s">
        <v>91</v>
      </c>
      <c r="C26" t="s">
        <v>92</v>
      </c>
      <c r="D26" t="s">
        <v>8</v>
      </c>
      <c r="E26">
        <v>58</v>
      </c>
      <c r="F26" t="str">
        <f t="shared" si="0"/>
        <v>Old</v>
      </c>
      <c r="G26" t="s">
        <v>32</v>
      </c>
      <c r="H26" s="3">
        <v>4856</v>
      </c>
      <c r="I26" t="s">
        <v>4</v>
      </c>
      <c r="J26">
        <v>5</v>
      </c>
    </row>
    <row r="27" spans="1:10" x14ac:dyDescent="0.25">
      <c r="A27" t="s">
        <v>93</v>
      </c>
      <c r="B27" t="s">
        <v>74</v>
      </c>
      <c r="C27" t="s">
        <v>94</v>
      </c>
      <c r="D27" t="s">
        <v>3</v>
      </c>
      <c r="E27">
        <v>24</v>
      </c>
      <c r="F27" t="str">
        <f t="shared" si="0"/>
        <v>Young</v>
      </c>
      <c r="G27" t="s">
        <v>36</v>
      </c>
      <c r="H27" s="3">
        <v>4406</v>
      </c>
      <c r="I27" t="s">
        <v>4</v>
      </c>
      <c r="J27">
        <v>5</v>
      </c>
    </row>
    <row r="28" spans="1:10" x14ac:dyDescent="0.25">
      <c r="A28" t="s">
        <v>48</v>
      </c>
      <c r="B28" t="s">
        <v>95</v>
      </c>
      <c r="C28" t="s">
        <v>96</v>
      </c>
      <c r="D28" t="s">
        <v>8</v>
      </c>
      <c r="E28">
        <v>31</v>
      </c>
      <c r="F28" t="str">
        <f t="shared" si="0"/>
        <v>Middle Age</v>
      </c>
      <c r="G28" t="s">
        <v>63</v>
      </c>
      <c r="H28" s="3">
        <v>2213</v>
      </c>
      <c r="I28" t="s">
        <v>4</v>
      </c>
      <c r="J28">
        <v>3</v>
      </c>
    </row>
    <row r="29" spans="1:10" x14ac:dyDescent="0.25">
      <c r="A29" t="s">
        <v>97</v>
      </c>
      <c r="B29" t="s">
        <v>98</v>
      </c>
      <c r="C29" t="s">
        <v>99</v>
      </c>
      <c r="D29" t="s">
        <v>8</v>
      </c>
      <c r="E29">
        <v>46</v>
      </c>
      <c r="F29" t="str">
        <f t="shared" si="0"/>
        <v>Middle Age</v>
      </c>
      <c r="G29" t="s">
        <v>1364</v>
      </c>
      <c r="H29" s="3">
        <v>6890</v>
      </c>
      <c r="I29" t="s">
        <v>14</v>
      </c>
      <c r="J29">
        <v>0</v>
      </c>
    </row>
    <row r="30" spans="1:10" x14ac:dyDescent="0.25">
      <c r="A30" t="s">
        <v>100</v>
      </c>
      <c r="B30" t="s">
        <v>101</v>
      </c>
      <c r="C30" t="s">
        <v>102</v>
      </c>
      <c r="D30" t="s">
        <v>8</v>
      </c>
      <c r="E30">
        <v>58</v>
      </c>
      <c r="F30" t="str">
        <f t="shared" si="0"/>
        <v>Old</v>
      </c>
      <c r="G30" t="s">
        <v>103</v>
      </c>
      <c r="H30" s="3">
        <v>4702</v>
      </c>
      <c r="I30" t="s">
        <v>14</v>
      </c>
      <c r="J30">
        <v>0</v>
      </c>
    </row>
    <row r="31" spans="1:10" x14ac:dyDescent="0.25">
      <c r="A31" t="s">
        <v>104</v>
      </c>
      <c r="B31" t="s">
        <v>105</v>
      </c>
      <c r="C31" t="s">
        <v>106</v>
      </c>
      <c r="D31" t="s">
        <v>3</v>
      </c>
      <c r="E31">
        <v>37</v>
      </c>
      <c r="F31" t="str">
        <f t="shared" si="0"/>
        <v>Middle Age</v>
      </c>
      <c r="G31" t="s">
        <v>107</v>
      </c>
      <c r="H31" s="3">
        <v>9026</v>
      </c>
      <c r="I31" t="s">
        <v>4</v>
      </c>
      <c r="J31">
        <v>1</v>
      </c>
    </row>
    <row r="32" spans="1:10" x14ac:dyDescent="0.25">
      <c r="A32" t="s">
        <v>108</v>
      </c>
      <c r="B32" t="s">
        <v>65</v>
      </c>
      <c r="C32" t="s">
        <v>109</v>
      </c>
      <c r="D32" t="s">
        <v>3</v>
      </c>
      <c r="E32">
        <v>49</v>
      </c>
      <c r="F32" t="str">
        <f t="shared" si="0"/>
        <v>Middle Age</v>
      </c>
      <c r="G32" t="s">
        <v>82</v>
      </c>
      <c r="H32" s="3">
        <v>5998</v>
      </c>
      <c r="I32" t="s">
        <v>4</v>
      </c>
      <c r="J32">
        <v>2</v>
      </c>
    </row>
    <row r="33" spans="1:10" x14ac:dyDescent="0.25">
      <c r="A33" t="s">
        <v>100</v>
      </c>
      <c r="B33" t="s">
        <v>38</v>
      </c>
      <c r="C33" t="s">
        <v>110</v>
      </c>
      <c r="D33" t="s">
        <v>8</v>
      </c>
      <c r="E33">
        <v>59</v>
      </c>
      <c r="F33" t="str">
        <f t="shared" si="0"/>
        <v>Old</v>
      </c>
      <c r="G33" t="s">
        <v>13</v>
      </c>
      <c r="H33" s="3">
        <v>8832</v>
      </c>
      <c r="I33" t="s">
        <v>4</v>
      </c>
      <c r="J33">
        <v>3</v>
      </c>
    </row>
    <row r="34" spans="1:10" x14ac:dyDescent="0.25">
      <c r="A34" t="s">
        <v>111</v>
      </c>
      <c r="B34" t="s">
        <v>112</v>
      </c>
      <c r="C34" t="s">
        <v>113</v>
      </c>
      <c r="D34" t="s">
        <v>8</v>
      </c>
      <c r="E34">
        <v>51</v>
      </c>
      <c r="F34" t="str">
        <f t="shared" si="0"/>
        <v>Old</v>
      </c>
      <c r="G34" t="s">
        <v>114</v>
      </c>
      <c r="H34" s="3">
        <v>3578</v>
      </c>
      <c r="I34" t="s">
        <v>14</v>
      </c>
      <c r="J34">
        <v>1</v>
      </c>
    </row>
    <row r="35" spans="1:10" x14ac:dyDescent="0.25">
      <c r="A35" t="s">
        <v>115</v>
      </c>
      <c r="B35" t="s">
        <v>116</v>
      </c>
      <c r="C35" t="s">
        <v>117</v>
      </c>
      <c r="D35" t="s">
        <v>3</v>
      </c>
      <c r="E35">
        <v>47</v>
      </c>
      <c r="F35" t="str">
        <f t="shared" si="0"/>
        <v>Middle Age</v>
      </c>
      <c r="G35" t="s">
        <v>118</v>
      </c>
      <c r="H35" s="3">
        <v>2060</v>
      </c>
      <c r="I35" t="s">
        <v>4</v>
      </c>
      <c r="J35">
        <v>4</v>
      </c>
    </row>
    <row r="36" spans="1:10" x14ac:dyDescent="0.25">
      <c r="A36" t="s">
        <v>119</v>
      </c>
      <c r="B36" t="s">
        <v>120</v>
      </c>
      <c r="C36" t="s">
        <v>121</v>
      </c>
      <c r="D36" t="s">
        <v>8</v>
      </c>
      <c r="E36">
        <v>56</v>
      </c>
      <c r="F36" t="str">
        <f t="shared" si="0"/>
        <v>Old</v>
      </c>
      <c r="G36" t="s">
        <v>80</v>
      </c>
      <c r="H36" s="3">
        <v>9072</v>
      </c>
      <c r="I36" t="s">
        <v>14</v>
      </c>
      <c r="J36">
        <v>2</v>
      </c>
    </row>
    <row r="37" spans="1:10" x14ac:dyDescent="0.25">
      <c r="A37" t="s">
        <v>108</v>
      </c>
      <c r="B37" t="s">
        <v>122</v>
      </c>
      <c r="C37" t="s">
        <v>123</v>
      </c>
      <c r="D37" t="s">
        <v>3</v>
      </c>
      <c r="E37">
        <v>21</v>
      </c>
      <c r="F37" t="str">
        <f t="shared" si="0"/>
        <v>Young</v>
      </c>
      <c r="G37" t="s">
        <v>124</v>
      </c>
      <c r="H37" s="3">
        <v>8115</v>
      </c>
      <c r="I37" t="s">
        <v>14</v>
      </c>
      <c r="J37">
        <v>1</v>
      </c>
    </row>
    <row r="38" spans="1:10" x14ac:dyDescent="0.25">
      <c r="A38" t="s">
        <v>125</v>
      </c>
      <c r="B38" t="s">
        <v>126</v>
      </c>
      <c r="C38" t="s">
        <v>127</v>
      </c>
      <c r="D38" t="s">
        <v>8</v>
      </c>
      <c r="E38">
        <v>19</v>
      </c>
      <c r="F38" t="str">
        <f t="shared" si="0"/>
        <v>Young</v>
      </c>
      <c r="G38" t="s">
        <v>128</v>
      </c>
      <c r="H38" s="3">
        <v>4424</v>
      </c>
      <c r="I38" t="s">
        <v>4</v>
      </c>
      <c r="J38">
        <v>4</v>
      </c>
    </row>
    <row r="39" spans="1:10" x14ac:dyDescent="0.25">
      <c r="A39" t="s">
        <v>129</v>
      </c>
      <c r="B39" t="s">
        <v>57</v>
      </c>
      <c r="C39" t="s">
        <v>130</v>
      </c>
      <c r="D39" t="s">
        <v>3</v>
      </c>
      <c r="E39">
        <v>58</v>
      </c>
      <c r="F39" t="str">
        <f t="shared" si="0"/>
        <v>Old</v>
      </c>
      <c r="G39" t="s">
        <v>131</v>
      </c>
      <c r="H39" s="3">
        <v>4754</v>
      </c>
      <c r="I39" t="s">
        <v>4</v>
      </c>
      <c r="J39">
        <v>3</v>
      </c>
    </row>
    <row r="40" spans="1:10" x14ac:dyDescent="0.25">
      <c r="A40" t="s">
        <v>125</v>
      </c>
      <c r="B40" t="s">
        <v>132</v>
      </c>
      <c r="C40" t="s">
        <v>133</v>
      </c>
      <c r="D40" t="s">
        <v>8</v>
      </c>
      <c r="E40">
        <v>24</v>
      </c>
      <c r="F40" t="str">
        <f t="shared" si="0"/>
        <v>Young</v>
      </c>
      <c r="G40" t="s">
        <v>134</v>
      </c>
      <c r="H40" s="3">
        <v>6531</v>
      </c>
      <c r="I40" t="s">
        <v>14</v>
      </c>
      <c r="J40">
        <v>4</v>
      </c>
    </row>
    <row r="41" spans="1:10" x14ac:dyDescent="0.25">
      <c r="A41" t="s">
        <v>135</v>
      </c>
      <c r="B41" t="s">
        <v>136</v>
      </c>
      <c r="C41" t="s">
        <v>137</v>
      </c>
      <c r="D41" t="s">
        <v>3</v>
      </c>
      <c r="E41">
        <v>23</v>
      </c>
      <c r="F41" t="str">
        <f t="shared" si="0"/>
        <v>Young</v>
      </c>
      <c r="G41" t="s">
        <v>13</v>
      </c>
      <c r="H41" s="3">
        <v>9654</v>
      </c>
      <c r="I41" t="s">
        <v>14</v>
      </c>
      <c r="J41">
        <v>2</v>
      </c>
    </row>
    <row r="42" spans="1:10" x14ac:dyDescent="0.25">
      <c r="A42" t="s">
        <v>138</v>
      </c>
      <c r="B42" t="s">
        <v>139</v>
      </c>
      <c r="C42" t="s">
        <v>140</v>
      </c>
      <c r="D42" t="s">
        <v>3</v>
      </c>
      <c r="E42">
        <v>53</v>
      </c>
      <c r="F42" t="str">
        <f t="shared" si="0"/>
        <v>Old</v>
      </c>
      <c r="G42" t="s">
        <v>43</v>
      </c>
      <c r="H42" s="3">
        <v>5963</v>
      </c>
      <c r="I42" t="s">
        <v>14</v>
      </c>
      <c r="J42">
        <v>0</v>
      </c>
    </row>
    <row r="43" spans="1:10" x14ac:dyDescent="0.25">
      <c r="A43" t="s">
        <v>141</v>
      </c>
      <c r="B43" t="s">
        <v>142</v>
      </c>
      <c r="C43" t="s">
        <v>143</v>
      </c>
      <c r="D43" t="s">
        <v>8</v>
      </c>
      <c r="E43">
        <v>46</v>
      </c>
      <c r="F43" t="str">
        <f t="shared" si="0"/>
        <v>Middle Age</v>
      </c>
      <c r="G43" t="s">
        <v>86</v>
      </c>
      <c r="H43" s="3">
        <v>1419</v>
      </c>
      <c r="I43" t="s">
        <v>4</v>
      </c>
      <c r="J43">
        <v>5</v>
      </c>
    </row>
    <row r="44" spans="1:10" x14ac:dyDescent="0.25">
      <c r="A44" t="s">
        <v>11</v>
      </c>
      <c r="B44" t="s">
        <v>16</v>
      </c>
      <c r="C44" t="s">
        <v>144</v>
      </c>
      <c r="D44" t="s">
        <v>3</v>
      </c>
      <c r="E44">
        <v>49</v>
      </c>
      <c r="F44" t="str">
        <f t="shared" si="0"/>
        <v>Middle Age</v>
      </c>
      <c r="G44" t="s">
        <v>9</v>
      </c>
      <c r="H44" s="3">
        <v>9406</v>
      </c>
      <c r="I44" t="s">
        <v>4</v>
      </c>
      <c r="J44">
        <v>0</v>
      </c>
    </row>
    <row r="45" spans="1:10" x14ac:dyDescent="0.25">
      <c r="A45" t="s">
        <v>145</v>
      </c>
      <c r="B45" t="s">
        <v>16</v>
      </c>
      <c r="C45" t="s">
        <v>146</v>
      </c>
      <c r="D45" t="s">
        <v>8</v>
      </c>
      <c r="E45">
        <v>33</v>
      </c>
      <c r="F45" t="str">
        <f t="shared" si="0"/>
        <v>Middle Age</v>
      </c>
      <c r="G45" t="s">
        <v>114</v>
      </c>
      <c r="H45" s="3">
        <v>2254</v>
      </c>
      <c r="I45" t="s">
        <v>4</v>
      </c>
      <c r="J45">
        <v>2</v>
      </c>
    </row>
    <row r="46" spans="1:10" x14ac:dyDescent="0.25">
      <c r="A46" t="s">
        <v>18</v>
      </c>
      <c r="B46" t="s">
        <v>122</v>
      </c>
      <c r="C46" t="s">
        <v>147</v>
      </c>
      <c r="D46" t="s">
        <v>3</v>
      </c>
      <c r="E46">
        <v>46</v>
      </c>
      <c r="F46" t="str">
        <f t="shared" si="0"/>
        <v>Middle Age</v>
      </c>
      <c r="G46" t="s">
        <v>21</v>
      </c>
      <c r="H46" s="3">
        <v>8547</v>
      </c>
      <c r="I46" t="s">
        <v>4</v>
      </c>
      <c r="J46">
        <v>4</v>
      </c>
    </row>
    <row r="47" spans="1:10" x14ac:dyDescent="0.25">
      <c r="A47" t="s">
        <v>26</v>
      </c>
      <c r="B47" t="s">
        <v>148</v>
      </c>
      <c r="C47" t="s">
        <v>149</v>
      </c>
      <c r="D47" t="s">
        <v>8</v>
      </c>
      <c r="E47">
        <v>33</v>
      </c>
      <c r="F47" t="str">
        <f t="shared" si="0"/>
        <v>Middle Age</v>
      </c>
      <c r="G47" t="s">
        <v>150</v>
      </c>
      <c r="H47" s="3">
        <v>5427</v>
      </c>
      <c r="I47" t="s">
        <v>4</v>
      </c>
      <c r="J47">
        <v>4</v>
      </c>
    </row>
    <row r="48" spans="1:10" x14ac:dyDescent="0.25">
      <c r="A48" t="s">
        <v>151</v>
      </c>
      <c r="B48" t="s">
        <v>152</v>
      </c>
      <c r="C48" t="s">
        <v>153</v>
      </c>
      <c r="D48" t="s">
        <v>8</v>
      </c>
      <c r="E48">
        <v>29</v>
      </c>
      <c r="F48" t="str">
        <f t="shared" si="0"/>
        <v>Young</v>
      </c>
      <c r="G48" t="s">
        <v>25</v>
      </c>
      <c r="H48" s="3">
        <v>523</v>
      </c>
      <c r="I48" t="s">
        <v>4</v>
      </c>
      <c r="J48">
        <v>0</v>
      </c>
    </row>
    <row r="49" spans="1:10" x14ac:dyDescent="0.25">
      <c r="A49" t="s">
        <v>154</v>
      </c>
      <c r="B49" t="s">
        <v>155</v>
      </c>
      <c r="C49" t="s">
        <v>156</v>
      </c>
      <c r="D49" t="s">
        <v>8</v>
      </c>
      <c r="E49">
        <v>19</v>
      </c>
      <c r="F49" t="str">
        <f t="shared" si="0"/>
        <v>Young</v>
      </c>
      <c r="G49" t="s">
        <v>21</v>
      </c>
      <c r="H49" s="3">
        <v>1832</v>
      </c>
      <c r="I49" t="s">
        <v>14</v>
      </c>
      <c r="J49">
        <v>0</v>
      </c>
    </row>
    <row r="50" spans="1:10" x14ac:dyDescent="0.25">
      <c r="A50" t="s">
        <v>157</v>
      </c>
      <c r="B50" t="s">
        <v>158</v>
      </c>
      <c r="C50" t="s">
        <v>159</v>
      </c>
      <c r="D50" t="s">
        <v>3</v>
      </c>
      <c r="E50">
        <v>53</v>
      </c>
      <c r="F50" t="str">
        <f t="shared" si="0"/>
        <v>Old</v>
      </c>
      <c r="G50" t="s">
        <v>160</v>
      </c>
      <c r="H50" s="3">
        <v>2846</v>
      </c>
      <c r="I50" t="s">
        <v>14</v>
      </c>
      <c r="J50">
        <v>1</v>
      </c>
    </row>
    <row r="51" spans="1:10" x14ac:dyDescent="0.25">
      <c r="A51" t="s">
        <v>161</v>
      </c>
      <c r="B51" t="s">
        <v>162</v>
      </c>
      <c r="C51" t="s">
        <v>163</v>
      </c>
      <c r="D51" t="s">
        <v>8</v>
      </c>
      <c r="E51">
        <v>60</v>
      </c>
      <c r="F51" t="str">
        <f t="shared" si="0"/>
        <v>Old</v>
      </c>
      <c r="G51" t="s">
        <v>118</v>
      </c>
      <c r="H51" s="3">
        <v>960</v>
      </c>
      <c r="I51" t="s">
        <v>14</v>
      </c>
      <c r="J51">
        <v>5</v>
      </c>
    </row>
    <row r="52" spans="1:10" x14ac:dyDescent="0.25">
      <c r="A52" t="s">
        <v>125</v>
      </c>
      <c r="B52" t="s">
        <v>23</v>
      </c>
      <c r="C52" t="s">
        <v>164</v>
      </c>
      <c r="D52" t="s">
        <v>8</v>
      </c>
      <c r="E52">
        <v>19</v>
      </c>
      <c r="F52" t="str">
        <f t="shared" si="0"/>
        <v>Young</v>
      </c>
      <c r="G52" t="s">
        <v>165</v>
      </c>
      <c r="H52" s="3">
        <v>6857</v>
      </c>
      <c r="I52" t="s">
        <v>4</v>
      </c>
      <c r="J52">
        <v>2</v>
      </c>
    </row>
    <row r="53" spans="1:10" x14ac:dyDescent="0.25">
      <c r="A53" t="s">
        <v>166</v>
      </c>
      <c r="B53" t="s">
        <v>167</v>
      </c>
      <c r="C53" t="s">
        <v>168</v>
      </c>
      <c r="D53" t="s">
        <v>3</v>
      </c>
      <c r="E53">
        <v>57</v>
      </c>
      <c r="F53" t="str">
        <f t="shared" si="0"/>
        <v>Old</v>
      </c>
      <c r="G53" t="s">
        <v>169</v>
      </c>
      <c r="H53" s="3">
        <v>7942</v>
      </c>
      <c r="I53" t="s">
        <v>14</v>
      </c>
      <c r="J53">
        <v>1</v>
      </c>
    </row>
    <row r="54" spans="1:10" x14ac:dyDescent="0.25">
      <c r="A54" t="s">
        <v>170</v>
      </c>
      <c r="B54" t="s">
        <v>158</v>
      </c>
      <c r="C54" t="s">
        <v>171</v>
      </c>
      <c r="D54" t="s">
        <v>8</v>
      </c>
      <c r="E54">
        <v>20</v>
      </c>
      <c r="F54" t="str">
        <f t="shared" si="0"/>
        <v>Young</v>
      </c>
      <c r="G54" t="s">
        <v>172</v>
      </c>
      <c r="H54" s="3">
        <v>8703</v>
      </c>
      <c r="I54" t="s">
        <v>4</v>
      </c>
      <c r="J54">
        <v>4</v>
      </c>
    </row>
    <row r="55" spans="1:10" x14ac:dyDescent="0.25">
      <c r="A55" t="s">
        <v>173</v>
      </c>
      <c r="B55" t="s">
        <v>174</v>
      </c>
      <c r="C55" t="s">
        <v>175</v>
      </c>
      <c r="D55" t="s">
        <v>3</v>
      </c>
      <c r="E55">
        <v>60</v>
      </c>
      <c r="F55" t="str">
        <f t="shared" si="0"/>
        <v>Old</v>
      </c>
      <c r="G55" t="s">
        <v>134</v>
      </c>
      <c r="H55" s="3">
        <v>4057</v>
      </c>
      <c r="I55" t="s">
        <v>14</v>
      </c>
      <c r="J55">
        <v>1</v>
      </c>
    </row>
    <row r="56" spans="1:10" x14ac:dyDescent="0.25">
      <c r="A56" t="s">
        <v>176</v>
      </c>
      <c r="B56" t="s">
        <v>177</v>
      </c>
      <c r="C56" t="s">
        <v>178</v>
      </c>
      <c r="D56" t="s">
        <v>3</v>
      </c>
      <c r="E56">
        <v>59</v>
      </c>
      <c r="F56" t="str">
        <f t="shared" si="0"/>
        <v>Old</v>
      </c>
      <c r="G56" t="s">
        <v>63</v>
      </c>
      <c r="H56" s="3">
        <v>6452</v>
      </c>
      <c r="I56" t="s">
        <v>14</v>
      </c>
      <c r="J56">
        <v>2</v>
      </c>
    </row>
    <row r="57" spans="1:10" x14ac:dyDescent="0.25">
      <c r="A57" t="s">
        <v>179</v>
      </c>
      <c r="B57" t="s">
        <v>180</v>
      </c>
      <c r="C57" t="s">
        <v>181</v>
      </c>
      <c r="D57" t="s">
        <v>3</v>
      </c>
      <c r="E57">
        <v>42</v>
      </c>
      <c r="F57" t="str">
        <f t="shared" si="0"/>
        <v>Middle Age</v>
      </c>
      <c r="G57" t="s">
        <v>182</v>
      </c>
      <c r="H57" s="3">
        <v>7282</v>
      </c>
      <c r="I57" t="s">
        <v>4</v>
      </c>
      <c r="J57">
        <v>1</v>
      </c>
    </row>
    <row r="58" spans="1:10" x14ac:dyDescent="0.25">
      <c r="A58" t="s">
        <v>183</v>
      </c>
      <c r="B58" t="s">
        <v>84</v>
      </c>
      <c r="C58" t="s">
        <v>184</v>
      </c>
      <c r="D58" t="s">
        <v>3</v>
      </c>
      <c r="E58">
        <v>34</v>
      </c>
      <c r="F58" t="str">
        <f t="shared" si="0"/>
        <v>Middle Age</v>
      </c>
      <c r="G58" t="s">
        <v>172</v>
      </c>
      <c r="H58" s="3">
        <v>8791</v>
      </c>
      <c r="I58" t="s">
        <v>4</v>
      </c>
      <c r="J58">
        <v>2</v>
      </c>
    </row>
    <row r="59" spans="1:10" x14ac:dyDescent="0.25">
      <c r="A59" t="s">
        <v>90</v>
      </c>
      <c r="B59" t="s">
        <v>185</v>
      </c>
      <c r="C59" t="s">
        <v>186</v>
      </c>
      <c r="D59" t="s">
        <v>8</v>
      </c>
      <c r="E59">
        <v>59</v>
      </c>
      <c r="F59" t="str">
        <f t="shared" si="0"/>
        <v>Old</v>
      </c>
      <c r="G59" t="s">
        <v>187</v>
      </c>
      <c r="H59" s="3">
        <v>5011</v>
      </c>
      <c r="I59" t="s">
        <v>14</v>
      </c>
      <c r="J59">
        <v>1</v>
      </c>
    </row>
    <row r="60" spans="1:10" x14ac:dyDescent="0.25">
      <c r="A60" t="s">
        <v>188</v>
      </c>
      <c r="B60" t="s">
        <v>158</v>
      </c>
      <c r="C60" t="s">
        <v>189</v>
      </c>
      <c r="D60" t="s">
        <v>8</v>
      </c>
      <c r="E60">
        <v>43</v>
      </c>
      <c r="F60" t="str">
        <f t="shared" si="0"/>
        <v>Middle Age</v>
      </c>
      <c r="G60" t="s">
        <v>131</v>
      </c>
      <c r="H60" s="3">
        <v>5855</v>
      </c>
      <c r="I60" t="s">
        <v>14</v>
      </c>
      <c r="J60">
        <v>4</v>
      </c>
    </row>
    <row r="61" spans="1:10" x14ac:dyDescent="0.25">
      <c r="A61" t="s">
        <v>190</v>
      </c>
      <c r="B61" t="s">
        <v>139</v>
      </c>
      <c r="C61" t="s">
        <v>191</v>
      </c>
      <c r="D61" t="s">
        <v>8</v>
      </c>
      <c r="E61">
        <v>36</v>
      </c>
      <c r="F61" t="str">
        <f t="shared" si="0"/>
        <v>Middle Age</v>
      </c>
      <c r="G61" t="s">
        <v>43</v>
      </c>
      <c r="H61" s="3">
        <v>3729</v>
      </c>
      <c r="I61" t="s">
        <v>4</v>
      </c>
      <c r="J61">
        <v>3</v>
      </c>
    </row>
    <row r="62" spans="1:10" x14ac:dyDescent="0.25">
      <c r="A62" t="s">
        <v>192</v>
      </c>
      <c r="B62" t="s">
        <v>180</v>
      </c>
      <c r="C62" t="s">
        <v>193</v>
      </c>
      <c r="D62" t="s">
        <v>8</v>
      </c>
      <c r="E62">
        <v>58</v>
      </c>
      <c r="F62" t="str">
        <f t="shared" si="0"/>
        <v>Old</v>
      </c>
      <c r="G62" t="s">
        <v>194</v>
      </c>
      <c r="H62" s="3">
        <v>8183</v>
      </c>
      <c r="I62" t="s">
        <v>4</v>
      </c>
      <c r="J62">
        <v>3</v>
      </c>
    </row>
    <row r="63" spans="1:10" x14ac:dyDescent="0.25">
      <c r="A63" t="s">
        <v>195</v>
      </c>
      <c r="B63" t="s">
        <v>38</v>
      </c>
      <c r="C63" t="s">
        <v>196</v>
      </c>
      <c r="D63" t="s">
        <v>3</v>
      </c>
      <c r="E63">
        <v>55</v>
      </c>
      <c r="F63" t="str">
        <f t="shared" si="0"/>
        <v>Old</v>
      </c>
      <c r="G63" t="s">
        <v>197</v>
      </c>
      <c r="H63" s="3">
        <v>1912</v>
      </c>
      <c r="I63" t="s">
        <v>14</v>
      </c>
      <c r="J63">
        <v>4</v>
      </c>
    </row>
    <row r="64" spans="1:10" x14ac:dyDescent="0.25">
      <c r="A64" t="s">
        <v>5</v>
      </c>
      <c r="B64" t="s">
        <v>67</v>
      </c>
      <c r="C64" t="s">
        <v>198</v>
      </c>
      <c r="D64" t="s">
        <v>8</v>
      </c>
      <c r="E64">
        <v>58</v>
      </c>
      <c r="F64" t="str">
        <f t="shared" si="0"/>
        <v>Old</v>
      </c>
      <c r="G64" t="s">
        <v>199</v>
      </c>
      <c r="H64" s="3">
        <v>3558</v>
      </c>
      <c r="I64" t="s">
        <v>4</v>
      </c>
      <c r="J64">
        <v>4</v>
      </c>
    </row>
    <row r="65" spans="1:10" x14ac:dyDescent="0.25">
      <c r="A65" t="s">
        <v>200</v>
      </c>
      <c r="B65" t="s">
        <v>201</v>
      </c>
      <c r="C65" t="s">
        <v>202</v>
      </c>
      <c r="D65" t="s">
        <v>3</v>
      </c>
      <c r="E65">
        <v>26</v>
      </c>
      <c r="F65" t="str">
        <f t="shared" si="0"/>
        <v>Young</v>
      </c>
      <c r="G65" t="s">
        <v>25</v>
      </c>
      <c r="H65" s="3">
        <v>5245</v>
      </c>
      <c r="I65" t="s">
        <v>14</v>
      </c>
      <c r="J65">
        <v>0</v>
      </c>
    </row>
    <row r="66" spans="1:10" x14ac:dyDescent="0.25">
      <c r="A66" t="s">
        <v>203</v>
      </c>
      <c r="B66" t="s">
        <v>204</v>
      </c>
      <c r="C66" t="s">
        <v>205</v>
      </c>
      <c r="D66" t="s">
        <v>8</v>
      </c>
      <c r="E66">
        <v>35</v>
      </c>
      <c r="F66" t="str">
        <f t="shared" si="0"/>
        <v>Middle Age</v>
      </c>
      <c r="G66" t="s">
        <v>13</v>
      </c>
      <c r="H66" s="3">
        <v>9627</v>
      </c>
      <c r="I66" t="s">
        <v>4</v>
      </c>
      <c r="J66">
        <v>0</v>
      </c>
    </row>
    <row r="67" spans="1:10" x14ac:dyDescent="0.25">
      <c r="A67" t="s">
        <v>206</v>
      </c>
      <c r="B67" t="s">
        <v>174</v>
      </c>
      <c r="C67" t="s">
        <v>207</v>
      </c>
      <c r="D67" t="s">
        <v>3</v>
      </c>
      <c r="E67">
        <v>53</v>
      </c>
      <c r="F67" t="str">
        <f t="shared" ref="F67:F130" si="1">IF(E67&gt;50,"Old",IF(E67&gt;=31,"Middle Age",IF(E67&lt;31,"Young","Invalid")))</f>
        <v>Old</v>
      </c>
      <c r="G67" t="s">
        <v>160</v>
      </c>
      <c r="H67" s="3">
        <v>9507</v>
      </c>
      <c r="I67" t="s">
        <v>14</v>
      </c>
      <c r="J67">
        <v>0</v>
      </c>
    </row>
    <row r="68" spans="1:10" x14ac:dyDescent="0.25">
      <c r="A68" t="s">
        <v>33</v>
      </c>
      <c r="B68" t="s">
        <v>136</v>
      </c>
      <c r="C68" t="s">
        <v>208</v>
      </c>
      <c r="D68" t="s">
        <v>3</v>
      </c>
      <c r="E68">
        <v>21</v>
      </c>
      <c r="F68" t="str">
        <f t="shared" si="1"/>
        <v>Young</v>
      </c>
      <c r="G68" t="s">
        <v>36</v>
      </c>
      <c r="H68" s="3">
        <v>8410</v>
      </c>
      <c r="I68" t="s">
        <v>14</v>
      </c>
      <c r="J68">
        <v>5</v>
      </c>
    </row>
    <row r="69" spans="1:10" x14ac:dyDescent="0.25">
      <c r="A69" t="s">
        <v>209</v>
      </c>
      <c r="B69" t="s">
        <v>1</v>
      </c>
      <c r="C69" t="s">
        <v>210</v>
      </c>
      <c r="D69" t="s">
        <v>8</v>
      </c>
      <c r="E69">
        <v>29</v>
      </c>
      <c r="F69" t="str">
        <f t="shared" si="1"/>
        <v>Young</v>
      </c>
      <c r="G69" t="s">
        <v>211</v>
      </c>
      <c r="H69" s="3">
        <v>750</v>
      </c>
      <c r="I69" t="s">
        <v>14</v>
      </c>
      <c r="J69">
        <v>1</v>
      </c>
    </row>
    <row r="70" spans="1:10" x14ac:dyDescent="0.25">
      <c r="A70" t="s">
        <v>212</v>
      </c>
      <c r="B70" t="s">
        <v>142</v>
      </c>
      <c r="C70" t="s">
        <v>213</v>
      </c>
      <c r="D70" t="s">
        <v>8</v>
      </c>
      <c r="E70">
        <v>48</v>
      </c>
      <c r="F70" t="str">
        <f t="shared" si="1"/>
        <v>Middle Age</v>
      </c>
      <c r="G70" t="s">
        <v>13</v>
      </c>
      <c r="H70" s="3">
        <v>7518</v>
      </c>
      <c r="I70" t="s">
        <v>4</v>
      </c>
      <c r="J70">
        <v>5</v>
      </c>
    </row>
    <row r="71" spans="1:10" x14ac:dyDescent="0.25">
      <c r="A71" t="s">
        <v>214</v>
      </c>
      <c r="B71" t="s">
        <v>215</v>
      </c>
      <c r="C71" t="s">
        <v>216</v>
      </c>
      <c r="D71" t="s">
        <v>3</v>
      </c>
      <c r="E71">
        <v>47</v>
      </c>
      <c r="F71" t="str">
        <f t="shared" si="1"/>
        <v>Middle Age</v>
      </c>
      <c r="G71" t="s">
        <v>217</v>
      </c>
      <c r="H71" s="3">
        <v>1280</v>
      </c>
      <c r="I71" t="s">
        <v>14</v>
      </c>
      <c r="J71">
        <v>0</v>
      </c>
    </row>
    <row r="72" spans="1:10" x14ac:dyDescent="0.25">
      <c r="A72" t="s">
        <v>218</v>
      </c>
      <c r="B72" t="s">
        <v>155</v>
      </c>
      <c r="C72" t="s">
        <v>219</v>
      </c>
      <c r="D72" t="s">
        <v>3</v>
      </c>
      <c r="E72">
        <v>24</v>
      </c>
      <c r="F72" t="str">
        <f t="shared" si="1"/>
        <v>Young</v>
      </c>
      <c r="G72" t="s">
        <v>199</v>
      </c>
      <c r="H72" s="3">
        <v>5072</v>
      </c>
      <c r="I72" t="s">
        <v>14</v>
      </c>
      <c r="J72">
        <v>2</v>
      </c>
    </row>
    <row r="73" spans="1:10" x14ac:dyDescent="0.25">
      <c r="A73" t="s">
        <v>73</v>
      </c>
      <c r="B73" t="s">
        <v>220</v>
      </c>
      <c r="C73" t="s">
        <v>221</v>
      </c>
      <c r="D73" t="s">
        <v>3</v>
      </c>
      <c r="E73">
        <v>33</v>
      </c>
      <c r="F73" t="str">
        <f t="shared" si="1"/>
        <v>Middle Age</v>
      </c>
      <c r="G73" t="s">
        <v>187</v>
      </c>
      <c r="H73" s="3">
        <v>2670</v>
      </c>
      <c r="I73" t="s">
        <v>14</v>
      </c>
      <c r="J73">
        <v>2</v>
      </c>
    </row>
    <row r="74" spans="1:10" x14ac:dyDescent="0.25">
      <c r="A74" t="s">
        <v>222</v>
      </c>
      <c r="B74" t="s">
        <v>223</v>
      </c>
      <c r="C74" t="s">
        <v>224</v>
      </c>
      <c r="D74" t="s">
        <v>3</v>
      </c>
      <c r="E74">
        <v>40</v>
      </c>
      <c r="F74" t="str">
        <f t="shared" si="1"/>
        <v>Middle Age</v>
      </c>
      <c r="G74" t="s">
        <v>225</v>
      </c>
      <c r="H74" s="3">
        <v>7506</v>
      </c>
      <c r="I74" t="s">
        <v>4</v>
      </c>
      <c r="J74">
        <v>4</v>
      </c>
    </row>
    <row r="75" spans="1:10" x14ac:dyDescent="0.25">
      <c r="A75" t="s">
        <v>138</v>
      </c>
      <c r="B75" t="s">
        <v>71</v>
      </c>
      <c r="C75" t="s">
        <v>226</v>
      </c>
      <c r="D75" t="s">
        <v>3</v>
      </c>
      <c r="E75">
        <v>29</v>
      </c>
      <c r="F75" t="str">
        <f t="shared" si="1"/>
        <v>Young</v>
      </c>
      <c r="G75" t="s">
        <v>227</v>
      </c>
      <c r="H75" s="3">
        <v>8547</v>
      </c>
      <c r="I75" t="s">
        <v>14</v>
      </c>
      <c r="J75">
        <v>4</v>
      </c>
    </row>
    <row r="76" spans="1:10" x14ac:dyDescent="0.25">
      <c r="A76" t="s">
        <v>228</v>
      </c>
      <c r="B76" t="s">
        <v>229</v>
      </c>
      <c r="C76" t="s">
        <v>230</v>
      </c>
      <c r="D76" t="s">
        <v>8</v>
      </c>
      <c r="E76">
        <v>48</v>
      </c>
      <c r="F76" t="str">
        <f t="shared" si="1"/>
        <v>Middle Age</v>
      </c>
      <c r="G76" t="s">
        <v>231</v>
      </c>
      <c r="H76" s="3">
        <v>7924</v>
      </c>
      <c r="I76" t="s">
        <v>4</v>
      </c>
      <c r="J76">
        <v>0</v>
      </c>
    </row>
    <row r="77" spans="1:10" x14ac:dyDescent="0.25">
      <c r="A77" t="s">
        <v>232</v>
      </c>
      <c r="B77" t="s">
        <v>114</v>
      </c>
      <c r="C77" t="s">
        <v>233</v>
      </c>
      <c r="D77" t="s">
        <v>8</v>
      </c>
      <c r="E77">
        <v>22</v>
      </c>
      <c r="F77" t="str">
        <f t="shared" si="1"/>
        <v>Young</v>
      </c>
      <c r="G77" t="s">
        <v>234</v>
      </c>
      <c r="H77" s="3">
        <v>8979</v>
      </c>
      <c r="I77" t="s">
        <v>14</v>
      </c>
      <c r="J77">
        <v>1</v>
      </c>
    </row>
    <row r="78" spans="1:10" x14ac:dyDescent="0.25">
      <c r="A78" t="s">
        <v>235</v>
      </c>
      <c r="B78" t="s">
        <v>236</v>
      </c>
      <c r="C78" t="s">
        <v>237</v>
      </c>
      <c r="D78" t="s">
        <v>8</v>
      </c>
      <c r="E78">
        <v>29</v>
      </c>
      <c r="F78" t="str">
        <f t="shared" si="1"/>
        <v>Young</v>
      </c>
      <c r="G78" t="s">
        <v>211</v>
      </c>
      <c r="H78" s="3">
        <v>2299</v>
      </c>
      <c r="I78" t="s">
        <v>4</v>
      </c>
      <c r="J78">
        <v>3</v>
      </c>
    </row>
    <row r="79" spans="1:10" x14ac:dyDescent="0.25">
      <c r="A79" t="s">
        <v>238</v>
      </c>
      <c r="B79" t="s">
        <v>142</v>
      </c>
      <c r="C79" t="s">
        <v>239</v>
      </c>
      <c r="D79" t="s">
        <v>8</v>
      </c>
      <c r="E79">
        <v>41</v>
      </c>
      <c r="F79" t="str">
        <f t="shared" si="1"/>
        <v>Middle Age</v>
      </c>
      <c r="G79" t="s">
        <v>231</v>
      </c>
      <c r="H79" s="3">
        <v>2772</v>
      </c>
      <c r="I79" t="s">
        <v>14</v>
      </c>
      <c r="J79">
        <v>5</v>
      </c>
    </row>
    <row r="80" spans="1:10" x14ac:dyDescent="0.25">
      <c r="A80" t="s">
        <v>240</v>
      </c>
      <c r="B80" t="s">
        <v>180</v>
      </c>
      <c r="C80" t="s">
        <v>241</v>
      </c>
      <c r="D80" t="s">
        <v>3</v>
      </c>
      <c r="E80">
        <v>46</v>
      </c>
      <c r="F80" t="str">
        <f t="shared" si="1"/>
        <v>Middle Age</v>
      </c>
      <c r="G80" t="s">
        <v>86</v>
      </c>
      <c r="H80" s="3">
        <v>4160</v>
      </c>
      <c r="I80" t="s">
        <v>4</v>
      </c>
      <c r="J80">
        <v>2</v>
      </c>
    </row>
    <row r="81" spans="1:10" x14ac:dyDescent="0.25">
      <c r="A81" t="s">
        <v>15</v>
      </c>
      <c r="B81" t="s">
        <v>61</v>
      </c>
      <c r="C81" t="s">
        <v>242</v>
      </c>
      <c r="D81" t="s">
        <v>8</v>
      </c>
      <c r="E81">
        <v>52</v>
      </c>
      <c r="F81" t="str">
        <f t="shared" si="1"/>
        <v>Old</v>
      </c>
      <c r="G81" t="s">
        <v>82</v>
      </c>
      <c r="H81" s="3">
        <v>5743</v>
      </c>
      <c r="I81" t="s">
        <v>14</v>
      </c>
      <c r="J81">
        <v>5</v>
      </c>
    </row>
    <row r="82" spans="1:10" x14ac:dyDescent="0.25">
      <c r="A82" t="s">
        <v>243</v>
      </c>
      <c r="B82" t="s">
        <v>244</v>
      </c>
      <c r="C82" t="s">
        <v>245</v>
      </c>
      <c r="D82" t="s">
        <v>3</v>
      </c>
      <c r="E82">
        <v>23</v>
      </c>
      <c r="F82" t="str">
        <f t="shared" si="1"/>
        <v>Young</v>
      </c>
      <c r="G82" t="s">
        <v>194</v>
      </c>
      <c r="H82" s="3">
        <v>7157</v>
      </c>
      <c r="I82" t="s">
        <v>14</v>
      </c>
      <c r="J82">
        <v>3</v>
      </c>
    </row>
    <row r="83" spans="1:10" x14ac:dyDescent="0.25">
      <c r="A83" t="s">
        <v>228</v>
      </c>
      <c r="B83" t="s">
        <v>16</v>
      </c>
      <c r="C83" t="s">
        <v>246</v>
      </c>
      <c r="D83" t="s">
        <v>8</v>
      </c>
      <c r="E83">
        <v>42</v>
      </c>
      <c r="F83" t="str">
        <f t="shared" si="1"/>
        <v>Middle Age</v>
      </c>
      <c r="G83" t="s">
        <v>169</v>
      </c>
      <c r="H83" s="3">
        <v>6501</v>
      </c>
      <c r="I83" t="s">
        <v>14</v>
      </c>
      <c r="J83">
        <v>3</v>
      </c>
    </row>
    <row r="84" spans="1:10" x14ac:dyDescent="0.25">
      <c r="A84" t="s">
        <v>170</v>
      </c>
      <c r="B84" t="s">
        <v>122</v>
      </c>
      <c r="C84" t="s">
        <v>247</v>
      </c>
      <c r="D84" t="s">
        <v>8</v>
      </c>
      <c r="E84">
        <v>31</v>
      </c>
      <c r="F84" t="str">
        <f t="shared" si="1"/>
        <v>Middle Age</v>
      </c>
      <c r="G84" t="s">
        <v>248</v>
      </c>
      <c r="H84" s="3">
        <v>2669</v>
      </c>
      <c r="I84" t="s">
        <v>14</v>
      </c>
      <c r="J84">
        <v>5</v>
      </c>
    </row>
    <row r="85" spans="1:10" x14ac:dyDescent="0.25">
      <c r="A85" t="s">
        <v>188</v>
      </c>
      <c r="B85" t="s">
        <v>249</v>
      </c>
      <c r="C85" t="s">
        <v>250</v>
      </c>
      <c r="D85" t="s">
        <v>8</v>
      </c>
      <c r="E85">
        <v>45</v>
      </c>
      <c r="F85" t="str">
        <f t="shared" si="1"/>
        <v>Middle Age</v>
      </c>
      <c r="G85" t="s">
        <v>124</v>
      </c>
      <c r="H85" s="3">
        <v>3424</v>
      </c>
      <c r="I85" t="s">
        <v>4</v>
      </c>
      <c r="J85">
        <v>3</v>
      </c>
    </row>
    <row r="86" spans="1:10" x14ac:dyDescent="0.25">
      <c r="A86" t="s">
        <v>0</v>
      </c>
      <c r="B86" t="s">
        <v>251</v>
      </c>
      <c r="C86" t="s">
        <v>252</v>
      </c>
      <c r="D86" t="s">
        <v>3</v>
      </c>
      <c r="E86">
        <v>21</v>
      </c>
      <c r="F86" t="str">
        <f t="shared" si="1"/>
        <v>Young</v>
      </c>
      <c r="G86" t="s">
        <v>169</v>
      </c>
      <c r="H86" s="3">
        <v>5485</v>
      </c>
      <c r="I86" t="s">
        <v>14</v>
      </c>
      <c r="J86">
        <v>1</v>
      </c>
    </row>
    <row r="87" spans="1:10" x14ac:dyDescent="0.25">
      <c r="A87" t="s">
        <v>26</v>
      </c>
      <c r="B87" t="s">
        <v>249</v>
      </c>
      <c r="C87" t="s">
        <v>253</v>
      </c>
      <c r="D87" t="s">
        <v>8</v>
      </c>
      <c r="E87">
        <v>49</v>
      </c>
      <c r="F87" t="str">
        <f t="shared" si="1"/>
        <v>Middle Age</v>
      </c>
      <c r="G87" t="s">
        <v>134</v>
      </c>
      <c r="H87" s="3">
        <v>4786</v>
      </c>
      <c r="I87" t="s">
        <v>14</v>
      </c>
      <c r="J87">
        <v>0</v>
      </c>
    </row>
    <row r="88" spans="1:10" x14ac:dyDescent="0.25">
      <c r="A88" t="s">
        <v>254</v>
      </c>
      <c r="B88" t="s">
        <v>167</v>
      </c>
      <c r="C88" t="s">
        <v>255</v>
      </c>
      <c r="D88" t="s">
        <v>3</v>
      </c>
      <c r="E88">
        <v>35</v>
      </c>
      <c r="F88" t="str">
        <f t="shared" si="1"/>
        <v>Middle Age</v>
      </c>
      <c r="G88" t="s">
        <v>256</v>
      </c>
      <c r="H88" s="3">
        <v>5819</v>
      </c>
      <c r="I88" t="s">
        <v>4</v>
      </c>
      <c r="J88">
        <v>1</v>
      </c>
    </row>
    <row r="89" spans="1:10" x14ac:dyDescent="0.25">
      <c r="A89" t="s">
        <v>257</v>
      </c>
      <c r="B89" t="s">
        <v>249</v>
      </c>
      <c r="C89" t="s">
        <v>258</v>
      </c>
      <c r="D89" t="s">
        <v>3</v>
      </c>
      <c r="E89">
        <v>51</v>
      </c>
      <c r="F89" t="str">
        <f t="shared" si="1"/>
        <v>Old</v>
      </c>
      <c r="G89" t="s">
        <v>197</v>
      </c>
      <c r="H89" s="3">
        <v>2778</v>
      </c>
      <c r="I89" t="s">
        <v>4</v>
      </c>
      <c r="J89">
        <v>5</v>
      </c>
    </row>
    <row r="90" spans="1:10" x14ac:dyDescent="0.25">
      <c r="A90" t="s">
        <v>190</v>
      </c>
      <c r="B90" t="s">
        <v>220</v>
      </c>
      <c r="C90" t="s">
        <v>259</v>
      </c>
      <c r="D90" t="s">
        <v>8</v>
      </c>
      <c r="E90">
        <v>57</v>
      </c>
      <c r="F90" t="str">
        <f t="shared" si="1"/>
        <v>Old</v>
      </c>
      <c r="G90" t="s">
        <v>165</v>
      </c>
      <c r="H90" s="3">
        <v>6964</v>
      </c>
      <c r="I90" t="s">
        <v>4</v>
      </c>
      <c r="J90">
        <v>0</v>
      </c>
    </row>
    <row r="91" spans="1:10" x14ac:dyDescent="0.25">
      <c r="A91" t="s">
        <v>125</v>
      </c>
      <c r="B91" t="s">
        <v>136</v>
      </c>
      <c r="C91" t="s">
        <v>260</v>
      </c>
      <c r="D91" t="s">
        <v>8</v>
      </c>
      <c r="E91">
        <v>19</v>
      </c>
      <c r="F91" t="str">
        <f t="shared" si="1"/>
        <v>Young</v>
      </c>
      <c r="G91" t="s">
        <v>225</v>
      </c>
      <c r="H91" s="3">
        <v>5708</v>
      </c>
      <c r="I91" t="s">
        <v>4</v>
      </c>
      <c r="J91">
        <v>4</v>
      </c>
    </row>
    <row r="92" spans="1:10" x14ac:dyDescent="0.25">
      <c r="A92" t="s">
        <v>141</v>
      </c>
      <c r="B92" t="s">
        <v>261</v>
      </c>
      <c r="C92" t="s">
        <v>262</v>
      </c>
      <c r="D92" t="s">
        <v>8</v>
      </c>
      <c r="E92">
        <v>42</v>
      </c>
      <c r="F92" t="str">
        <f t="shared" si="1"/>
        <v>Middle Age</v>
      </c>
      <c r="G92" t="s">
        <v>169</v>
      </c>
      <c r="H92" s="3">
        <v>8059</v>
      </c>
      <c r="I92" t="s">
        <v>4</v>
      </c>
      <c r="J92">
        <v>0</v>
      </c>
    </row>
    <row r="93" spans="1:10" x14ac:dyDescent="0.25">
      <c r="A93" t="s">
        <v>263</v>
      </c>
      <c r="B93" t="s">
        <v>264</v>
      </c>
      <c r="C93" t="s">
        <v>265</v>
      </c>
      <c r="D93" t="s">
        <v>3</v>
      </c>
      <c r="E93">
        <v>25</v>
      </c>
      <c r="F93" t="str">
        <f t="shared" si="1"/>
        <v>Young</v>
      </c>
      <c r="G93" t="s">
        <v>266</v>
      </c>
      <c r="H93" s="3">
        <v>8196</v>
      </c>
      <c r="I93" t="s">
        <v>14</v>
      </c>
      <c r="J93">
        <v>3</v>
      </c>
    </row>
    <row r="94" spans="1:10" x14ac:dyDescent="0.25">
      <c r="A94" t="s">
        <v>267</v>
      </c>
      <c r="B94" t="s">
        <v>268</v>
      </c>
      <c r="C94" t="s">
        <v>269</v>
      </c>
      <c r="D94" t="s">
        <v>8</v>
      </c>
      <c r="E94">
        <v>32</v>
      </c>
      <c r="F94" t="str">
        <f t="shared" si="1"/>
        <v>Middle Age</v>
      </c>
      <c r="G94" t="s">
        <v>270</v>
      </c>
      <c r="H94" s="3">
        <v>9237</v>
      </c>
      <c r="I94" t="s">
        <v>14</v>
      </c>
      <c r="J94">
        <v>5</v>
      </c>
    </row>
    <row r="95" spans="1:10" x14ac:dyDescent="0.25">
      <c r="A95" t="s">
        <v>271</v>
      </c>
      <c r="B95" t="s">
        <v>120</v>
      </c>
      <c r="C95" t="s">
        <v>272</v>
      </c>
      <c r="D95" t="s">
        <v>3</v>
      </c>
      <c r="E95">
        <v>60</v>
      </c>
      <c r="F95" t="str">
        <f t="shared" si="1"/>
        <v>Old</v>
      </c>
      <c r="G95" t="s">
        <v>150</v>
      </c>
      <c r="H95" s="3">
        <v>8232</v>
      </c>
      <c r="I95" t="s">
        <v>14</v>
      </c>
      <c r="J95">
        <v>0</v>
      </c>
    </row>
    <row r="96" spans="1:10" x14ac:dyDescent="0.25">
      <c r="A96" t="s">
        <v>273</v>
      </c>
      <c r="B96" t="s">
        <v>274</v>
      </c>
      <c r="C96" t="s">
        <v>275</v>
      </c>
      <c r="D96" t="s">
        <v>3</v>
      </c>
      <c r="E96">
        <v>57</v>
      </c>
      <c r="F96" t="str">
        <f t="shared" si="1"/>
        <v>Old</v>
      </c>
      <c r="G96" t="s">
        <v>107</v>
      </c>
      <c r="H96" s="3">
        <v>7802</v>
      </c>
      <c r="I96" t="s">
        <v>4</v>
      </c>
      <c r="J96">
        <v>5</v>
      </c>
    </row>
    <row r="97" spans="1:10" x14ac:dyDescent="0.25">
      <c r="A97" t="s">
        <v>276</v>
      </c>
      <c r="B97" t="s">
        <v>277</v>
      </c>
      <c r="C97" t="s">
        <v>278</v>
      </c>
      <c r="D97" t="s">
        <v>3</v>
      </c>
      <c r="E97">
        <v>45</v>
      </c>
      <c r="F97" t="str">
        <f t="shared" si="1"/>
        <v>Middle Age</v>
      </c>
      <c r="G97" t="s">
        <v>248</v>
      </c>
      <c r="H97" s="3">
        <v>9147</v>
      </c>
      <c r="I97" t="s">
        <v>4</v>
      </c>
      <c r="J97">
        <v>5</v>
      </c>
    </row>
    <row r="98" spans="1:10" x14ac:dyDescent="0.25">
      <c r="A98" t="s">
        <v>108</v>
      </c>
      <c r="B98" t="s">
        <v>236</v>
      </c>
      <c r="C98" t="s">
        <v>279</v>
      </c>
      <c r="D98" t="s">
        <v>3</v>
      </c>
      <c r="E98">
        <v>26</v>
      </c>
      <c r="F98" t="str">
        <f t="shared" si="1"/>
        <v>Young</v>
      </c>
      <c r="G98" t="s">
        <v>280</v>
      </c>
      <c r="H98" s="3">
        <v>2998</v>
      </c>
      <c r="I98" t="s">
        <v>14</v>
      </c>
      <c r="J98">
        <v>1</v>
      </c>
    </row>
    <row r="99" spans="1:10" x14ac:dyDescent="0.25">
      <c r="A99" t="s">
        <v>30</v>
      </c>
      <c r="B99" t="s">
        <v>116</v>
      </c>
      <c r="C99" t="s">
        <v>281</v>
      </c>
      <c r="D99" t="s">
        <v>3</v>
      </c>
      <c r="E99">
        <v>40</v>
      </c>
      <c r="F99" t="str">
        <f t="shared" si="1"/>
        <v>Middle Age</v>
      </c>
      <c r="G99" t="s">
        <v>118</v>
      </c>
      <c r="H99" s="3">
        <v>1956</v>
      </c>
      <c r="I99" t="s">
        <v>14</v>
      </c>
      <c r="J99">
        <v>0</v>
      </c>
    </row>
    <row r="100" spans="1:10" x14ac:dyDescent="0.25">
      <c r="A100" t="s">
        <v>282</v>
      </c>
      <c r="B100" t="s">
        <v>19</v>
      </c>
      <c r="C100" t="s">
        <v>283</v>
      </c>
      <c r="D100" t="s">
        <v>8</v>
      </c>
      <c r="E100">
        <v>26</v>
      </c>
      <c r="F100" t="str">
        <f t="shared" si="1"/>
        <v>Young</v>
      </c>
      <c r="G100" t="s">
        <v>266</v>
      </c>
      <c r="H100" s="3">
        <v>5957</v>
      </c>
      <c r="I100" t="s">
        <v>14</v>
      </c>
      <c r="J100">
        <v>5</v>
      </c>
    </row>
    <row r="101" spans="1:10" x14ac:dyDescent="0.25">
      <c r="A101" t="s">
        <v>176</v>
      </c>
      <c r="B101" t="s">
        <v>284</v>
      </c>
      <c r="C101" t="s">
        <v>285</v>
      </c>
      <c r="D101" t="s">
        <v>3</v>
      </c>
      <c r="E101">
        <v>20</v>
      </c>
      <c r="F101" t="str">
        <f t="shared" si="1"/>
        <v>Young</v>
      </c>
      <c r="G101" t="s">
        <v>280</v>
      </c>
      <c r="H101" s="3">
        <v>1778</v>
      </c>
      <c r="I101" t="s">
        <v>14</v>
      </c>
      <c r="J101">
        <v>3</v>
      </c>
    </row>
    <row r="102" spans="1:10" x14ac:dyDescent="0.25">
      <c r="A102" t="s">
        <v>286</v>
      </c>
      <c r="B102" t="s">
        <v>136</v>
      </c>
      <c r="C102" t="s">
        <v>287</v>
      </c>
      <c r="D102" t="s">
        <v>8</v>
      </c>
      <c r="E102">
        <v>45</v>
      </c>
      <c r="F102" t="str">
        <f t="shared" si="1"/>
        <v>Middle Age</v>
      </c>
      <c r="G102" t="s">
        <v>234</v>
      </c>
      <c r="H102" s="3">
        <v>715</v>
      </c>
      <c r="I102" t="s">
        <v>14</v>
      </c>
      <c r="J102">
        <v>4</v>
      </c>
    </row>
    <row r="103" spans="1:10" x14ac:dyDescent="0.25">
      <c r="A103" t="s">
        <v>288</v>
      </c>
      <c r="B103" t="s">
        <v>201</v>
      </c>
      <c r="C103" t="s">
        <v>289</v>
      </c>
      <c r="D103" t="s">
        <v>8</v>
      </c>
      <c r="E103">
        <v>44</v>
      </c>
      <c r="F103" t="str">
        <f t="shared" si="1"/>
        <v>Middle Age</v>
      </c>
      <c r="G103" t="s">
        <v>290</v>
      </c>
      <c r="H103" s="3">
        <v>4311</v>
      </c>
      <c r="I103" t="s">
        <v>4</v>
      </c>
      <c r="J103">
        <v>5</v>
      </c>
    </row>
    <row r="104" spans="1:10" x14ac:dyDescent="0.25">
      <c r="A104" t="s">
        <v>291</v>
      </c>
      <c r="B104" t="s">
        <v>78</v>
      </c>
      <c r="C104" t="s">
        <v>292</v>
      </c>
      <c r="D104" t="s">
        <v>3</v>
      </c>
      <c r="E104">
        <v>38</v>
      </c>
      <c r="F104" t="str">
        <f t="shared" si="1"/>
        <v>Middle Age</v>
      </c>
      <c r="G104" t="s">
        <v>293</v>
      </c>
      <c r="H104" s="3">
        <v>3249</v>
      </c>
      <c r="I104" t="s">
        <v>14</v>
      </c>
      <c r="J104">
        <v>4</v>
      </c>
    </row>
    <row r="105" spans="1:10" x14ac:dyDescent="0.25">
      <c r="A105" t="s">
        <v>232</v>
      </c>
      <c r="B105" t="s">
        <v>294</v>
      </c>
      <c r="C105" t="s">
        <v>295</v>
      </c>
      <c r="D105" t="s">
        <v>8</v>
      </c>
      <c r="E105">
        <v>58</v>
      </c>
      <c r="F105" t="str">
        <f t="shared" si="1"/>
        <v>Old</v>
      </c>
      <c r="G105" t="s">
        <v>234</v>
      </c>
      <c r="H105" s="3">
        <v>6038</v>
      </c>
      <c r="I105" t="s">
        <v>4</v>
      </c>
      <c r="J105">
        <v>0</v>
      </c>
    </row>
    <row r="106" spans="1:10" x14ac:dyDescent="0.25">
      <c r="A106" t="s">
        <v>296</v>
      </c>
      <c r="B106" t="s">
        <v>126</v>
      </c>
      <c r="C106" t="s">
        <v>297</v>
      </c>
      <c r="D106" t="s">
        <v>8</v>
      </c>
      <c r="E106">
        <v>53</v>
      </c>
      <c r="F106" t="str">
        <f t="shared" si="1"/>
        <v>Old</v>
      </c>
      <c r="G106" t="s">
        <v>231</v>
      </c>
      <c r="H106" s="3">
        <v>5863</v>
      </c>
      <c r="I106" t="s">
        <v>4</v>
      </c>
      <c r="J106">
        <v>4</v>
      </c>
    </row>
    <row r="107" spans="1:10" x14ac:dyDescent="0.25">
      <c r="A107" t="s">
        <v>298</v>
      </c>
      <c r="B107" t="s">
        <v>220</v>
      </c>
      <c r="C107" t="s">
        <v>299</v>
      </c>
      <c r="D107" t="s">
        <v>3</v>
      </c>
      <c r="E107">
        <v>23</v>
      </c>
      <c r="F107" t="str">
        <f t="shared" si="1"/>
        <v>Young</v>
      </c>
      <c r="G107" t="s">
        <v>256</v>
      </c>
      <c r="H107" s="3">
        <v>3549</v>
      </c>
      <c r="I107" t="s">
        <v>14</v>
      </c>
      <c r="J107">
        <v>3</v>
      </c>
    </row>
    <row r="108" spans="1:10" x14ac:dyDescent="0.25">
      <c r="A108" t="s">
        <v>300</v>
      </c>
      <c r="B108" t="s">
        <v>301</v>
      </c>
      <c r="C108" t="s">
        <v>302</v>
      </c>
      <c r="D108" t="s">
        <v>3</v>
      </c>
      <c r="E108">
        <v>45</v>
      </c>
      <c r="F108" t="str">
        <f t="shared" si="1"/>
        <v>Middle Age</v>
      </c>
      <c r="G108" t="s">
        <v>303</v>
      </c>
      <c r="H108" s="3">
        <v>7436</v>
      </c>
      <c r="I108" t="s">
        <v>4</v>
      </c>
      <c r="J108">
        <v>1</v>
      </c>
    </row>
    <row r="109" spans="1:10" x14ac:dyDescent="0.25">
      <c r="A109" t="s">
        <v>304</v>
      </c>
      <c r="B109" t="s">
        <v>305</v>
      </c>
      <c r="C109" t="s">
        <v>306</v>
      </c>
      <c r="D109" t="s">
        <v>3</v>
      </c>
      <c r="E109">
        <v>42</v>
      </c>
      <c r="F109" t="str">
        <f t="shared" si="1"/>
        <v>Middle Age</v>
      </c>
      <c r="G109" t="s">
        <v>1364</v>
      </c>
      <c r="H109" s="3">
        <v>4038</v>
      </c>
      <c r="I109" t="s">
        <v>4</v>
      </c>
      <c r="J109">
        <v>0</v>
      </c>
    </row>
    <row r="110" spans="1:10" x14ac:dyDescent="0.25">
      <c r="A110" t="s">
        <v>307</v>
      </c>
      <c r="B110" t="s">
        <v>308</v>
      </c>
      <c r="C110" t="s">
        <v>309</v>
      </c>
      <c r="D110" t="s">
        <v>3</v>
      </c>
      <c r="E110">
        <v>24</v>
      </c>
      <c r="F110" t="str">
        <f t="shared" si="1"/>
        <v>Young</v>
      </c>
      <c r="G110" t="s">
        <v>59</v>
      </c>
      <c r="H110" s="3">
        <v>8266</v>
      </c>
      <c r="I110" t="s">
        <v>14</v>
      </c>
      <c r="J110">
        <v>1</v>
      </c>
    </row>
    <row r="111" spans="1:10" x14ac:dyDescent="0.25">
      <c r="A111" t="s">
        <v>310</v>
      </c>
      <c r="B111" t="s">
        <v>142</v>
      </c>
      <c r="C111" t="s">
        <v>311</v>
      </c>
      <c r="D111" t="s">
        <v>8</v>
      </c>
      <c r="E111">
        <v>26</v>
      </c>
      <c r="F111" t="str">
        <f t="shared" si="1"/>
        <v>Young</v>
      </c>
      <c r="G111" t="s">
        <v>131</v>
      </c>
      <c r="H111" s="3">
        <v>9770</v>
      </c>
      <c r="I111" t="s">
        <v>4</v>
      </c>
      <c r="J111">
        <v>0</v>
      </c>
    </row>
    <row r="112" spans="1:10" x14ac:dyDescent="0.25">
      <c r="A112" t="s">
        <v>312</v>
      </c>
      <c r="B112" t="s">
        <v>74</v>
      </c>
      <c r="C112" t="s">
        <v>313</v>
      </c>
      <c r="D112" t="s">
        <v>3</v>
      </c>
      <c r="E112">
        <v>29</v>
      </c>
      <c r="F112" t="str">
        <f t="shared" si="1"/>
        <v>Young</v>
      </c>
      <c r="G112" t="s">
        <v>128</v>
      </c>
      <c r="H112" s="3">
        <v>1811</v>
      </c>
      <c r="I112" t="s">
        <v>14</v>
      </c>
      <c r="J112">
        <v>1</v>
      </c>
    </row>
    <row r="113" spans="1:10" x14ac:dyDescent="0.25">
      <c r="A113" t="s">
        <v>314</v>
      </c>
      <c r="B113" t="s">
        <v>152</v>
      </c>
      <c r="C113" t="s">
        <v>315</v>
      </c>
      <c r="D113" t="s">
        <v>8</v>
      </c>
      <c r="E113">
        <v>54</v>
      </c>
      <c r="F113" t="str">
        <f t="shared" si="1"/>
        <v>Old</v>
      </c>
      <c r="G113" t="s">
        <v>9</v>
      </c>
      <c r="H113" s="3">
        <v>7090</v>
      </c>
      <c r="I113" t="s">
        <v>4</v>
      </c>
      <c r="J113">
        <v>1</v>
      </c>
    </row>
    <row r="114" spans="1:10" x14ac:dyDescent="0.25">
      <c r="A114" t="s">
        <v>316</v>
      </c>
      <c r="B114" t="s">
        <v>317</v>
      </c>
      <c r="C114" t="s">
        <v>318</v>
      </c>
      <c r="D114" t="s">
        <v>8</v>
      </c>
      <c r="E114">
        <v>60</v>
      </c>
      <c r="F114" t="str">
        <f t="shared" si="1"/>
        <v>Old</v>
      </c>
      <c r="G114" t="s">
        <v>114</v>
      </c>
      <c r="H114" s="3">
        <v>9504</v>
      </c>
      <c r="I114" t="s">
        <v>14</v>
      </c>
      <c r="J114">
        <v>2</v>
      </c>
    </row>
    <row r="115" spans="1:10" x14ac:dyDescent="0.25">
      <c r="A115" t="s">
        <v>319</v>
      </c>
      <c r="B115" t="s">
        <v>67</v>
      </c>
      <c r="C115" t="s">
        <v>320</v>
      </c>
      <c r="D115" t="s">
        <v>3</v>
      </c>
      <c r="E115">
        <v>41</v>
      </c>
      <c r="F115" t="str">
        <f t="shared" si="1"/>
        <v>Middle Age</v>
      </c>
      <c r="G115" t="s">
        <v>197</v>
      </c>
      <c r="H115" s="3">
        <v>4954</v>
      </c>
      <c r="I115" t="s">
        <v>4</v>
      </c>
      <c r="J115">
        <v>2</v>
      </c>
    </row>
    <row r="116" spans="1:10" x14ac:dyDescent="0.25">
      <c r="A116" t="s">
        <v>222</v>
      </c>
      <c r="B116" t="s">
        <v>251</v>
      </c>
      <c r="C116" t="s">
        <v>321</v>
      </c>
      <c r="D116" t="s">
        <v>3</v>
      </c>
      <c r="E116">
        <v>46</v>
      </c>
      <c r="F116" t="str">
        <f t="shared" si="1"/>
        <v>Middle Age</v>
      </c>
      <c r="G116" t="s">
        <v>234</v>
      </c>
      <c r="H116" s="3">
        <v>3940</v>
      </c>
      <c r="I116" t="s">
        <v>4</v>
      </c>
      <c r="J116">
        <v>5</v>
      </c>
    </row>
    <row r="117" spans="1:10" x14ac:dyDescent="0.25">
      <c r="A117" t="s">
        <v>60</v>
      </c>
      <c r="B117" t="s">
        <v>301</v>
      </c>
      <c r="C117" t="s">
        <v>322</v>
      </c>
      <c r="D117" t="s">
        <v>3</v>
      </c>
      <c r="E117">
        <v>25</v>
      </c>
      <c r="F117" t="str">
        <f t="shared" si="1"/>
        <v>Young</v>
      </c>
      <c r="G117" t="s">
        <v>36</v>
      </c>
      <c r="H117" s="3">
        <v>4713</v>
      </c>
      <c r="I117" t="s">
        <v>4</v>
      </c>
      <c r="J117">
        <v>2</v>
      </c>
    </row>
    <row r="118" spans="1:10" x14ac:dyDescent="0.25">
      <c r="A118" t="s">
        <v>323</v>
      </c>
      <c r="B118" t="s">
        <v>324</v>
      </c>
      <c r="C118" t="s">
        <v>325</v>
      </c>
      <c r="D118" t="s">
        <v>8</v>
      </c>
      <c r="E118">
        <v>26</v>
      </c>
      <c r="F118" t="str">
        <f t="shared" si="1"/>
        <v>Young</v>
      </c>
      <c r="G118" t="s">
        <v>128</v>
      </c>
      <c r="H118" s="3">
        <v>3597</v>
      </c>
      <c r="I118" t="s">
        <v>14</v>
      </c>
      <c r="J118">
        <v>3</v>
      </c>
    </row>
    <row r="119" spans="1:10" x14ac:dyDescent="0.25">
      <c r="A119" t="s">
        <v>304</v>
      </c>
      <c r="B119" t="s">
        <v>326</v>
      </c>
      <c r="C119" t="s">
        <v>327</v>
      </c>
      <c r="D119" t="s">
        <v>3</v>
      </c>
      <c r="E119">
        <v>20</v>
      </c>
      <c r="F119" t="str">
        <f t="shared" si="1"/>
        <v>Young</v>
      </c>
      <c r="G119" t="s">
        <v>76</v>
      </c>
      <c r="H119" s="3">
        <v>8131</v>
      </c>
      <c r="I119" t="s">
        <v>4</v>
      </c>
      <c r="J119">
        <v>5</v>
      </c>
    </row>
    <row r="120" spans="1:10" x14ac:dyDescent="0.25">
      <c r="A120" t="s">
        <v>328</v>
      </c>
      <c r="B120" t="s">
        <v>132</v>
      </c>
      <c r="C120" t="s">
        <v>329</v>
      </c>
      <c r="D120" t="s">
        <v>3</v>
      </c>
      <c r="E120">
        <v>35</v>
      </c>
      <c r="F120" t="str">
        <f t="shared" si="1"/>
        <v>Middle Age</v>
      </c>
      <c r="G120" t="s">
        <v>76</v>
      </c>
      <c r="H120" s="3">
        <v>4625</v>
      </c>
      <c r="I120" t="s">
        <v>4</v>
      </c>
      <c r="J120">
        <v>2</v>
      </c>
    </row>
    <row r="121" spans="1:10" x14ac:dyDescent="0.25">
      <c r="A121" t="s">
        <v>330</v>
      </c>
      <c r="B121" t="s">
        <v>201</v>
      </c>
      <c r="C121" t="s">
        <v>331</v>
      </c>
      <c r="D121" t="s">
        <v>8</v>
      </c>
      <c r="E121">
        <v>44</v>
      </c>
      <c r="F121" t="str">
        <f t="shared" si="1"/>
        <v>Middle Age</v>
      </c>
      <c r="G121" t="s">
        <v>225</v>
      </c>
      <c r="H121" s="3">
        <v>3221</v>
      </c>
      <c r="I121" t="s">
        <v>14</v>
      </c>
      <c r="J121">
        <v>0</v>
      </c>
    </row>
    <row r="122" spans="1:10" x14ac:dyDescent="0.25">
      <c r="A122" t="s">
        <v>183</v>
      </c>
      <c r="B122" t="s">
        <v>294</v>
      </c>
      <c r="C122" t="s">
        <v>332</v>
      </c>
      <c r="D122" t="s">
        <v>3</v>
      </c>
      <c r="E122">
        <v>48</v>
      </c>
      <c r="F122" t="str">
        <f t="shared" si="1"/>
        <v>Middle Age</v>
      </c>
      <c r="G122" t="s">
        <v>86</v>
      </c>
      <c r="H122" s="3">
        <v>4804</v>
      </c>
      <c r="I122" t="s">
        <v>14</v>
      </c>
      <c r="J122">
        <v>2</v>
      </c>
    </row>
    <row r="123" spans="1:10" x14ac:dyDescent="0.25">
      <c r="A123" t="s">
        <v>333</v>
      </c>
      <c r="B123" t="s">
        <v>334</v>
      </c>
      <c r="C123" t="s">
        <v>335</v>
      </c>
      <c r="D123" t="s">
        <v>3</v>
      </c>
      <c r="E123">
        <v>52</v>
      </c>
      <c r="F123" t="str">
        <f t="shared" si="1"/>
        <v>Old</v>
      </c>
      <c r="G123" t="s">
        <v>160</v>
      </c>
      <c r="H123" s="3">
        <v>547</v>
      </c>
      <c r="I123" t="s">
        <v>14</v>
      </c>
      <c r="J123">
        <v>1</v>
      </c>
    </row>
    <row r="124" spans="1:10" x14ac:dyDescent="0.25">
      <c r="A124" t="s">
        <v>336</v>
      </c>
      <c r="B124" t="s">
        <v>337</v>
      </c>
      <c r="C124" t="s">
        <v>338</v>
      </c>
      <c r="D124" t="s">
        <v>8</v>
      </c>
      <c r="E124">
        <v>34</v>
      </c>
      <c r="F124" t="str">
        <f t="shared" si="1"/>
        <v>Middle Age</v>
      </c>
      <c r="G124" t="s">
        <v>43</v>
      </c>
      <c r="H124" s="3">
        <v>1557</v>
      </c>
      <c r="I124" t="s">
        <v>14</v>
      </c>
      <c r="J124">
        <v>5</v>
      </c>
    </row>
    <row r="125" spans="1:10" x14ac:dyDescent="0.25">
      <c r="A125" t="s">
        <v>339</v>
      </c>
      <c r="B125" t="s">
        <v>340</v>
      </c>
      <c r="C125" t="s">
        <v>341</v>
      </c>
      <c r="D125" t="s">
        <v>8</v>
      </c>
      <c r="E125">
        <v>27</v>
      </c>
      <c r="F125" t="str">
        <f t="shared" si="1"/>
        <v>Young</v>
      </c>
      <c r="G125" t="s">
        <v>172</v>
      </c>
      <c r="H125" s="3">
        <v>2083</v>
      </c>
      <c r="I125" t="s">
        <v>14</v>
      </c>
      <c r="J125">
        <v>0</v>
      </c>
    </row>
    <row r="126" spans="1:10" x14ac:dyDescent="0.25">
      <c r="A126" t="s">
        <v>342</v>
      </c>
      <c r="B126" t="s">
        <v>264</v>
      </c>
      <c r="C126" t="s">
        <v>343</v>
      </c>
      <c r="D126" t="s">
        <v>3</v>
      </c>
      <c r="E126">
        <v>60</v>
      </c>
      <c r="F126" t="str">
        <f t="shared" si="1"/>
        <v>Old</v>
      </c>
      <c r="G126" t="s">
        <v>280</v>
      </c>
      <c r="H126" s="3">
        <v>6130</v>
      </c>
      <c r="I126" t="s">
        <v>14</v>
      </c>
      <c r="J126">
        <v>4</v>
      </c>
    </row>
    <row r="127" spans="1:10" x14ac:dyDescent="0.25">
      <c r="A127" t="s">
        <v>52</v>
      </c>
      <c r="B127" t="s">
        <v>61</v>
      </c>
      <c r="C127" t="s">
        <v>344</v>
      </c>
      <c r="D127" t="s">
        <v>8</v>
      </c>
      <c r="E127">
        <v>43</v>
      </c>
      <c r="F127" t="str">
        <f t="shared" si="1"/>
        <v>Middle Age</v>
      </c>
      <c r="G127" t="s">
        <v>165</v>
      </c>
      <c r="H127" s="3">
        <v>2046</v>
      </c>
      <c r="I127" t="s">
        <v>4</v>
      </c>
      <c r="J127">
        <v>4</v>
      </c>
    </row>
    <row r="128" spans="1:10" x14ac:dyDescent="0.25">
      <c r="A128" t="s">
        <v>44</v>
      </c>
      <c r="B128" t="s">
        <v>308</v>
      </c>
      <c r="C128" t="s">
        <v>345</v>
      </c>
      <c r="D128" t="s">
        <v>8</v>
      </c>
      <c r="E128">
        <v>39</v>
      </c>
      <c r="F128" t="str">
        <f t="shared" si="1"/>
        <v>Middle Age</v>
      </c>
      <c r="G128" t="s">
        <v>303</v>
      </c>
      <c r="H128" s="3">
        <v>4236</v>
      </c>
      <c r="I128" t="s">
        <v>14</v>
      </c>
      <c r="J128">
        <v>4</v>
      </c>
    </row>
    <row r="129" spans="1:10" x14ac:dyDescent="0.25">
      <c r="A129" t="s">
        <v>346</v>
      </c>
      <c r="B129" t="s">
        <v>116</v>
      </c>
      <c r="C129" t="s">
        <v>347</v>
      </c>
      <c r="D129" t="s">
        <v>3</v>
      </c>
      <c r="E129">
        <v>39</v>
      </c>
      <c r="F129" t="str">
        <f t="shared" si="1"/>
        <v>Middle Age</v>
      </c>
      <c r="G129" t="s">
        <v>290</v>
      </c>
      <c r="H129" s="3">
        <v>2670</v>
      </c>
      <c r="I129" t="s">
        <v>14</v>
      </c>
      <c r="J129">
        <v>0</v>
      </c>
    </row>
    <row r="130" spans="1:10" x14ac:dyDescent="0.25">
      <c r="A130" t="s">
        <v>348</v>
      </c>
      <c r="B130" t="s">
        <v>101</v>
      </c>
      <c r="C130" t="s">
        <v>349</v>
      </c>
      <c r="D130" t="s">
        <v>3</v>
      </c>
      <c r="E130">
        <v>33</v>
      </c>
      <c r="F130" t="str">
        <f t="shared" si="1"/>
        <v>Middle Age</v>
      </c>
      <c r="G130" t="s">
        <v>51</v>
      </c>
      <c r="H130" s="3">
        <v>4995</v>
      </c>
      <c r="I130" t="s">
        <v>14</v>
      </c>
      <c r="J130">
        <v>0</v>
      </c>
    </row>
    <row r="131" spans="1:10" x14ac:dyDescent="0.25">
      <c r="A131" t="s">
        <v>350</v>
      </c>
      <c r="B131" t="s">
        <v>351</v>
      </c>
      <c r="C131" t="s">
        <v>352</v>
      </c>
      <c r="D131" t="s">
        <v>8</v>
      </c>
      <c r="E131">
        <v>50</v>
      </c>
      <c r="F131" t="str">
        <f t="shared" ref="F131:F194" si="2">IF(E131&gt;50,"Old",IF(E131&gt;=31,"Middle Age",IF(E131&lt;31,"Young","Invalid")))</f>
        <v>Middle Age</v>
      </c>
      <c r="G131" t="s">
        <v>76</v>
      </c>
      <c r="H131" s="3">
        <v>1299</v>
      </c>
      <c r="I131" t="s">
        <v>14</v>
      </c>
      <c r="J131">
        <v>0</v>
      </c>
    </row>
    <row r="132" spans="1:10" x14ac:dyDescent="0.25">
      <c r="A132" t="s">
        <v>235</v>
      </c>
      <c r="B132" t="s">
        <v>174</v>
      </c>
      <c r="C132" t="s">
        <v>353</v>
      </c>
      <c r="D132" t="s">
        <v>8</v>
      </c>
      <c r="E132">
        <v>52</v>
      </c>
      <c r="F132" t="str">
        <f t="shared" si="2"/>
        <v>Old</v>
      </c>
      <c r="G132" t="s">
        <v>124</v>
      </c>
      <c r="H132" s="3">
        <v>9132</v>
      </c>
      <c r="I132" t="s">
        <v>4</v>
      </c>
      <c r="J132">
        <v>3</v>
      </c>
    </row>
    <row r="133" spans="1:10" x14ac:dyDescent="0.25">
      <c r="A133" t="s">
        <v>354</v>
      </c>
      <c r="B133" t="s">
        <v>34</v>
      </c>
      <c r="C133" t="s">
        <v>355</v>
      </c>
      <c r="D133" t="s">
        <v>8</v>
      </c>
      <c r="E133">
        <v>21</v>
      </c>
      <c r="F133" t="str">
        <f t="shared" si="2"/>
        <v>Young</v>
      </c>
      <c r="G133" t="s">
        <v>13</v>
      </c>
      <c r="H133" s="3">
        <v>2194</v>
      </c>
      <c r="I133" t="s">
        <v>4</v>
      </c>
      <c r="J133">
        <v>4</v>
      </c>
    </row>
    <row r="134" spans="1:10" x14ac:dyDescent="0.25">
      <c r="A134" t="s">
        <v>356</v>
      </c>
      <c r="B134" t="s">
        <v>67</v>
      </c>
      <c r="C134" t="s">
        <v>357</v>
      </c>
      <c r="D134" t="s">
        <v>8</v>
      </c>
      <c r="E134">
        <v>53</v>
      </c>
      <c r="F134" t="str">
        <f t="shared" si="2"/>
        <v>Old</v>
      </c>
      <c r="G134" t="s">
        <v>234</v>
      </c>
      <c r="H134" s="3">
        <v>8680</v>
      </c>
      <c r="I134" t="s">
        <v>4</v>
      </c>
      <c r="J134">
        <v>0</v>
      </c>
    </row>
    <row r="135" spans="1:10" x14ac:dyDescent="0.25">
      <c r="A135" t="s">
        <v>155</v>
      </c>
      <c r="B135" t="s">
        <v>358</v>
      </c>
      <c r="C135" t="s">
        <v>359</v>
      </c>
      <c r="D135" t="s">
        <v>3</v>
      </c>
      <c r="E135">
        <v>21</v>
      </c>
      <c r="F135" t="str">
        <f t="shared" si="2"/>
        <v>Young</v>
      </c>
      <c r="G135" t="s">
        <v>131</v>
      </c>
      <c r="H135" s="3">
        <v>7380</v>
      </c>
      <c r="I135" t="s">
        <v>4</v>
      </c>
      <c r="J135">
        <v>3</v>
      </c>
    </row>
    <row r="136" spans="1:10" x14ac:dyDescent="0.25">
      <c r="A136" t="s">
        <v>360</v>
      </c>
      <c r="B136" t="s">
        <v>361</v>
      </c>
      <c r="C136" t="s">
        <v>362</v>
      </c>
      <c r="D136" t="s">
        <v>3</v>
      </c>
      <c r="E136">
        <v>56</v>
      </c>
      <c r="F136" t="str">
        <f t="shared" si="2"/>
        <v>Old</v>
      </c>
      <c r="G136" t="s">
        <v>172</v>
      </c>
      <c r="H136" s="3">
        <v>5282</v>
      </c>
      <c r="I136" t="s">
        <v>4</v>
      </c>
      <c r="J136">
        <v>4</v>
      </c>
    </row>
    <row r="137" spans="1:10" x14ac:dyDescent="0.25">
      <c r="A137" t="s">
        <v>212</v>
      </c>
      <c r="B137" t="s">
        <v>167</v>
      </c>
      <c r="C137" t="s">
        <v>363</v>
      </c>
      <c r="D137" t="s">
        <v>8</v>
      </c>
      <c r="E137">
        <v>36</v>
      </c>
      <c r="F137" t="str">
        <f t="shared" si="2"/>
        <v>Middle Age</v>
      </c>
      <c r="G137" t="s">
        <v>150</v>
      </c>
      <c r="H137" s="3">
        <v>4838</v>
      </c>
      <c r="I137" t="s">
        <v>14</v>
      </c>
      <c r="J137">
        <v>4</v>
      </c>
    </row>
    <row r="138" spans="1:10" x14ac:dyDescent="0.25">
      <c r="A138" t="s">
        <v>70</v>
      </c>
      <c r="B138" t="s">
        <v>27</v>
      </c>
      <c r="C138" t="s">
        <v>364</v>
      </c>
      <c r="D138" t="s">
        <v>3</v>
      </c>
      <c r="E138">
        <v>21</v>
      </c>
      <c r="F138" t="str">
        <f t="shared" si="2"/>
        <v>Young</v>
      </c>
      <c r="G138" t="s">
        <v>187</v>
      </c>
      <c r="H138" s="3">
        <v>1717</v>
      </c>
      <c r="I138" t="s">
        <v>4</v>
      </c>
      <c r="J138">
        <v>3</v>
      </c>
    </row>
    <row r="139" spans="1:10" x14ac:dyDescent="0.25">
      <c r="A139" t="s">
        <v>151</v>
      </c>
      <c r="B139" t="s">
        <v>351</v>
      </c>
      <c r="C139" t="s">
        <v>365</v>
      </c>
      <c r="D139" t="s">
        <v>8</v>
      </c>
      <c r="E139">
        <v>55</v>
      </c>
      <c r="F139" t="str">
        <f t="shared" si="2"/>
        <v>Old</v>
      </c>
      <c r="G139" t="s">
        <v>59</v>
      </c>
      <c r="H139" s="3">
        <v>7540</v>
      </c>
      <c r="I139" t="s">
        <v>14</v>
      </c>
      <c r="J139">
        <v>4</v>
      </c>
    </row>
    <row r="140" spans="1:10" x14ac:dyDescent="0.25">
      <c r="A140" t="s">
        <v>129</v>
      </c>
      <c r="B140" t="s">
        <v>366</v>
      </c>
      <c r="C140" t="s">
        <v>367</v>
      </c>
      <c r="D140" t="s">
        <v>3</v>
      </c>
      <c r="E140">
        <v>57</v>
      </c>
      <c r="F140" t="str">
        <f t="shared" si="2"/>
        <v>Old</v>
      </c>
      <c r="G140" t="s">
        <v>51</v>
      </c>
      <c r="H140" s="3">
        <v>2404</v>
      </c>
      <c r="I140" t="s">
        <v>4</v>
      </c>
      <c r="J140">
        <v>2</v>
      </c>
    </row>
    <row r="141" spans="1:10" x14ac:dyDescent="0.25">
      <c r="A141" t="s">
        <v>129</v>
      </c>
      <c r="B141" t="s">
        <v>368</v>
      </c>
      <c r="C141" t="s">
        <v>369</v>
      </c>
      <c r="D141" t="s">
        <v>3</v>
      </c>
      <c r="E141">
        <v>27</v>
      </c>
      <c r="F141" t="str">
        <f t="shared" si="2"/>
        <v>Young</v>
      </c>
      <c r="G141" t="s">
        <v>21</v>
      </c>
      <c r="H141" s="3">
        <v>7380</v>
      </c>
      <c r="I141" t="s">
        <v>4</v>
      </c>
      <c r="J141">
        <v>1</v>
      </c>
    </row>
    <row r="142" spans="1:10" x14ac:dyDescent="0.25">
      <c r="A142" t="s">
        <v>370</v>
      </c>
      <c r="B142" t="s">
        <v>371</v>
      </c>
      <c r="C142" t="s">
        <v>372</v>
      </c>
      <c r="D142" t="s">
        <v>8</v>
      </c>
      <c r="E142">
        <v>40</v>
      </c>
      <c r="F142" t="str">
        <f t="shared" si="2"/>
        <v>Middle Age</v>
      </c>
      <c r="G142" t="s">
        <v>373</v>
      </c>
      <c r="H142" s="3">
        <v>6730</v>
      </c>
      <c r="I142" t="s">
        <v>14</v>
      </c>
      <c r="J142">
        <v>5</v>
      </c>
    </row>
    <row r="143" spans="1:10" x14ac:dyDescent="0.25">
      <c r="A143" t="s">
        <v>374</v>
      </c>
      <c r="B143" t="s">
        <v>375</v>
      </c>
      <c r="C143" t="s">
        <v>376</v>
      </c>
      <c r="D143" t="s">
        <v>8</v>
      </c>
      <c r="E143">
        <v>19</v>
      </c>
      <c r="F143" t="str">
        <f t="shared" si="2"/>
        <v>Young</v>
      </c>
      <c r="G143" t="s">
        <v>248</v>
      </c>
      <c r="H143" s="3">
        <v>8296</v>
      </c>
      <c r="I143" t="s">
        <v>14</v>
      </c>
      <c r="J143">
        <v>0</v>
      </c>
    </row>
    <row r="144" spans="1:10" x14ac:dyDescent="0.25">
      <c r="A144" t="s">
        <v>176</v>
      </c>
      <c r="B144" t="s">
        <v>23</v>
      </c>
      <c r="C144" t="s">
        <v>377</v>
      </c>
      <c r="D144" t="s">
        <v>3</v>
      </c>
      <c r="E144">
        <v>51</v>
      </c>
      <c r="F144" t="str">
        <f t="shared" si="2"/>
        <v>Old</v>
      </c>
      <c r="G144" t="s">
        <v>124</v>
      </c>
      <c r="H144" s="3">
        <v>5967</v>
      </c>
      <c r="I144" t="s">
        <v>4</v>
      </c>
      <c r="J144">
        <v>3</v>
      </c>
    </row>
    <row r="145" spans="1:10" x14ac:dyDescent="0.25">
      <c r="A145" t="s">
        <v>138</v>
      </c>
      <c r="B145" t="s">
        <v>158</v>
      </c>
      <c r="C145" t="s">
        <v>378</v>
      </c>
      <c r="D145" t="s">
        <v>3</v>
      </c>
      <c r="E145">
        <v>60</v>
      </c>
      <c r="F145" t="str">
        <f t="shared" si="2"/>
        <v>Old</v>
      </c>
      <c r="G145" t="s">
        <v>107</v>
      </c>
      <c r="H145" s="3">
        <v>554</v>
      </c>
      <c r="I145" t="s">
        <v>4</v>
      </c>
      <c r="J145">
        <v>0</v>
      </c>
    </row>
    <row r="146" spans="1:10" x14ac:dyDescent="0.25">
      <c r="A146" t="s">
        <v>379</v>
      </c>
      <c r="B146" t="s">
        <v>264</v>
      </c>
      <c r="C146" t="s">
        <v>380</v>
      </c>
      <c r="D146" t="s">
        <v>8</v>
      </c>
      <c r="E146">
        <v>44</v>
      </c>
      <c r="F146" t="str">
        <f t="shared" si="2"/>
        <v>Middle Age</v>
      </c>
      <c r="G146" t="s">
        <v>225</v>
      </c>
      <c r="H146" s="3">
        <v>5117</v>
      </c>
      <c r="I146" t="s">
        <v>4</v>
      </c>
      <c r="J146">
        <v>0</v>
      </c>
    </row>
    <row r="147" spans="1:10" x14ac:dyDescent="0.25">
      <c r="A147" t="s">
        <v>30</v>
      </c>
      <c r="B147" t="s">
        <v>148</v>
      </c>
      <c r="C147" t="s">
        <v>381</v>
      </c>
      <c r="D147" t="s">
        <v>3</v>
      </c>
      <c r="E147">
        <v>44</v>
      </c>
      <c r="F147" t="str">
        <f t="shared" si="2"/>
        <v>Middle Age</v>
      </c>
      <c r="G147" t="s">
        <v>382</v>
      </c>
      <c r="H147" s="3">
        <v>6423</v>
      </c>
      <c r="I147" t="s">
        <v>4</v>
      </c>
      <c r="J147">
        <v>4</v>
      </c>
    </row>
    <row r="148" spans="1:10" x14ac:dyDescent="0.25">
      <c r="A148" t="s">
        <v>383</v>
      </c>
      <c r="B148" t="s">
        <v>337</v>
      </c>
      <c r="C148" t="s">
        <v>384</v>
      </c>
      <c r="D148" t="s">
        <v>3</v>
      </c>
      <c r="E148">
        <v>30</v>
      </c>
      <c r="F148" t="str">
        <f t="shared" si="2"/>
        <v>Young</v>
      </c>
      <c r="G148" t="s">
        <v>382</v>
      </c>
      <c r="H148" s="3">
        <v>9166</v>
      </c>
      <c r="I148" t="s">
        <v>14</v>
      </c>
      <c r="J148">
        <v>2</v>
      </c>
    </row>
    <row r="149" spans="1:10" x14ac:dyDescent="0.25">
      <c r="A149" t="s">
        <v>385</v>
      </c>
      <c r="B149" t="s">
        <v>284</v>
      </c>
      <c r="C149" t="s">
        <v>386</v>
      </c>
      <c r="D149" t="s">
        <v>3</v>
      </c>
      <c r="E149">
        <v>27</v>
      </c>
      <c r="F149" t="str">
        <f t="shared" si="2"/>
        <v>Young</v>
      </c>
      <c r="G149" t="s">
        <v>1364</v>
      </c>
      <c r="H149" s="3">
        <v>9001</v>
      </c>
      <c r="I149" t="s">
        <v>14</v>
      </c>
      <c r="J149">
        <v>0</v>
      </c>
    </row>
    <row r="150" spans="1:10" x14ac:dyDescent="0.25">
      <c r="A150" t="s">
        <v>307</v>
      </c>
      <c r="B150" t="s">
        <v>201</v>
      </c>
      <c r="C150" t="s">
        <v>387</v>
      </c>
      <c r="D150" t="s">
        <v>3</v>
      </c>
      <c r="E150">
        <v>59</v>
      </c>
      <c r="F150" t="str">
        <f t="shared" si="2"/>
        <v>Old</v>
      </c>
      <c r="G150" t="s">
        <v>270</v>
      </c>
      <c r="H150" s="3">
        <v>6855</v>
      </c>
      <c r="I150" t="s">
        <v>4</v>
      </c>
      <c r="J150">
        <v>5</v>
      </c>
    </row>
    <row r="151" spans="1:10" x14ac:dyDescent="0.25">
      <c r="A151" t="s">
        <v>336</v>
      </c>
      <c r="B151" t="s">
        <v>88</v>
      </c>
      <c r="C151" t="s">
        <v>388</v>
      </c>
      <c r="D151" t="s">
        <v>8</v>
      </c>
      <c r="E151">
        <v>60</v>
      </c>
      <c r="F151" t="str">
        <f t="shared" si="2"/>
        <v>Old</v>
      </c>
      <c r="G151" t="s">
        <v>118</v>
      </c>
      <c r="H151" s="3">
        <v>1072</v>
      </c>
      <c r="I151" t="s">
        <v>14</v>
      </c>
      <c r="J151">
        <v>1</v>
      </c>
    </row>
    <row r="152" spans="1:10" x14ac:dyDescent="0.25">
      <c r="A152" t="s">
        <v>257</v>
      </c>
      <c r="B152" t="s">
        <v>16</v>
      </c>
      <c r="C152" t="s">
        <v>389</v>
      </c>
      <c r="D152" t="s">
        <v>3</v>
      </c>
      <c r="E152">
        <v>43</v>
      </c>
      <c r="F152" t="str">
        <f t="shared" si="2"/>
        <v>Middle Age</v>
      </c>
      <c r="G152" t="s">
        <v>169</v>
      </c>
      <c r="H152" s="3">
        <v>7363</v>
      </c>
      <c r="I152" t="s">
        <v>4</v>
      </c>
      <c r="J152">
        <v>1</v>
      </c>
    </row>
    <row r="153" spans="1:10" x14ac:dyDescent="0.25">
      <c r="A153" t="s">
        <v>390</v>
      </c>
      <c r="B153" t="s">
        <v>67</v>
      </c>
      <c r="C153" t="s">
        <v>391</v>
      </c>
      <c r="D153" t="s">
        <v>8</v>
      </c>
      <c r="E153">
        <v>46</v>
      </c>
      <c r="F153" t="str">
        <f t="shared" si="2"/>
        <v>Middle Age</v>
      </c>
      <c r="G153" t="s">
        <v>194</v>
      </c>
      <c r="H153" s="3">
        <v>3715</v>
      </c>
      <c r="I153" t="s">
        <v>4</v>
      </c>
      <c r="J153">
        <v>5</v>
      </c>
    </row>
    <row r="154" spans="1:10" x14ac:dyDescent="0.25">
      <c r="A154" t="s">
        <v>154</v>
      </c>
      <c r="B154" t="s">
        <v>392</v>
      </c>
      <c r="C154" t="s">
        <v>393</v>
      </c>
      <c r="D154" t="s">
        <v>8</v>
      </c>
      <c r="E154">
        <v>47</v>
      </c>
      <c r="F154" t="str">
        <f t="shared" si="2"/>
        <v>Middle Age</v>
      </c>
      <c r="G154" t="s">
        <v>293</v>
      </c>
      <c r="H154" s="3">
        <v>10000</v>
      </c>
      <c r="I154" t="s">
        <v>4</v>
      </c>
      <c r="J154">
        <v>2</v>
      </c>
    </row>
    <row r="155" spans="1:10" x14ac:dyDescent="0.25">
      <c r="A155" t="s">
        <v>314</v>
      </c>
      <c r="B155" t="s">
        <v>326</v>
      </c>
      <c r="C155" t="s">
        <v>394</v>
      </c>
      <c r="D155" t="s">
        <v>8</v>
      </c>
      <c r="E155">
        <v>21</v>
      </c>
      <c r="F155" t="str">
        <f t="shared" si="2"/>
        <v>Young</v>
      </c>
      <c r="G155" t="s">
        <v>194</v>
      </c>
      <c r="H155" s="3">
        <v>9640</v>
      </c>
      <c r="I155" t="s">
        <v>4</v>
      </c>
      <c r="J155">
        <v>1</v>
      </c>
    </row>
    <row r="156" spans="1:10" x14ac:dyDescent="0.25">
      <c r="A156" t="s">
        <v>395</v>
      </c>
      <c r="B156" t="s">
        <v>317</v>
      </c>
      <c r="C156" t="s">
        <v>396</v>
      </c>
      <c r="D156" t="s">
        <v>8</v>
      </c>
      <c r="E156">
        <v>46</v>
      </c>
      <c r="F156" t="str">
        <f t="shared" si="2"/>
        <v>Middle Age</v>
      </c>
      <c r="G156" t="s">
        <v>234</v>
      </c>
      <c r="H156" s="3">
        <v>5535</v>
      </c>
      <c r="I156" t="s">
        <v>4</v>
      </c>
      <c r="J156">
        <v>4</v>
      </c>
    </row>
    <row r="157" spans="1:10" x14ac:dyDescent="0.25">
      <c r="A157" t="s">
        <v>397</v>
      </c>
      <c r="B157" t="s">
        <v>112</v>
      </c>
      <c r="C157" t="s">
        <v>398</v>
      </c>
      <c r="D157" t="s">
        <v>3</v>
      </c>
      <c r="E157">
        <v>53</v>
      </c>
      <c r="F157" t="str">
        <f t="shared" si="2"/>
        <v>Old</v>
      </c>
      <c r="G157" t="s">
        <v>150</v>
      </c>
      <c r="H157" s="3">
        <v>521</v>
      </c>
      <c r="I157" t="s">
        <v>14</v>
      </c>
      <c r="J157">
        <v>4</v>
      </c>
    </row>
    <row r="158" spans="1:10" x14ac:dyDescent="0.25">
      <c r="A158" t="s">
        <v>125</v>
      </c>
      <c r="B158" t="s">
        <v>308</v>
      </c>
      <c r="C158" t="s">
        <v>399</v>
      </c>
      <c r="D158" t="s">
        <v>8</v>
      </c>
      <c r="E158">
        <v>36</v>
      </c>
      <c r="F158" t="str">
        <f t="shared" si="2"/>
        <v>Middle Age</v>
      </c>
      <c r="G158" t="s">
        <v>76</v>
      </c>
      <c r="H158" s="3">
        <v>5845</v>
      </c>
      <c r="I158" t="s">
        <v>14</v>
      </c>
      <c r="J158">
        <v>2</v>
      </c>
    </row>
    <row r="159" spans="1:10" x14ac:dyDescent="0.25">
      <c r="A159" t="s">
        <v>400</v>
      </c>
      <c r="B159" t="s">
        <v>177</v>
      </c>
      <c r="C159" t="s">
        <v>401</v>
      </c>
      <c r="D159" t="s">
        <v>3</v>
      </c>
      <c r="E159">
        <v>60</v>
      </c>
      <c r="F159" t="str">
        <f t="shared" si="2"/>
        <v>Old</v>
      </c>
      <c r="G159" t="s">
        <v>29</v>
      </c>
      <c r="H159" s="3">
        <v>3670</v>
      </c>
      <c r="I159" t="s">
        <v>14</v>
      </c>
      <c r="J159">
        <v>0</v>
      </c>
    </row>
    <row r="160" spans="1:10" x14ac:dyDescent="0.25">
      <c r="A160" t="s">
        <v>339</v>
      </c>
      <c r="B160" t="s">
        <v>215</v>
      </c>
      <c r="C160" t="s">
        <v>402</v>
      </c>
      <c r="D160" t="s">
        <v>8</v>
      </c>
      <c r="E160">
        <v>56</v>
      </c>
      <c r="F160" t="str">
        <f t="shared" si="2"/>
        <v>Old</v>
      </c>
      <c r="G160" t="s">
        <v>256</v>
      </c>
      <c r="H160" s="3">
        <v>8512</v>
      </c>
      <c r="I160" t="s">
        <v>4</v>
      </c>
      <c r="J160">
        <v>0</v>
      </c>
    </row>
    <row r="161" spans="1:10" x14ac:dyDescent="0.25">
      <c r="A161" t="s">
        <v>403</v>
      </c>
      <c r="B161" t="s">
        <v>101</v>
      </c>
      <c r="C161" t="s">
        <v>404</v>
      </c>
      <c r="D161" t="s">
        <v>8</v>
      </c>
      <c r="E161">
        <v>48</v>
      </c>
      <c r="F161" t="str">
        <f t="shared" si="2"/>
        <v>Middle Age</v>
      </c>
      <c r="G161" t="s">
        <v>76</v>
      </c>
      <c r="H161" s="3">
        <v>5787</v>
      </c>
      <c r="I161" t="s">
        <v>4</v>
      </c>
      <c r="J161">
        <v>5</v>
      </c>
    </row>
    <row r="162" spans="1:10" x14ac:dyDescent="0.25">
      <c r="A162" t="s">
        <v>257</v>
      </c>
      <c r="B162" t="s">
        <v>162</v>
      </c>
      <c r="C162" t="s">
        <v>405</v>
      </c>
      <c r="D162" t="s">
        <v>3</v>
      </c>
      <c r="E162">
        <v>38</v>
      </c>
      <c r="F162" t="str">
        <f t="shared" si="2"/>
        <v>Middle Age</v>
      </c>
      <c r="G162" t="s">
        <v>256</v>
      </c>
      <c r="H162" s="3">
        <v>8616</v>
      </c>
      <c r="I162" t="s">
        <v>14</v>
      </c>
      <c r="J162">
        <v>4</v>
      </c>
    </row>
    <row r="163" spans="1:10" x14ac:dyDescent="0.25">
      <c r="A163" t="s">
        <v>263</v>
      </c>
      <c r="B163" t="s">
        <v>112</v>
      </c>
      <c r="C163" t="s">
        <v>406</v>
      </c>
      <c r="D163" t="s">
        <v>3</v>
      </c>
      <c r="E163">
        <v>45</v>
      </c>
      <c r="F163" t="str">
        <f t="shared" si="2"/>
        <v>Middle Age</v>
      </c>
      <c r="G163" t="s">
        <v>80</v>
      </c>
      <c r="H163" s="3">
        <v>9868</v>
      </c>
      <c r="I163" t="s">
        <v>14</v>
      </c>
      <c r="J163">
        <v>5</v>
      </c>
    </row>
    <row r="164" spans="1:10" x14ac:dyDescent="0.25">
      <c r="A164" t="s">
        <v>190</v>
      </c>
      <c r="B164" t="s">
        <v>215</v>
      </c>
      <c r="C164" t="s">
        <v>407</v>
      </c>
      <c r="D164" t="s">
        <v>8</v>
      </c>
      <c r="E164">
        <v>55</v>
      </c>
      <c r="F164" t="str">
        <f t="shared" si="2"/>
        <v>Old</v>
      </c>
      <c r="G164" t="s">
        <v>256</v>
      </c>
      <c r="H164" s="3">
        <v>3130</v>
      </c>
      <c r="I164" t="s">
        <v>14</v>
      </c>
      <c r="J164">
        <v>1</v>
      </c>
    </row>
    <row r="165" spans="1:10" x14ac:dyDescent="0.25">
      <c r="A165" t="s">
        <v>408</v>
      </c>
      <c r="B165" t="s">
        <v>409</v>
      </c>
      <c r="C165" t="s">
        <v>410</v>
      </c>
      <c r="D165" t="s">
        <v>3</v>
      </c>
      <c r="E165">
        <v>19</v>
      </c>
      <c r="F165" t="str">
        <f t="shared" si="2"/>
        <v>Young</v>
      </c>
      <c r="G165" t="s">
        <v>211</v>
      </c>
      <c r="H165" s="3">
        <v>9366</v>
      </c>
      <c r="I165" t="s">
        <v>14</v>
      </c>
      <c r="J165">
        <v>4</v>
      </c>
    </row>
    <row r="166" spans="1:10" x14ac:dyDescent="0.25">
      <c r="A166" t="s">
        <v>135</v>
      </c>
      <c r="B166" t="s">
        <v>16</v>
      </c>
      <c r="C166" t="s">
        <v>411</v>
      </c>
      <c r="D166" t="s">
        <v>3</v>
      </c>
      <c r="E166">
        <v>56</v>
      </c>
      <c r="F166" t="str">
        <f t="shared" si="2"/>
        <v>Old</v>
      </c>
      <c r="G166" t="s">
        <v>86</v>
      </c>
      <c r="H166" s="3">
        <v>8309</v>
      </c>
      <c r="I166" t="s">
        <v>14</v>
      </c>
      <c r="J166">
        <v>1</v>
      </c>
    </row>
    <row r="167" spans="1:10" x14ac:dyDescent="0.25">
      <c r="A167" t="s">
        <v>291</v>
      </c>
      <c r="B167" t="s">
        <v>101</v>
      </c>
      <c r="C167" t="s">
        <v>412</v>
      </c>
      <c r="D167" t="s">
        <v>3</v>
      </c>
      <c r="E167">
        <v>50</v>
      </c>
      <c r="F167" t="str">
        <f t="shared" si="2"/>
        <v>Middle Age</v>
      </c>
      <c r="G167" t="s">
        <v>150</v>
      </c>
      <c r="H167" s="3">
        <v>1307</v>
      </c>
      <c r="I167" t="s">
        <v>4</v>
      </c>
      <c r="J167">
        <v>4</v>
      </c>
    </row>
    <row r="168" spans="1:10" x14ac:dyDescent="0.25">
      <c r="A168" t="s">
        <v>385</v>
      </c>
      <c r="B168" t="s">
        <v>71</v>
      </c>
      <c r="C168" t="s">
        <v>413</v>
      </c>
      <c r="D168" t="s">
        <v>3</v>
      </c>
      <c r="E168">
        <v>26</v>
      </c>
      <c r="F168" t="str">
        <f t="shared" si="2"/>
        <v>Young</v>
      </c>
      <c r="G168" t="s">
        <v>234</v>
      </c>
      <c r="H168" s="3">
        <v>3389</v>
      </c>
      <c r="I168" t="s">
        <v>14</v>
      </c>
      <c r="J168">
        <v>4</v>
      </c>
    </row>
    <row r="169" spans="1:10" x14ac:dyDescent="0.25">
      <c r="A169" t="s">
        <v>195</v>
      </c>
      <c r="B169" t="s">
        <v>84</v>
      </c>
      <c r="C169" t="s">
        <v>414</v>
      </c>
      <c r="D169" t="s">
        <v>3</v>
      </c>
      <c r="E169">
        <v>24</v>
      </c>
      <c r="F169" t="str">
        <f t="shared" si="2"/>
        <v>Young</v>
      </c>
      <c r="G169" t="s">
        <v>124</v>
      </c>
      <c r="H169" s="3">
        <v>6600</v>
      </c>
      <c r="I169" t="s">
        <v>14</v>
      </c>
      <c r="J169">
        <v>2</v>
      </c>
    </row>
    <row r="170" spans="1:10" x14ac:dyDescent="0.25">
      <c r="A170" t="s">
        <v>323</v>
      </c>
      <c r="B170" t="s">
        <v>415</v>
      </c>
      <c r="C170" t="s">
        <v>416</v>
      </c>
      <c r="D170" t="s">
        <v>8</v>
      </c>
      <c r="E170">
        <v>26</v>
      </c>
      <c r="F170" t="str">
        <f t="shared" si="2"/>
        <v>Young</v>
      </c>
      <c r="G170" t="s">
        <v>293</v>
      </c>
      <c r="H170" s="3">
        <v>2154</v>
      </c>
      <c r="I170" t="s">
        <v>4</v>
      </c>
      <c r="J170">
        <v>5</v>
      </c>
    </row>
    <row r="171" spans="1:10" x14ac:dyDescent="0.25">
      <c r="A171" t="s">
        <v>417</v>
      </c>
      <c r="B171" t="s">
        <v>409</v>
      </c>
      <c r="C171" t="s">
        <v>418</v>
      </c>
      <c r="D171" t="s">
        <v>8</v>
      </c>
      <c r="E171">
        <v>34</v>
      </c>
      <c r="F171" t="str">
        <f t="shared" si="2"/>
        <v>Middle Age</v>
      </c>
      <c r="G171" t="s">
        <v>80</v>
      </c>
      <c r="H171" s="3">
        <v>2627</v>
      </c>
      <c r="I171" t="s">
        <v>4</v>
      </c>
      <c r="J171">
        <v>5</v>
      </c>
    </row>
    <row r="172" spans="1:10" x14ac:dyDescent="0.25">
      <c r="A172" t="s">
        <v>419</v>
      </c>
      <c r="B172" t="s">
        <v>420</v>
      </c>
      <c r="C172" t="s">
        <v>421</v>
      </c>
      <c r="D172" t="s">
        <v>8</v>
      </c>
      <c r="E172">
        <v>55</v>
      </c>
      <c r="F172" t="str">
        <f t="shared" si="2"/>
        <v>Old</v>
      </c>
      <c r="G172" t="s">
        <v>270</v>
      </c>
      <c r="H172" s="3">
        <v>2441</v>
      </c>
      <c r="I172" t="s">
        <v>4</v>
      </c>
      <c r="J172">
        <v>4</v>
      </c>
    </row>
    <row r="173" spans="1:10" x14ac:dyDescent="0.25">
      <c r="A173" t="s">
        <v>44</v>
      </c>
      <c r="B173" t="s">
        <v>34</v>
      </c>
      <c r="C173" t="s">
        <v>422</v>
      </c>
      <c r="D173" t="s">
        <v>8</v>
      </c>
      <c r="E173">
        <v>19</v>
      </c>
      <c r="F173" t="str">
        <f t="shared" si="2"/>
        <v>Young</v>
      </c>
      <c r="G173" t="s">
        <v>227</v>
      </c>
      <c r="H173" s="3">
        <v>5566</v>
      </c>
      <c r="I173" t="s">
        <v>14</v>
      </c>
      <c r="J173">
        <v>1</v>
      </c>
    </row>
    <row r="174" spans="1:10" x14ac:dyDescent="0.25">
      <c r="A174" t="s">
        <v>423</v>
      </c>
      <c r="B174" t="s">
        <v>27</v>
      </c>
      <c r="C174" t="s">
        <v>424</v>
      </c>
      <c r="D174" t="s">
        <v>8</v>
      </c>
      <c r="E174">
        <v>54</v>
      </c>
      <c r="F174" t="str">
        <f t="shared" si="2"/>
        <v>Old</v>
      </c>
      <c r="G174" t="s">
        <v>280</v>
      </c>
      <c r="H174" s="3">
        <v>8489</v>
      </c>
      <c r="I174" t="s">
        <v>14</v>
      </c>
      <c r="J174">
        <v>5</v>
      </c>
    </row>
    <row r="175" spans="1:10" x14ac:dyDescent="0.25">
      <c r="A175" t="s">
        <v>157</v>
      </c>
      <c r="B175" t="s">
        <v>425</v>
      </c>
      <c r="C175" t="s">
        <v>426</v>
      </c>
      <c r="D175" t="s">
        <v>3</v>
      </c>
      <c r="E175">
        <v>36</v>
      </c>
      <c r="F175" t="str">
        <f t="shared" si="2"/>
        <v>Middle Age</v>
      </c>
      <c r="G175" t="s">
        <v>59</v>
      </c>
      <c r="H175" s="3">
        <v>1734</v>
      </c>
      <c r="I175" t="s">
        <v>4</v>
      </c>
      <c r="J175">
        <v>5</v>
      </c>
    </row>
    <row r="176" spans="1:10" x14ac:dyDescent="0.25">
      <c r="A176" t="s">
        <v>304</v>
      </c>
      <c r="B176" t="s">
        <v>116</v>
      </c>
      <c r="C176" t="s">
        <v>427</v>
      </c>
      <c r="D176" t="s">
        <v>3</v>
      </c>
      <c r="E176">
        <v>58</v>
      </c>
      <c r="F176" t="str">
        <f t="shared" si="2"/>
        <v>Old</v>
      </c>
      <c r="G176" t="s">
        <v>59</v>
      </c>
      <c r="H176" s="3">
        <v>7325</v>
      </c>
      <c r="I176" t="s">
        <v>14</v>
      </c>
      <c r="J176">
        <v>5</v>
      </c>
    </row>
    <row r="177" spans="1:10" x14ac:dyDescent="0.25">
      <c r="A177" t="s">
        <v>61</v>
      </c>
      <c r="B177" t="s">
        <v>375</v>
      </c>
      <c r="C177" t="s">
        <v>428</v>
      </c>
      <c r="D177" t="s">
        <v>3</v>
      </c>
      <c r="E177">
        <v>50</v>
      </c>
      <c r="F177" t="str">
        <f t="shared" si="2"/>
        <v>Middle Age</v>
      </c>
      <c r="G177" t="s">
        <v>160</v>
      </c>
      <c r="H177" s="3">
        <v>1268</v>
      </c>
      <c r="I177" t="s">
        <v>14</v>
      </c>
      <c r="J177">
        <v>4</v>
      </c>
    </row>
    <row r="178" spans="1:10" x14ac:dyDescent="0.25">
      <c r="A178" t="s">
        <v>254</v>
      </c>
      <c r="B178" t="s">
        <v>65</v>
      </c>
      <c r="C178" t="s">
        <v>429</v>
      </c>
      <c r="D178" t="s">
        <v>3</v>
      </c>
      <c r="E178">
        <v>52</v>
      </c>
      <c r="F178" t="str">
        <f t="shared" si="2"/>
        <v>Old</v>
      </c>
      <c r="G178" t="s">
        <v>256</v>
      </c>
      <c r="H178" s="3">
        <v>3433</v>
      </c>
      <c r="I178" t="s">
        <v>14</v>
      </c>
      <c r="J178">
        <v>2</v>
      </c>
    </row>
    <row r="179" spans="1:10" x14ac:dyDescent="0.25">
      <c r="A179" t="s">
        <v>44</v>
      </c>
      <c r="B179" t="s">
        <v>244</v>
      </c>
      <c r="C179" t="s">
        <v>430</v>
      </c>
      <c r="D179" t="s">
        <v>8</v>
      </c>
      <c r="E179">
        <v>47</v>
      </c>
      <c r="F179" t="str">
        <f t="shared" si="2"/>
        <v>Middle Age</v>
      </c>
      <c r="G179" t="s">
        <v>131</v>
      </c>
      <c r="H179" s="3">
        <v>2142</v>
      </c>
      <c r="I179" t="s">
        <v>14</v>
      </c>
      <c r="J179">
        <v>2</v>
      </c>
    </row>
    <row r="180" spans="1:10" x14ac:dyDescent="0.25">
      <c r="A180" t="s">
        <v>129</v>
      </c>
      <c r="B180" t="s">
        <v>148</v>
      </c>
      <c r="C180" t="s">
        <v>431</v>
      </c>
      <c r="D180" t="s">
        <v>3</v>
      </c>
      <c r="E180">
        <v>60</v>
      </c>
      <c r="F180" t="str">
        <f t="shared" si="2"/>
        <v>Old</v>
      </c>
      <c r="G180" t="s">
        <v>270</v>
      </c>
      <c r="H180" s="3">
        <v>7231</v>
      </c>
      <c r="I180" t="s">
        <v>4</v>
      </c>
      <c r="J180">
        <v>0</v>
      </c>
    </row>
    <row r="181" spans="1:10" x14ac:dyDescent="0.25">
      <c r="A181" t="s">
        <v>432</v>
      </c>
      <c r="B181" t="s">
        <v>433</v>
      </c>
      <c r="C181" t="s">
        <v>434</v>
      </c>
      <c r="D181" t="s">
        <v>3</v>
      </c>
      <c r="E181">
        <v>24</v>
      </c>
      <c r="F181" t="str">
        <f t="shared" si="2"/>
        <v>Young</v>
      </c>
      <c r="G181" t="s">
        <v>9</v>
      </c>
      <c r="H181" s="3">
        <v>5659</v>
      </c>
      <c r="I181" t="s">
        <v>14</v>
      </c>
      <c r="J181">
        <v>5</v>
      </c>
    </row>
    <row r="182" spans="1:10" x14ac:dyDescent="0.25">
      <c r="A182" t="s">
        <v>435</v>
      </c>
      <c r="B182" t="s">
        <v>57</v>
      </c>
      <c r="C182" t="s">
        <v>436</v>
      </c>
      <c r="D182" t="s">
        <v>8</v>
      </c>
      <c r="E182">
        <v>47</v>
      </c>
      <c r="F182" t="str">
        <f t="shared" si="2"/>
        <v>Middle Age</v>
      </c>
      <c r="G182" t="s">
        <v>128</v>
      </c>
      <c r="H182" s="3">
        <v>9058</v>
      </c>
      <c r="I182" t="s">
        <v>4</v>
      </c>
      <c r="J182">
        <v>0</v>
      </c>
    </row>
    <row r="183" spans="1:10" x14ac:dyDescent="0.25">
      <c r="A183" t="s">
        <v>437</v>
      </c>
      <c r="B183" t="s">
        <v>16</v>
      </c>
      <c r="C183" t="s">
        <v>438</v>
      </c>
      <c r="D183" t="s">
        <v>8</v>
      </c>
      <c r="E183">
        <v>50</v>
      </c>
      <c r="F183" t="str">
        <f t="shared" si="2"/>
        <v>Middle Age</v>
      </c>
      <c r="G183" t="s">
        <v>107</v>
      </c>
      <c r="H183" s="3">
        <v>8387</v>
      </c>
      <c r="I183" t="s">
        <v>14</v>
      </c>
      <c r="J183">
        <v>3</v>
      </c>
    </row>
    <row r="184" spans="1:10" x14ac:dyDescent="0.25">
      <c r="A184" t="s">
        <v>439</v>
      </c>
      <c r="B184" t="s">
        <v>78</v>
      </c>
      <c r="C184" t="s">
        <v>440</v>
      </c>
      <c r="D184" t="s">
        <v>3</v>
      </c>
      <c r="E184">
        <v>56</v>
      </c>
      <c r="F184" t="str">
        <f t="shared" si="2"/>
        <v>Old</v>
      </c>
      <c r="G184" t="s">
        <v>51</v>
      </c>
      <c r="H184" s="3">
        <v>1722</v>
      </c>
      <c r="I184" t="s">
        <v>14</v>
      </c>
      <c r="J184">
        <v>5</v>
      </c>
    </row>
    <row r="185" spans="1:10" x14ac:dyDescent="0.25">
      <c r="A185" t="s">
        <v>166</v>
      </c>
      <c r="B185" t="s">
        <v>16</v>
      </c>
      <c r="C185" t="s">
        <v>441</v>
      </c>
      <c r="D185" t="s">
        <v>3</v>
      </c>
      <c r="E185">
        <v>20</v>
      </c>
      <c r="F185" t="str">
        <f t="shared" si="2"/>
        <v>Young</v>
      </c>
      <c r="G185" t="s">
        <v>107</v>
      </c>
      <c r="H185" s="3">
        <v>4979</v>
      </c>
      <c r="I185" t="s">
        <v>4</v>
      </c>
      <c r="J185">
        <v>0</v>
      </c>
    </row>
    <row r="186" spans="1:10" x14ac:dyDescent="0.25">
      <c r="A186" t="s">
        <v>87</v>
      </c>
      <c r="B186" t="s">
        <v>340</v>
      </c>
      <c r="C186" t="s">
        <v>442</v>
      </c>
      <c r="D186" t="s">
        <v>3</v>
      </c>
      <c r="E186">
        <v>45</v>
      </c>
      <c r="F186" t="str">
        <f t="shared" si="2"/>
        <v>Middle Age</v>
      </c>
      <c r="G186" t="s">
        <v>150</v>
      </c>
      <c r="H186" s="3">
        <v>9390</v>
      </c>
      <c r="I186" t="s">
        <v>14</v>
      </c>
      <c r="J186">
        <v>2</v>
      </c>
    </row>
    <row r="187" spans="1:10" x14ac:dyDescent="0.25">
      <c r="A187" t="s">
        <v>443</v>
      </c>
      <c r="B187" t="s">
        <v>324</v>
      </c>
      <c r="C187" t="s">
        <v>444</v>
      </c>
      <c r="D187" t="s">
        <v>3</v>
      </c>
      <c r="E187">
        <v>52</v>
      </c>
      <c r="F187" t="str">
        <f t="shared" si="2"/>
        <v>Old</v>
      </c>
      <c r="G187" t="s">
        <v>231</v>
      </c>
      <c r="H187" s="3">
        <v>9726</v>
      </c>
      <c r="I187" t="s">
        <v>14</v>
      </c>
      <c r="J187">
        <v>3</v>
      </c>
    </row>
    <row r="188" spans="1:10" x14ac:dyDescent="0.25">
      <c r="A188" t="s">
        <v>445</v>
      </c>
      <c r="B188" t="s">
        <v>324</v>
      </c>
      <c r="C188" t="s">
        <v>446</v>
      </c>
      <c r="D188" t="s">
        <v>3</v>
      </c>
      <c r="E188">
        <v>30</v>
      </c>
      <c r="F188" t="str">
        <f t="shared" si="2"/>
        <v>Young</v>
      </c>
      <c r="G188" t="s">
        <v>82</v>
      </c>
      <c r="H188" s="3">
        <v>2015</v>
      </c>
      <c r="I188" t="s">
        <v>14</v>
      </c>
      <c r="J188">
        <v>1</v>
      </c>
    </row>
    <row r="189" spans="1:10" x14ac:dyDescent="0.25">
      <c r="A189" t="s">
        <v>161</v>
      </c>
      <c r="B189" t="s">
        <v>392</v>
      </c>
      <c r="C189" t="s">
        <v>447</v>
      </c>
      <c r="D189" t="s">
        <v>8</v>
      </c>
      <c r="E189">
        <v>36</v>
      </c>
      <c r="F189" t="str">
        <f t="shared" si="2"/>
        <v>Middle Age</v>
      </c>
      <c r="G189" t="s">
        <v>303</v>
      </c>
      <c r="H189" s="3">
        <v>1919</v>
      </c>
      <c r="I189" t="s">
        <v>4</v>
      </c>
      <c r="J189">
        <v>2</v>
      </c>
    </row>
    <row r="190" spans="1:10" x14ac:dyDescent="0.25">
      <c r="A190" t="s">
        <v>300</v>
      </c>
      <c r="B190" t="s">
        <v>65</v>
      </c>
      <c r="C190" t="s">
        <v>448</v>
      </c>
      <c r="D190" t="s">
        <v>3</v>
      </c>
      <c r="E190">
        <v>24</v>
      </c>
      <c r="F190" t="str">
        <f t="shared" si="2"/>
        <v>Young</v>
      </c>
      <c r="G190" t="s">
        <v>118</v>
      </c>
      <c r="H190" s="3">
        <v>6447</v>
      </c>
      <c r="I190" t="s">
        <v>14</v>
      </c>
      <c r="J190">
        <v>5</v>
      </c>
    </row>
    <row r="191" spans="1:10" x14ac:dyDescent="0.25">
      <c r="A191" t="s">
        <v>243</v>
      </c>
      <c r="B191" t="s">
        <v>84</v>
      </c>
      <c r="C191" t="s">
        <v>449</v>
      </c>
      <c r="D191" t="s">
        <v>3</v>
      </c>
      <c r="E191">
        <v>25</v>
      </c>
      <c r="F191" t="str">
        <f t="shared" si="2"/>
        <v>Young</v>
      </c>
      <c r="G191" t="s">
        <v>256</v>
      </c>
      <c r="H191" s="3">
        <v>5826</v>
      </c>
      <c r="I191" t="s">
        <v>14</v>
      </c>
      <c r="J191">
        <v>2</v>
      </c>
    </row>
    <row r="192" spans="1:10" x14ac:dyDescent="0.25">
      <c r="A192" t="s">
        <v>439</v>
      </c>
      <c r="B192" t="s">
        <v>185</v>
      </c>
      <c r="C192" t="s">
        <v>450</v>
      </c>
      <c r="D192" t="s">
        <v>3</v>
      </c>
      <c r="E192">
        <v>44</v>
      </c>
      <c r="F192" t="str">
        <f t="shared" si="2"/>
        <v>Middle Age</v>
      </c>
      <c r="G192" t="s">
        <v>160</v>
      </c>
      <c r="H192" s="3">
        <v>3402</v>
      </c>
      <c r="I192" t="s">
        <v>14</v>
      </c>
      <c r="J192">
        <v>0</v>
      </c>
    </row>
    <row r="193" spans="1:10" x14ac:dyDescent="0.25">
      <c r="A193" t="s">
        <v>108</v>
      </c>
      <c r="B193" t="s">
        <v>229</v>
      </c>
      <c r="C193" t="s">
        <v>451</v>
      </c>
      <c r="D193" t="s">
        <v>3</v>
      </c>
      <c r="E193">
        <v>33</v>
      </c>
      <c r="F193" t="str">
        <f t="shared" si="2"/>
        <v>Middle Age</v>
      </c>
      <c r="G193" t="s">
        <v>197</v>
      </c>
      <c r="H193" s="3">
        <v>6961</v>
      </c>
      <c r="I193" t="s">
        <v>14</v>
      </c>
      <c r="J193">
        <v>2</v>
      </c>
    </row>
    <row r="194" spans="1:10" x14ac:dyDescent="0.25">
      <c r="A194" t="s">
        <v>15</v>
      </c>
      <c r="B194" t="s">
        <v>45</v>
      </c>
      <c r="C194" t="s">
        <v>452</v>
      </c>
      <c r="D194" t="s">
        <v>8</v>
      </c>
      <c r="E194">
        <v>50</v>
      </c>
      <c r="F194" t="str">
        <f t="shared" si="2"/>
        <v>Middle Age</v>
      </c>
      <c r="G194" t="s">
        <v>150</v>
      </c>
      <c r="H194" s="3">
        <v>2808</v>
      </c>
      <c r="I194" t="s">
        <v>4</v>
      </c>
      <c r="J194">
        <v>1</v>
      </c>
    </row>
    <row r="195" spans="1:10" x14ac:dyDescent="0.25">
      <c r="A195" t="s">
        <v>439</v>
      </c>
      <c r="B195" t="s">
        <v>284</v>
      </c>
      <c r="C195" t="s">
        <v>453</v>
      </c>
      <c r="D195" t="s">
        <v>3</v>
      </c>
      <c r="E195">
        <v>54</v>
      </c>
      <c r="F195" t="str">
        <f t="shared" ref="F195:F258" si="3">IF(E195&gt;50,"Old",IF(E195&gt;=31,"Middle Age",IF(E195&lt;31,"Young","Invalid")))</f>
        <v>Old</v>
      </c>
      <c r="G195" t="s">
        <v>134</v>
      </c>
      <c r="H195" s="3">
        <v>2558</v>
      </c>
      <c r="I195" t="s">
        <v>4</v>
      </c>
      <c r="J195">
        <v>0</v>
      </c>
    </row>
    <row r="196" spans="1:10" x14ac:dyDescent="0.25">
      <c r="A196" t="s">
        <v>454</v>
      </c>
      <c r="B196" t="s">
        <v>358</v>
      </c>
      <c r="C196" t="s">
        <v>455</v>
      </c>
      <c r="D196" t="s">
        <v>8</v>
      </c>
      <c r="E196">
        <v>55</v>
      </c>
      <c r="F196" t="str">
        <f t="shared" si="3"/>
        <v>Old</v>
      </c>
      <c r="G196" t="s">
        <v>199</v>
      </c>
      <c r="H196" s="3">
        <v>2509</v>
      </c>
      <c r="I196" t="s">
        <v>4</v>
      </c>
      <c r="J196">
        <v>2</v>
      </c>
    </row>
    <row r="197" spans="1:10" x14ac:dyDescent="0.25">
      <c r="A197" t="s">
        <v>456</v>
      </c>
      <c r="B197" t="s">
        <v>326</v>
      </c>
      <c r="C197" t="s">
        <v>457</v>
      </c>
      <c r="D197" t="s">
        <v>3</v>
      </c>
      <c r="E197">
        <v>28</v>
      </c>
      <c r="F197" t="str">
        <f t="shared" si="3"/>
        <v>Young</v>
      </c>
      <c r="G197" t="s">
        <v>80</v>
      </c>
      <c r="H197" s="3">
        <v>3666</v>
      </c>
      <c r="I197" t="s">
        <v>4</v>
      </c>
      <c r="J197">
        <v>1</v>
      </c>
    </row>
    <row r="198" spans="1:10" x14ac:dyDescent="0.25">
      <c r="A198" t="s">
        <v>458</v>
      </c>
      <c r="B198" t="s">
        <v>459</v>
      </c>
      <c r="C198" t="s">
        <v>460</v>
      </c>
      <c r="D198" t="s">
        <v>8</v>
      </c>
      <c r="E198">
        <v>40</v>
      </c>
      <c r="F198" t="str">
        <f t="shared" si="3"/>
        <v>Middle Age</v>
      </c>
      <c r="G198" t="s">
        <v>280</v>
      </c>
      <c r="H198" s="3">
        <v>5837</v>
      </c>
      <c r="I198" t="s">
        <v>14</v>
      </c>
      <c r="J198">
        <v>5</v>
      </c>
    </row>
    <row r="199" spans="1:10" x14ac:dyDescent="0.25">
      <c r="A199" t="s">
        <v>461</v>
      </c>
      <c r="B199" t="s">
        <v>180</v>
      </c>
      <c r="C199" t="s">
        <v>462</v>
      </c>
      <c r="D199" t="s">
        <v>8</v>
      </c>
      <c r="E199">
        <v>29</v>
      </c>
      <c r="F199" t="str">
        <f t="shared" si="3"/>
        <v>Young</v>
      </c>
      <c r="G199" t="s">
        <v>182</v>
      </c>
      <c r="H199" s="3">
        <v>861</v>
      </c>
      <c r="I199" t="s">
        <v>14</v>
      </c>
      <c r="J199">
        <v>1</v>
      </c>
    </row>
    <row r="200" spans="1:10" x14ac:dyDescent="0.25">
      <c r="A200" t="s">
        <v>319</v>
      </c>
      <c r="B200" t="s">
        <v>463</v>
      </c>
      <c r="C200" t="s">
        <v>464</v>
      </c>
      <c r="D200" t="s">
        <v>3</v>
      </c>
      <c r="E200">
        <v>49</v>
      </c>
      <c r="F200" t="str">
        <f t="shared" si="3"/>
        <v>Middle Age</v>
      </c>
      <c r="G200" t="s">
        <v>69</v>
      </c>
      <c r="H200" s="3">
        <v>3674</v>
      </c>
      <c r="I200" t="s">
        <v>14</v>
      </c>
      <c r="J200">
        <v>0</v>
      </c>
    </row>
    <row r="201" spans="1:10" x14ac:dyDescent="0.25">
      <c r="A201" t="s">
        <v>465</v>
      </c>
      <c r="B201" t="s">
        <v>366</v>
      </c>
      <c r="C201" t="s">
        <v>466</v>
      </c>
      <c r="D201" t="s">
        <v>3</v>
      </c>
      <c r="E201">
        <v>32</v>
      </c>
      <c r="F201" t="str">
        <f t="shared" si="3"/>
        <v>Middle Age</v>
      </c>
      <c r="G201" t="s">
        <v>211</v>
      </c>
      <c r="H201" s="3">
        <v>1199</v>
      </c>
      <c r="I201" t="s">
        <v>14</v>
      </c>
      <c r="J201">
        <v>1</v>
      </c>
    </row>
    <row r="202" spans="1:10" x14ac:dyDescent="0.25">
      <c r="A202" t="s">
        <v>263</v>
      </c>
      <c r="B202" t="s">
        <v>200</v>
      </c>
      <c r="C202" t="s">
        <v>467</v>
      </c>
      <c r="D202" t="s">
        <v>3</v>
      </c>
      <c r="E202">
        <v>20</v>
      </c>
      <c r="F202" t="str">
        <f t="shared" si="3"/>
        <v>Young</v>
      </c>
      <c r="G202" t="s">
        <v>82</v>
      </c>
      <c r="H202" s="3">
        <v>2894</v>
      </c>
      <c r="I202" t="s">
        <v>14</v>
      </c>
      <c r="J202">
        <v>4</v>
      </c>
    </row>
    <row r="203" spans="1:10" x14ac:dyDescent="0.25">
      <c r="A203" t="s">
        <v>298</v>
      </c>
      <c r="B203" t="s">
        <v>116</v>
      </c>
      <c r="C203" t="s">
        <v>468</v>
      </c>
      <c r="D203" t="s">
        <v>3</v>
      </c>
      <c r="E203">
        <v>20</v>
      </c>
      <c r="F203" t="str">
        <f t="shared" si="3"/>
        <v>Young</v>
      </c>
      <c r="G203" t="s">
        <v>47</v>
      </c>
      <c r="H203" s="3">
        <v>5257</v>
      </c>
      <c r="I203" t="s">
        <v>14</v>
      </c>
      <c r="J203">
        <v>0</v>
      </c>
    </row>
    <row r="204" spans="1:10" x14ac:dyDescent="0.25">
      <c r="A204" t="s">
        <v>10</v>
      </c>
      <c r="B204" t="s">
        <v>433</v>
      </c>
      <c r="C204" t="s">
        <v>469</v>
      </c>
      <c r="D204" t="s">
        <v>3</v>
      </c>
      <c r="E204">
        <v>20</v>
      </c>
      <c r="F204" t="str">
        <f t="shared" si="3"/>
        <v>Young</v>
      </c>
      <c r="G204" t="s">
        <v>21</v>
      </c>
      <c r="H204" s="3">
        <v>4783</v>
      </c>
      <c r="I204" t="s">
        <v>14</v>
      </c>
      <c r="J204">
        <v>1</v>
      </c>
    </row>
    <row r="205" spans="1:10" x14ac:dyDescent="0.25">
      <c r="A205" t="s">
        <v>209</v>
      </c>
      <c r="B205" t="s">
        <v>375</v>
      </c>
      <c r="C205" t="s">
        <v>470</v>
      </c>
      <c r="D205" t="s">
        <v>8</v>
      </c>
      <c r="E205">
        <v>45</v>
      </c>
      <c r="F205" t="str">
        <f t="shared" si="3"/>
        <v>Middle Age</v>
      </c>
      <c r="G205" t="s">
        <v>21</v>
      </c>
      <c r="H205" s="3">
        <v>2943</v>
      </c>
      <c r="I205" t="s">
        <v>14</v>
      </c>
      <c r="J205">
        <v>4</v>
      </c>
    </row>
    <row r="206" spans="1:10" x14ac:dyDescent="0.25">
      <c r="A206" t="s">
        <v>73</v>
      </c>
      <c r="B206" t="s">
        <v>148</v>
      </c>
      <c r="C206" t="s">
        <v>471</v>
      </c>
      <c r="D206" t="s">
        <v>3</v>
      </c>
      <c r="E206">
        <v>25</v>
      </c>
      <c r="F206" t="str">
        <f t="shared" si="3"/>
        <v>Young</v>
      </c>
      <c r="G206" t="s">
        <v>82</v>
      </c>
      <c r="H206" s="3">
        <v>9990</v>
      </c>
      <c r="I206" t="s">
        <v>4</v>
      </c>
      <c r="J206">
        <v>3</v>
      </c>
    </row>
    <row r="207" spans="1:10" x14ac:dyDescent="0.25">
      <c r="A207" t="s">
        <v>374</v>
      </c>
      <c r="B207" t="s">
        <v>284</v>
      </c>
      <c r="C207" t="s">
        <v>472</v>
      </c>
      <c r="D207" t="s">
        <v>8</v>
      </c>
      <c r="E207">
        <v>28</v>
      </c>
      <c r="F207" t="str">
        <f t="shared" si="3"/>
        <v>Young</v>
      </c>
      <c r="G207" t="s">
        <v>43</v>
      </c>
      <c r="H207" s="3">
        <v>4596</v>
      </c>
      <c r="I207" t="s">
        <v>4</v>
      </c>
      <c r="J207">
        <v>5</v>
      </c>
    </row>
    <row r="208" spans="1:10" x14ac:dyDescent="0.25">
      <c r="A208" t="s">
        <v>473</v>
      </c>
      <c r="B208" t="s">
        <v>229</v>
      </c>
      <c r="C208" t="s">
        <v>474</v>
      </c>
      <c r="D208" t="s">
        <v>8</v>
      </c>
      <c r="E208">
        <v>19</v>
      </c>
      <c r="F208" t="str">
        <f t="shared" si="3"/>
        <v>Young</v>
      </c>
      <c r="G208" t="s">
        <v>25</v>
      </c>
      <c r="H208" s="3">
        <v>4816</v>
      </c>
      <c r="I208" t="s">
        <v>14</v>
      </c>
      <c r="J208">
        <v>1</v>
      </c>
    </row>
    <row r="209" spans="1:10" x14ac:dyDescent="0.25">
      <c r="A209" t="s">
        <v>370</v>
      </c>
      <c r="B209" t="s">
        <v>244</v>
      </c>
      <c r="C209" t="s">
        <v>475</v>
      </c>
      <c r="D209" t="s">
        <v>8</v>
      </c>
      <c r="E209">
        <v>42</v>
      </c>
      <c r="F209" t="str">
        <f t="shared" si="3"/>
        <v>Middle Age</v>
      </c>
      <c r="G209" t="s">
        <v>21</v>
      </c>
      <c r="H209" s="3">
        <v>3031</v>
      </c>
      <c r="I209" t="s">
        <v>14</v>
      </c>
      <c r="J209">
        <v>4</v>
      </c>
    </row>
    <row r="210" spans="1:10" x14ac:dyDescent="0.25">
      <c r="A210" t="s">
        <v>267</v>
      </c>
      <c r="B210" t="s">
        <v>136</v>
      </c>
      <c r="C210" t="s">
        <v>476</v>
      </c>
      <c r="D210" t="s">
        <v>8</v>
      </c>
      <c r="E210">
        <v>60</v>
      </c>
      <c r="F210" t="str">
        <f t="shared" si="3"/>
        <v>Old</v>
      </c>
      <c r="G210" t="s">
        <v>9</v>
      </c>
      <c r="H210" s="3">
        <v>1064</v>
      </c>
      <c r="I210" t="s">
        <v>14</v>
      </c>
      <c r="J210">
        <v>5</v>
      </c>
    </row>
    <row r="211" spans="1:10" x14ac:dyDescent="0.25">
      <c r="A211" t="s">
        <v>477</v>
      </c>
      <c r="B211" t="s">
        <v>478</v>
      </c>
      <c r="C211" t="s">
        <v>479</v>
      </c>
      <c r="D211" t="s">
        <v>8</v>
      </c>
      <c r="E211">
        <v>29</v>
      </c>
      <c r="F211" t="str">
        <f t="shared" si="3"/>
        <v>Young</v>
      </c>
      <c r="G211" t="s">
        <v>303</v>
      </c>
      <c r="H211" s="3">
        <v>5479</v>
      </c>
      <c r="I211" t="s">
        <v>14</v>
      </c>
      <c r="J211">
        <v>2</v>
      </c>
    </row>
    <row r="212" spans="1:10" x14ac:dyDescent="0.25">
      <c r="A212" t="s">
        <v>480</v>
      </c>
      <c r="B212" t="s">
        <v>53</v>
      </c>
      <c r="C212" t="s">
        <v>481</v>
      </c>
      <c r="D212" t="s">
        <v>8</v>
      </c>
      <c r="E212">
        <v>29</v>
      </c>
      <c r="F212" t="str">
        <f t="shared" si="3"/>
        <v>Young</v>
      </c>
      <c r="G212" t="s">
        <v>199</v>
      </c>
      <c r="H212" s="3">
        <v>4006</v>
      </c>
      <c r="I212" t="s">
        <v>14</v>
      </c>
      <c r="J212">
        <v>1</v>
      </c>
    </row>
    <row r="213" spans="1:10" x14ac:dyDescent="0.25">
      <c r="A213" t="s">
        <v>482</v>
      </c>
      <c r="B213" t="s">
        <v>167</v>
      </c>
      <c r="C213" t="s">
        <v>483</v>
      </c>
      <c r="D213" t="s">
        <v>8</v>
      </c>
      <c r="E213">
        <v>40</v>
      </c>
      <c r="F213" t="str">
        <f t="shared" si="3"/>
        <v>Middle Age</v>
      </c>
      <c r="G213" t="s">
        <v>82</v>
      </c>
      <c r="H213" s="3">
        <v>2192</v>
      </c>
      <c r="I213" t="s">
        <v>14</v>
      </c>
      <c r="J213">
        <v>4</v>
      </c>
    </row>
    <row r="214" spans="1:10" x14ac:dyDescent="0.25">
      <c r="A214" t="s">
        <v>484</v>
      </c>
      <c r="B214" t="s">
        <v>268</v>
      </c>
      <c r="C214" t="s">
        <v>485</v>
      </c>
      <c r="D214" t="s">
        <v>3</v>
      </c>
      <c r="E214">
        <v>60</v>
      </c>
      <c r="F214" t="str">
        <f t="shared" si="3"/>
        <v>Old</v>
      </c>
      <c r="G214" t="s">
        <v>187</v>
      </c>
      <c r="H214" s="3">
        <v>9005</v>
      </c>
      <c r="I214" t="s">
        <v>14</v>
      </c>
      <c r="J214">
        <v>0</v>
      </c>
    </row>
    <row r="215" spans="1:10" x14ac:dyDescent="0.25">
      <c r="A215" t="s">
        <v>417</v>
      </c>
      <c r="B215" t="s">
        <v>74</v>
      </c>
      <c r="C215" t="s">
        <v>486</v>
      </c>
      <c r="D215" t="s">
        <v>8</v>
      </c>
      <c r="E215">
        <v>36</v>
      </c>
      <c r="F215" t="str">
        <f t="shared" si="3"/>
        <v>Middle Age</v>
      </c>
      <c r="G215" t="s">
        <v>80</v>
      </c>
      <c r="H215" s="3">
        <v>6417</v>
      </c>
      <c r="I215" t="s">
        <v>14</v>
      </c>
      <c r="J215">
        <v>2</v>
      </c>
    </row>
    <row r="216" spans="1:10" x14ac:dyDescent="0.25">
      <c r="A216" t="s">
        <v>395</v>
      </c>
      <c r="B216" t="s">
        <v>139</v>
      </c>
      <c r="C216" t="s">
        <v>487</v>
      </c>
      <c r="D216" t="s">
        <v>8</v>
      </c>
      <c r="E216">
        <v>39</v>
      </c>
      <c r="F216" t="str">
        <f t="shared" si="3"/>
        <v>Middle Age</v>
      </c>
      <c r="G216" t="s">
        <v>293</v>
      </c>
      <c r="H216" s="3">
        <v>4177</v>
      </c>
      <c r="I216" t="s">
        <v>14</v>
      </c>
      <c r="J216">
        <v>3</v>
      </c>
    </row>
    <row r="217" spans="1:10" x14ac:dyDescent="0.25">
      <c r="A217" t="s">
        <v>276</v>
      </c>
      <c r="B217" t="s">
        <v>105</v>
      </c>
      <c r="C217" t="s">
        <v>488</v>
      </c>
      <c r="D217" t="s">
        <v>3</v>
      </c>
      <c r="E217">
        <v>21</v>
      </c>
      <c r="F217" t="str">
        <f t="shared" si="3"/>
        <v>Young</v>
      </c>
      <c r="G217" t="s">
        <v>225</v>
      </c>
      <c r="H217" s="3">
        <v>4143</v>
      </c>
      <c r="I217" t="s">
        <v>14</v>
      </c>
      <c r="J217">
        <v>5</v>
      </c>
    </row>
    <row r="218" spans="1:10" x14ac:dyDescent="0.25">
      <c r="A218" t="s">
        <v>489</v>
      </c>
      <c r="B218" t="s">
        <v>74</v>
      </c>
      <c r="C218" t="s">
        <v>490</v>
      </c>
      <c r="D218" t="s">
        <v>3</v>
      </c>
      <c r="E218">
        <v>57</v>
      </c>
      <c r="F218" t="str">
        <f t="shared" si="3"/>
        <v>Old</v>
      </c>
      <c r="G218" t="s">
        <v>290</v>
      </c>
      <c r="H218" s="3">
        <v>8158</v>
      </c>
      <c r="I218" t="s">
        <v>14</v>
      </c>
      <c r="J218">
        <v>1</v>
      </c>
    </row>
    <row r="219" spans="1:10" x14ac:dyDescent="0.25">
      <c r="A219" t="s">
        <v>491</v>
      </c>
      <c r="B219" t="s">
        <v>204</v>
      </c>
      <c r="C219" t="s">
        <v>492</v>
      </c>
      <c r="D219" t="s">
        <v>3</v>
      </c>
      <c r="E219">
        <v>31</v>
      </c>
      <c r="F219" t="str">
        <f t="shared" si="3"/>
        <v>Middle Age</v>
      </c>
      <c r="G219" t="s">
        <v>114</v>
      </c>
      <c r="H219" s="3">
        <v>3356</v>
      </c>
      <c r="I219" t="s">
        <v>14</v>
      </c>
      <c r="J219">
        <v>0</v>
      </c>
    </row>
    <row r="220" spans="1:10" x14ac:dyDescent="0.25">
      <c r="A220" t="s">
        <v>493</v>
      </c>
      <c r="B220" t="s">
        <v>88</v>
      </c>
      <c r="C220" t="s">
        <v>494</v>
      </c>
      <c r="D220" t="s">
        <v>3</v>
      </c>
      <c r="E220">
        <v>51</v>
      </c>
      <c r="F220" t="str">
        <f t="shared" si="3"/>
        <v>Old</v>
      </c>
      <c r="G220" t="s">
        <v>172</v>
      </c>
      <c r="H220" s="3">
        <v>5242</v>
      </c>
      <c r="I220" t="s">
        <v>14</v>
      </c>
      <c r="J220">
        <v>3</v>
      </c>
    </row>
    <row r="221" spans="1:10" x14ac:dyDescent="0.25">
      <c r="A221" t="s">
        <v>495</v>
      </c>
      <c r="B221" t="s">
        <v>16</v>
      </c>
      <c r="C221" t="s">
        <v>496</v>
      </c>
      <c r="D221" t="s">
        <v>3</v>
      </c>
      <c r="E221">
        <v>29</v>
      </c>
      <c r="F221" t="str">
        <f t="shared" si="3"/>
        <v>Young</v>
      </c>
      <c r="G221" t="s">
        <v>231</v>
      </c>
      <c r="H221" s="3">
        <v>9418</v>
      </c>
      <c r="I221" t="s">
        <v>4</v>
      </c>
      <c r="J221">
        <v>5</v>
      </c>
    </row>
    <row r="222" spans="1:10" x14ac:dyDescent="0.25">
      <c r="A222" t="s">
        <v>48</v>
      </c>
      <c r="B222" t="s">
        <v>152</v>
      </c>
      <c r="C222" t="s">
        <v>497</v>
      </c>
      <c r="D222" t="s">
        <v>8</v>
      </c>
      <c r="E222">
        <v>46</v>
      </c>
      <c r="F222" t="str">
        <f t="shared" si="3"/>
        <v>Middle Age</v>
      </c>
      <c r="G222" t="s">
        <v>9</v>
      </c>
      <c r="H222" s="3">
        <v>9356</v>
      </c>
      <c r="I222" t="s">
        <v>14</v>
      </c>
      <c r="J222">
        <v>4</v>
      </c>
    </row>
    <row r="223" spans="1:10" x14ac:dyDescent="0.25">
      <c r="A223" t="s">
        <v>319</v>
      </c>
      <c r="B223" t="s">
        <v>498</v>
      </c>
      <c r="C223" t="s">
        <v>499</v>
      </c>
      <c r="D223" t="s">
        <v>3</v>
      </c>
      <c r="E223">
        <v>37</v>
      </c>
      <c r="F223" t="str">
        <f t="shared" si="3"/>
        <v>Middle Age</v>
      </c>
      <c r="G223" t="s">
        <v>266</v>
      </c>
      <c r="H223" s="3">
        <v>2469</v>
      </c>
      <c r="I223" t="s">
        <v>4</v>
      </c>
      <c r="J223">
        <v>3</v>
      </c>
    </row>
    <row r="224" spans="1:10" x14ac:dyDescent="0.25">
      <c r="A224" t="s">
        <v>500</v>
      </c>
      <c r="B224" t="s">
        <v>200</v>
      </c>
      <c r="C224" t="s">
        <v>501</v>
      </c>
      <c r="D224" t="s">
        <v>8</v>
      </c>
      <c r="E224">
        <v>58</v>
      </c>
      <c r="F224" t="str">
        <f t="shared" si="3"/>
        <v>Old</v>
      </c>
      <c r="G224" t="s">
        <v>256</v>
      </c>
      <c r="H224" s="3">
        <v>4300</v>
      </c>
      <c r="I224" t="s">
        <v>4</v>
      </c>
      <c r="J224">
        <v>0</v>
      </c>
    </row>
    <row r="225" spans="1:10" x14ac:dyDescent="0.25">
      <c r="A225" t="s">
        <v>11</v>
      </c>
      <c r="B225" t="s">
        <v>120</v>
      </c>
      <c r="C225" t="s">
        <v>502</v>
      </c>
      <c r="D225" t="s">
        <v>3</v>
      </c>
      <c r="E225">
        <v>28</v>
      </c>
      <c r="F225" t="str">
        <f t="shared" si="3"/>
        <v>Young</v>
      </c>
      <c r="G225" t="s">
        <v>248</v>
      </c>
      <c r="H225" s="3">
        <v>3152</v>
      </c>
      <c r="I225" t="s">
        <v>14</v>
      </c>
      <c r="J225">
        <v>5</v>
      </c>
    </row>
    <row r="226" spans="1:10" x14ac:dyDescent="0.25">
      <c r="A226" t="s">
        <v>370</v>
      </c>
      <c r="B226" t="s">
        <v>122</v>
      </c>
      <c r="C226" t="s">
        <v>503</v>
      </c>
      <c r="D226" t="s">
        <v>8</v>
      </c>
      <c r="E226">
        <v>18</v>
      </c>
      <c r="F226" t="str">
        <f t="shared" si="3"/>
        <v>Young</v>
      </c>
      <c r="G226" t="s">
        <v>227</v>
      </c>
      <c r="H226" s="3">
        <v>4922</v>
      </c>
      <c r="I226" t="s">
        <v>4</v>
      </c>
      <c r="J226">
        <v>3</v>
      </c>
    </row>
    <row r="227" spans="1:10" x14ac:dyDescent="0.25">
      <c r="A227" t="s">
        <v>173</v>
      </c>
      <c r="B227" t="s">
        <v>504</v>
      </c>
      <c r="C227" t="s">
        <v>505</v>
      </c>
      <c r="D227" t="s">
        <v>3</v>
      </c>
      <c r="E227">
        <v>35</v>
      </c>
      <c r="F227" t="str">
        <f t="shared" si="3"/>
        <v>Middle Age</v>
      </c>
      <c r="G227" t="s">
        <v>293</v>
      </c>
      <c r="H227" s="3">
        <v>1465</v>
      </c>
      <c r="I227" t="s">
        <v>14</v>
      </c>
      <c r="J227">
        <v>0</v>
      </c>
    </row>
    <row r="228" spans="1:10" x14ac:dyDescent="0.25">
      <c r="A228" t="s">
        <v>491</v>
      </c>
      <c r="B228" t="s">
        <v>215</v>
      </c>
      <c r="C228" t="s">
        <v>506</v>
      </c>
      <c r="D228" t="s">
        <v>3</v>
      </c>
      <c r="E228">
        <v>27</v>
      </c>
      <c r="F228" t="str">
        <f t="shared" si="3"/>
        <v>Young</v>
      </c>
      <c r="G228" t="s">
        <v>43</v>
      </c>
      <c r="H228" s="3">
        <v>6067</v>
      </c>
      <c r="I228" t="s">
        <v>4</v>
      </c>
      <c r="J228">
        <v>1</v>
      </c>
    </row>
    <row r="229" spans="1:10" x14ac:dyDescent="0.25">
      <c r="A229" t="s">
        <v>507</v>
      </c>
      <c r="B229" t="s">
        <v>223</v>
      </c>
      <c r="C229" t="s">
        <v>508</v>
      </c>
      <c r="D229" t="s">
        <v>8</v>
      </c>
      <c r="E229">
        <v>25</v>
      </c>
      <c r="F229" t="str">
        <f t="shared" si="3"/>
        <v>Young</v>
      </c>
      <c r="G229" t="s">
        <v>172</v>
      </c>
      <c r="H229" s="3">
        <v>7466</v>
      </c>
      <c r="I229" t="s">
        <v>4</v>
      </c>
      <c r="J229">
        <v>2</v>
      </c>
    </row>
    <row r="230" spans="1:10" x14ac:dyDescent="0.25">
      <c r="A230" t="s">
        <v>176</v>
      </c>
      <c r="B230" t="s">
        <v>65</v>
      </c>
      <c r="C230" t="s">
        <v>509</v>
      </c>
      <c r="D230" t="s">
        <v>3</v>
      </c>
      <c r="E230">
        <v>30</v>
      </c>
      <c r="F230" t="str">
        <f t="shared" si="3"/>
        <v>Young</v>
      </c>
      <c r="G230" t="s">
        <v>21</v>
      </c>
      <c r="H230" s="3">
        <v>7424</v>
      </c>
      <c r="I230" t="s">
        <v>14</v>
      </c>
      <c r="J230">
        <v>4</v>
      </c>
    </row>
    <row r="231" spans="1:10" x14ac:dyDescent="0.25">
      <c r="A231" t="s">
        <v>129</v>
      </c>
      <c r="B231" t="s">
        <v>57</v>
      </c>
      <c r="C231" t="s">
        <v>130</v>
      </c>
      <c r="D231" t="s">
        <v>3</v>
      </c>
      <c r="E231">
        <v>26</v>
      </c>
      <c r="F231" t="str">
        <f t="shared" si="3"/>
        <v>Young</v>
      </c>
      <c r="G231" t="s">
        <v>160</v>
      </c>
      <c r="H231" s="3">
        <v>9164</v>
      </c>
      <c r="I231" t="s">
        <v>14</v>
      </c>
      <c r="J231">
        <v>3</v>
      </c>
    </row>
    <row r="232" spans="1:10" x14ac:dyDescent="0.25">
      <c r="A232" t="s">
        <v>510</v>
      </c>
      <c r="B232" t="s">
        <v>6</v>
      </c>
      <c r="C232" t="s">
        <v>511</v>
      </c>
      <c r="D232" t="s">
        <v>8</v>
      </c>
      <c r="E232">
        <v>23</v>
      </c>
      <c r="F232" t="str">
        <f t="shared" si="3"/>
        <v>Young</v>
      </c>
      <c r="G232" t="s">
        <v>25</v>
      </c>
      <c r="H232" s="3">
        <v>975</v>
      </c>
      <c r="I232" t="s">
        <v>4</v>
      </c>
      <c r="J232">
        <v>2</v>
      </c>
    </row>
    <row r="233" spans="1:10" x14ac:dyDescent="0.25">
      <c r="A233" t="s">
        <v>512</v>
      </c>
      <c r="B233" t="s">
        <v>513</v>
      </c>
      <c r="C233" t="s">
        <v>514</v>
      </c>
      <c r="D233" t="s">
        <v>3</v>
      </c>
      <c r="E233">
        <v>43</v>
      </c>
      <c r="F233" t="str">
        <f t="shared" si="3"/>
        <v>Middle Age</v>
      </c>
      <c r="G233" t="s">
        <v>47</v>
      </c>
      <c r="H233" s="3">
        <v>2382</v>
      </c>
      <c r="I233" t="s">
        <v>4</v>
      </c>
      <c r="J233">
        <v>5</v>
      </c>
    </row>
    <row r="234" spans="1:10" x14ac:dyDescent="0.25">
      <c r="A234" t="s">
        <v>515</v>
      </c>
      <c r="B234" t="s">
        <v>433</v>
      </c>
      <c r="C234" t="s">
        <v>516</v>
      </c>
      <c r="D234" t="s">
        <v>3</v>
      </c>
      <c r="E234">
        <v>41</v>
      </c>
      <c r="F234" t="str">
        <f t="shared" si="3"/>
        <v>Middle Age</v>
      </c>
      <c r="G234" t="s">
        <v>103</v>
      </c>
      <c r="H234" s="3">
        <v>5740</v>
      </c>
      <c r="I234" t="s">
        <v>14</v>
      </c>
      <c r="J234">
        <v>0</v>
      </c>
    </row>
    <row r="235" spans="1:10" x14ac:dyDescent="0.25">
      <c r="A235" t="s">
        <v>356</v>
      </c>
      <c r="B235" t="s">
        <v>361</v>
      </c>
      <c r="C235" t="s">
        <v>517</v>
      </c>
      <c r="D235" t="s">
        <v>8</v>
      </c>
      <c r="E235">
        <v>47</v>
      </c>
      <c r="F235" t="str">
        <f t="shared" si="3"/>
        <v>Middle Age</v>
      </c>
      <c r="G235" t="s">
        <v>165</v>
      </c>
      <c r="H235" s="3">
        <v>5730</v>
      </c>
      <c r="I235" t="s">
        <v>14</v>
      </c>
      <c r="J235">
        <v>1</v>
      </c>
    </row>
    <row r="236" spans="1:10" x14ac:dyDescent="0.25">
      <c r="A236" t="s">
        <v>304</v>
      </c>
      <c r="B236" t="s">
        <v>148</v>
      </c>
      <c r="C236" t="s">
        <v>518</v>
      </c>
      <c r="D236" t="s">
        <v>3</v>
      </c>
      <c r="E236">
        <v>42</v>
      </c>
      <c r="F236" t="str">
        <f t="shared" si="3"/>
        <v>Middle Age</v>
      </c>
      <c r="G236" t="s">
        <v>197</v>
      </c>
      <c r="H236" s="3">
        <v>6177</v>
      </c>
      <c r="I236" t="s">
        <v>4</v>
      </c>
      <c r="J236">
        <v>2</v>
      </c>
    </row>
    <row r="237" spans="1:10" x14ac:dyDescent="0.25">
      <c r="A237" t="s">
        <v>83</v>
      </c>
      <c r="B237" t="s">
        <v>19</v>
      </c>
      <c r="C237" t="s">
        <v>519</v>
      </c>
      <c r="D237" t="s">
        <v>3</v>
      </c>
      <c r="E237">
        <v>54</v>
      </c>
      <c r="F237" t="str">
        <f t="shared" si="3"/>
        <v>Old</v>
      </c>
      <c r="G237" t="s">
        <v>124</v>
      </c>
      <c r="H237" s="3">
        <v>6808</v>
      </c>
      <c r="I237" t="s">
        <v>14</v>
      </c>
      <c r="J237">
        <v>0</v>
      </c>
    </row>
    <row r="238" spans="1:10" x14ac:dyDescent="0.25">
      <c r="A238" t="s">
        <v>282</v>
      </c>
      <c r="B238" t="s">
        <v>459</v>
      </c>
      <c r="C238" t="s">
        <v>520</v>
      </c>
      <c r="D238" t="s">
        <v>8</v>
      </c>
      <c r="E238">
        <v>57</v>
      </c>
      <c r="F238" t="str">
        <f t="shared" si="3"/>
        <v>Old</v>
      </c>
      <c r="G238" t="s">
        <v>63</v>
      </c>
      <c r="H238" s="3">
        <v>5614</v>
      </c>
      <c r="I238" t="s">
        <v>14</v>
      </c>
      <c r="J238">
        <v>2</v>
      </c>
    </row>
    <row r="239" spans="1:10" x14ac:dyDescent="0.25">
      <c r="A239" t="s">
        <v>170</v>
      </c>
      <c r="B239" t="s">
        <v>105</v>
      </c>
      <c r="C239" t="s">
        <v>521</v>
      </c>
      <c r="D239" t="s">
        <v>8</v>
      </c>
      <c r="E239">
        <v>30</v>
      </c>
      <c r="F239" t="str">
        <f t="shared" si="3"/>
        <v>Young</v>
      </c>
      <c r="G239" t="s">
        <v>80</v>
      </c>
      <c r="H239" s="3">
        <v>1157</v>
      </c>
      <c r="I239" t="s">
        <v>14</v>
      </c>
      <c r="J239">
        <v>3</v>
      </c>
    </row>
    <row r="240" spans="1:10" x14ac:dyDescent="0.25">
      <c r="A240" t="s">
        <v>356</v>
      </c>
      <c r="B240" t="s">
        <v>415</v>
      </c>
      <c r="C240" t="s">
        <v>522</v>
      </c>
      <c r="D240" t="s">
        <v>8</v>
      </c>
      <c r="E240">
        <v>54</v>
      </c>
      <c r="F240" t="str">
        <f t="shared" si="3"/>
        <v>Old</v>
      </c>
      <c r="G240" t="s">
        <v>21</v>
      </c>
      <c r="H240" s="3">
        <v>6556</v>
      </c>
      <c r="I240" t="s">
        <v>4</v>
      </c>
      <c r="J240">
        <v>4</v>
      </c>
    </row>
    <row r="241" spans="1:10" x14ac:dyDescent="0.25">
      <c r="A241" t="s">
        <v>523</v>
      </c>
      <c r="B241" t="s">
        <v>201</v>
      </c>
      <c r="C241" t="s">
        <v>524</v>
      </c>
      <c r="D241" t="s">
        <v>3</v>
      </c>
      <c r="E241">
        <v>36</v>
      </c>
      <c r="F241" t="str">
        <f t="shared" si="3"/>
        <v>Middle Age</v>
      </c>
      <c r="G241" t="s">
        <v>86</v>
      </c>
      <c r="H241" s="3">
        <v>2204</v>
      </c>
      <c r="I241" t="s">
        <v>4</v>
      </c>
      <c r="J241">
        <v>4</v>
      </c>
    </row>
    <row r="242" spans="1:10" x14ac:dyDescent="0.25">
      <c r="A242" t="s">
        <v>525</v>
      </c>
      <c r="B242" t="s">
        <v>358</v>
      </c>
      <c r="C242" t="s">
        <v>526</v>
      </c>
      <c r="D242" t="s">
        <v>8</v>
      </c>
      <c r="E242">
        <v>51</v>
      </c>
      <c r="F242" t="str">
        <f t="shared" si="3"/>
        <v>Old</v>
      </c>
      <c r="G242" t="s">
        <v>303</v>
      </c>
      <c r="H242" s="3">
        <v>7080</v>
      </c>
      <c r="I242" t="s">
        <v>4</v>
      </c>
      <c r="J242">
        <v>1</v>
      </c>
    </row>
    <row r="243" spans="1:10" x14ac:dyDescent="0.25">
      <c r="A243" t="s">
        <v>473</v>
      </c>
      <c r="B243" t="s">
        <v>358</v>
      </c>
      <c r="C243" t="s">
        <v>527</v>
      </c>
      <c r="D243" t="s">
        <v>8</v>
      </c>
      <c r="E243">
        <v>59</v>
      </c>
      <c r="F243" t="str">
        <f t="shared" si="3"/>
        <v>Old</v>
      </c>
      <c r="G243" t="s">
        <v>182</v>
      </c>
      <c r="H243" s="3">
        <v>8048</v>
      </c>
      <c r="I243" t="s">
        <v>4</v>
      </c>
      <c r="J243">
        <v>0</v>
      </c>
    </row>
    <row r="244" spans="1:10" x14ac:dyDescent="0.25">
      <c r="A244" t="s">
        <v>356</v>
      </c>
      <c r="B244" t="s">
        <v>340</v>
      </c>
      <c r="C244" t="s">
        <v>528</v>
      </c>
      <c r="D244" t="s">
        <v>8</v>
      </c>
      <c r="E244">
        <v>28</v>
      </c>
      <c r="F244" t="str">
        <f t="shared" si="3"/>
        <v>Young</v>
      </c>
      <c r="G244" t="s">
        <v>131</v>
      </c>
      <c r="H244" s="3">
        <v>2113</v>
      </c>
      <c r="I244" t="s">
        <v>4</v>
      </c>
      <c r="J244">
        <v>2</v>
      </c>
    </row>
    <row r="245" spans="1:10" x14ac:dyDescent="0.25">
      <c r="A245" t="s">
        <v>529</v>
      </c>
      <c r="B245" t="s">
        <v>530</v>
      </c>
      <c r="C245" t="s">
        <v>531</v>
      </c>
      <c r="D245" t="s">
        <v>8</v>
      </c>
      <c r="E245">
        <v>19</v>
      </c>
      <c r="F245" t="str">
        <f t="shared" si="3"/>
        <v>Young</v>
      </c>
      <c r="G245" t="s">
        <v>182</v>
      </c>
      <c r="H245" s="3">
        <v>1074</v>
      </c>
      <c r="I245" t="s">
        <v>4</v>
      </c>
      <c r="J245">
        <v>1</v>
      </c>
    </row>
    <row r="246" spans="1:10" x14ac:dyDescent="0.25">
      <c r="A246" t="s">
        <v>183</v>
      </c>
      <c r="B246" t="s">
        <v>45</v>
      </c>
      <c r="C246" t="s">
        <v>532</v>
      </c>
      <c r="D246" t="s">
        <v>3</v>
      </c>
      <c r="E246">
        <v>38</v>
      </c>
      <c r="F246" t="str">
        <f t="shared" si="3"/>
        <v>Middle Age</v>
      </c>
      <c r="G246" t="s">
        <v>36</v>
      </c>
      <c r="H246" s="3">
        <v>9389</v>
      </c>
      <c r="I246" t="s">
        <v>4</v>
      </c>
      <c r="J246">
        <v>0</v>
      </c>
    </row>
    <row r="247" spans="1:10" x14ac:dyDescent="0.25">
      <c r="A247" t="s">
        <v>179</v>
      </c>
      <c r="B247" t="s">
        <v>74</v>
      </c>
      <c r="C247" t="s">
        <v>533</v>
      </c>
      <c r="D247" t="s">
        <v>3</v>
      </c>
      <c r="E247">
        <v>31</v>
      </c>
      <c r="F247" t="str">
        <f t="shared" si="3"/>
        <v>Middle Age</v>
      </c>
      <c r="G247" t="s">
        <v>82</v>
      </c>
      <c r="H247" s="3">
        <v>4438</v>
      </c>
      <c r="I247" t="s">
        <v>4</v>
      </c>
      <c r="J247">
        <v>3</v>
      </c>
    </row>
    <row r="248" spans="1:10" x14ac:dyDescent="0.25">
      <c r="A248" t="s">
        <v>534</v>
      </c>
      <c r="B248" t="s">
        <v>174</v>
      </c>
      <c r="C248" t="s">
        <v>535</v>
      </c>
      <c r="D248" t="s">
        <v>3</v>
      </c>
      <c r="E248">
        <v>50</v>
      </c>
      <c r="F248" t="str">
        <f t="shared" si="3"/>
        <v>Middle Age</v>
      </c>
      <c r="G248" t="s">
        <v>211</v>
      </c>
      <c r="H248" s="3">
        <v>6852</v>
      </c>
      <c r="I248" t="s">
        <v>4</v>
      </c>
      <c r="J248">
        <v>2</v>
      </c>
    </row>
    <row r="249" spans="1:10" x14ac:dyDescent="0.25">
      <c r="A249" t="s">
        <v>209</v>
      </c>
      <c r="B249" t="s">
        <v>95</v>
      </c>
      <c r="C249" t="s">
        <v>536</v>
      </c>
      <c r="D249" t="s">
        <v>8</v>
      </c>
      <c r="E249">
        <v>50</v>
      </c>
      <c r="F249" t="str">
        <f t="shared" si="3"/>
        <v>Middle Age</v>
      </c>
      <c r="G249" t="s">
        <v>169</v>
      </c>
      <c r="H249" s="3">
        <v>4634</v>
      </c>
      <c r="I249" t="s">
        <v>14</v>
      </c>
      <c r="J249">
        <v>1</v>
      </c>
    </row>
    <row r="250" spans="1:10" x14ac:dyDescent="0.25">
      <c r="A250" t="s">
        <v>537</v>
      </c>
      <c r="B250" t="s">
        <v>116</v>
      </c>
      <c r="C250" t="s">
        <v>538</v>
      </c>
      <c r="D250" t="s">
        <v>3</v>
      </c>
      <c r="E250">
        <v>38</v>
      </c>
      <c r="F250" t="str">
        <f t="shared" si="3"/>
        <v>Middle Age</v>
      </c>
      <c r="G250" t="s">
        <v>114</v>
      </c>
      <c r="H250" s="3">
        <v>3499</v>
      </c>
      <c r="I250" t="s">
        <v>4</v>
      </c>
      <c r="J250">
        <v>3</v>
      </c>
    </row>
    <row r="251" spans="1:10" x14ac:dyDescent="0.25">
      <c r="A251" t="s">
        <v>307</v>
      </c>
      <c r="B251" t="s">
        <v>220</v>
      </c>
      <c r="C251" t="s">
        <v>539</v>
      </c>
      <c r="D251" t="s">
        <v>3</v>
      </c>
      <c r="E251">
        <v>37</v>
      </c>
      <c r="F251" t="str">
        <f t="shared" si="3"/>
        <v>Middle Age</v>
      </c>
      <c r="G251" t="s">
        <v>13</v>
      </c>
      <c r="H251" s="3">
        <v>6212</v>
      </c>
      <c r="I251" t="s">
        <v>14</v>
      </c>
      <c r="J251">
        <v>3</v>
      </c>
    </row>
    <row r="252" spans="1:10" x14ac:dyDescent="0.25">
      <c r="A252" t="s">
        <v>540</v>
      </c>
      <c r="B252" t="s">
        <v>368</v>
      </c>
      <c r="C252" t="s">
        <v>541</v>
      </c>
      <c r="D252" t="s">
        <v>3</v>
      </c>
      <c r="E252">
        <v>32</v>
      </c>
      <c r="F252" t="str">
        <f t="shared" si="3"/>
        <v>Middle Age</v>
      </c>
      <c r="G252" t="s">
        <v>194</v>
      </c>
      <c r="H252" s="3">
        <v>8019</v>
      </c>
      <c r="I252" t="s">
        <v>14</v>
      </c>
      <c r="J252">
        <v>4</v>
      </c>
    </row>
    <row r="253" spans="1:10" x14ac:dyDescent="0.25">
      <c r="A253" t="s">
        <v>336</v>
      </c>
      <c r="B253" t="s">
        <v>305</v>
      </c>
      <c r="C253" t="s">
        <v>542</v>
      </c>
      <c r="D253" t="s">
        <v>8</v>
      </c>
      <c r="E253">
        <v>20</v>
      </c>
      <c r="F253" t="str">
        <f t="shared" si="3"/>
        <v>Young</v>
      </c>
      <c r="G253" t="s">
        <v>194</v>
      </c>
      <c r="H253" s="3">
        <v>9470</v>
      </c>
      <c r="I253" t="s">
        <v>4</v>
      </c>
      <c r="J253">
        <v>4</v>
      </c>
    </row>
    <row r="254" spans="1:10" x14ac:dyDescent="0.25">
      <c r="A254" t="s">
        <v>456</v>
      </c>
      <c r="B254" t="s">
        <v>167</v>
      </c>
      <c r="C254" t="s">
        <v>543</v>
      </c>
      <c r="D254" t="s">
        <v>3</v>
      </c>
      <c r="E254">
        <v>55</v>
      </c>
      <c r="F254" t="str">
        <f t="shared" si="3"/>
        <v>Old</v>
      </c>
      <c r="G254" t="s">
        <v>248</v>
      </c>
      <c r="H254" s="3">
        <v>4171</v>
      </c>
      <c r="I254" t="s">
        <v>4</v>
      </c>
      <c r="J254">
        <v>5</v>
      </c>
    </row>
    <row r="255" spans="1:10" x14ac:dyDescent="0.25">
      <c r="A255" t="s">
        <v>276</v>
      </c>
      <c r="B255" t="s">
        <v>498</v>
      </c>
      <c r="C255" t="s">
        <v>544</v>
      </c>
      <c r="D255" t="s">
        <v>3</v>
      </c>
      <c r="E255">
        <v>25</v>
      </c>
      <c r="F255" t="str">
        <f t="shared" si="3"/>
        <v>Young</v>
      </c>
      <c r="G255" t="s">
        <v>199</v>
      </c>
      <c r="H255" s="3">
        <v>3451</v>
      </c>
      <c r="I255" t="s">
        <v>4</v>
      </c>
      <c r="J255">
        <v>3</v>
      </c>
    </row>
    <row r="256" spans="1:10" x14ac:dyDescent="0.25">
      <c r="A256" t="s">
        <v>545</v>
      </c>
      <c r="B256" t="s">
        <v>57</v>
      </c>
      <c r="C256" t="s">
        <v>546</v>
      </c>
      <c r="D256" t="s">
        <v>8</v>
      </c>
      <c r="E256">
        <v>43</v>
      </c>
      <c r="F256" t="str">
        <f t="shared" si="3"/>
        <v>Middle Age</v>
      </c>
      <c r="G256" t="s">
        <v>256</v>
      </c>
      <c r="H256" s="3">
        <v>6022</v>
      </c>
      <c r="I256" t="s">
        <v>14</v>
      </c>
      <c r="J256">
        <v>4</v>
      </c>
    </row>
    <row r="257" spans="1:10" x14ac:dyDescent="0.25">
      <c r="A257" t="s">
        <v>348</v>
      </c>
      <c r="B257" t="s">
        <v>366</v>
      </c>
      <c r="C257" t="s">
        <v>547</v>
      </c>
      <c r="D257" t="s">
        <v>3</v>
      </c>
      <c r="E257">
        <v>43</v>
      </c>
      <c r="F257" t="str">
        <f t="shared" si="3"/>
        <v>Middle Age</v>
      </c>
      <c r="G257" t="s">
        <v>47</v>
      </c>
      <c r="H257" s="3">
        <v>1711</v>
      </c>
      <c r="I257" t="s">
        <v>4</v>
      </c>
      <c r="J257">
        <v>5</v>
      </c>
    </row>
    <row r="258" spans="1:10" x14ac:dyDescent="0.25">
      <c r="A258" t="s">
        <v>374</v>
      </c>
      <c r="B258" t="s">
        <v>294</v>
      </c>
      <c r="C258" t="s">
        <v>548</v>
      </c>
      <c r="D258" t="s">
        <v>8</v>
      </c>
      <c r="E258">
        <v>54</v>
      </c>
      <c r="F258" t="str">
        <f t="shared" si="3"/>
        <v>Old</v>
      </c>
      <c r="G258" t="s">
        <v>270</v>
      </c>
      <c r="H258" s="3">
        <v>4011</v>
      </c>
      <c r="I258" t="s">
        <v>14</v>
      </c>
      <c r="J258">
        <v>2</v>
      </c>
    </row>
    <row r="259" spans="1:10" x14ac:dyDescent="0.25">
      <c r="A259" t="s">
        <v>419</v>
      </c>
      <c r="B259" t="s">
        <v>277</v>
      </c>
      <c r="C259" t="s">
        <v>549</v>
      </c>
      <c r="D259" t="s">
        <v>8</v>
      </c>
      <c r="E259">
        <v>27</v>
      </c>
      <c r="F259" t="str">
        <f t="shared" ref="F259:F322" si="4">IF(E259&gt;50,"Old",IF(E259&gt;=31,"Middle Age",IF(E259&lt;31,"Young","Invalid")))</f>
        <v>Young</v>
      </c>
      <c r="G259" t="s">
        <v>211</v>
      </c>
      <c r="H259" s="3">
        <v>3025</v>
      </c>
      <c r="I259" t="s">
        <v>4</v>
      </c>
      <c r="J259">
        <v>0</v>
      </c>
    </row>
    <row r="260" spans="1:10" x14ac:dyDescent="0.25">
      <c r="A260" t="s">
        <v>390</v>
      </c>
      <c r="B260" t="s">
        <v>223</v>
      </c>
      <c r="C260" t="s">
        <v>550</v>
      </c>
      <c r="D260" t="s">
        <v>8</v>
      </c>
      <c r="E260">
        <v>49</v>
      </c>
      <c r="F260" t="str">
        <f t="shared" si="4"/>
        <v>Middle Age</v>
      </c>
      <c r="G260" t="s">
        <v>227</v>
      </c>
      <c r="H260" s="3">
        <v>3169</v>
      </c>
      <c r="I260" t="s">
        <v>4</v>
      </c>
      <c r="J260">
        <v>0</v>
      </c>
    </row>
    <row r="261" spans="1:10" x14ac:dyDescent="0.25">
      <c r="A261" t="s">
        <v>551</v>
      </c>
      <c r="B261" t="s">
        <v>552</v>
      </c>
      <c r="C261" t="s">
        <v>553</v>
      </c>
      <c r="D261" t="s">
        <v>8</v>
      </c>
      <c r="E261">
        <v>27</v>
      </c>
      <c r="F261" t="str">
        <f t="shared" si="4"/>
        <v>Young</v>
      </c>
      <c r="G261" t="s">
        <v>217</v>
      </c>
      <c r="H261" s="3">
        <v>2188</v>
      </c>
      <c r="I261" t="s">
        <v>4</v>
      </c>
      <c r="J261">
        <v>1</v>
      </c>
    </row>
    <row r="262" spans="1:10" x14ac:dyDescent="0.25">
      <c r="A262" t="s">
        <v>166</v>
      </c>
      <c r="B262" t="s">
        <v>504</v>
      </c>
      <c r="C262" t="s">
        <v>554</v>
      </c>
      <c r="D262" t="s">
        <v>3</v>
      </c>
      <c r="E262">
        <v>38</v>
      </c>
      <c r="F262" t="str">
        <f t="shared" si="4"/>
        <v>Middle Age</v>
      </c>
      <c r="G262" t="s">
        <v>169</v>
      </c>
      <c r="H262" s="3">
        <v>8664</v>
      </c>
      <c r="I262" t="s">
        <v>4</v>
      </c>
      <c r="J262">
        <v>5</v>
      </c>
    </row>
    <row r="263" spans="1:10" x14ac:dyDescent="0.25">
      <c r="A263" t="s">
        <v>190</v>
      </c>
      <c r="B263" t="s">
        <v>351</v>
      </c>
      <c r="C263" t="s">
        <v>555</v>
      </c>
      <c r="D263" t="s">
        <v>8</v>
      </c>
      <c r="E263">
        <v>18</v>
      </c>
      <c r="F263" t="str">
        <f t="shared" si="4"/>
        <v>Young</v>
      </c>
      <c r="G263" t="s">
        <v>217</v>
      </c>
      <c r="H263" s="3">
        <v>9986</v>
      </c>
      <c r="I263" t="s">
        <v>14</v>
      </c>
      <c r="J263">
        <v>1</v>
      </c>
    </row>
    <row r="264" spans="1:10" x14ac:dyDescent="0.25">
      <c r="A264" t="s">
        <v>26</v>
      </c>
      <c r="B264" t="s">
        <v>556</v>
      </c>
      <c r="C264" t="s">
        <v>557</v>
      </c>
      <c r="D264" t="s">
        <v>8</v>
      </c>
      <c r="E264">
        <v>32</v>
      </c>
      <c r="F264" t="str">
        <f t="shared" si="4"/>
        <v>Middle Age</v>
      </c>
      <c r="G264" t="s">
        <v>266</v>
      </c>
      <c r="H264" s="3">
        <v>9610</v>
      </c>
      <c r="I264" t="s">
        <v>4</v>
      </c>
      <c r="J264">
        <v>2</v>
      </c>
    </row>
    <row r="265" spans="1:10" x14ac:dyDescent="0.25">
      <c r="A265" t="s">
        <v>64</v>
      </c>
      <c r="B265" t="s">
        <v>95</v>
      </c>
      <c r="C265" t="s">
        <v>558</v>
      </c>
      <c r="D265" t="s">
        <v>3</v>
      </c>
      <c r="E265">
        <v>41</v>
      </c>
      <c r="F265" t="str">
        <f t="shared" si="4"/>
        <v>Middle Age</v>
      </c>
      <c r="G265" t="s">
        <v>134</v>
      </c>
      <c r="H265" s="3">
        <v>4136</v>
      </c>
      <c r="I265" t="s">
        <v>14</v>
      </c>
      <c r="J265">
        <v>1</v>
      </c>
    </row>
    <row r="266" spans="1:10" x14ac:dyDescent="0.25">
      <c r="A266" t="s">
        <v>90</v>
      </c>
      <c r="B266" t="s">
        <v>11</v>
      </c>
      <c r="C266" t="s">
        <v>559</v>
      </c>
      <c r="D266" t="s">
        <v>8</v>
      </c>
      <c r="E266">
        <v>39</v>
      </c>
      <c r="F266" t="str">
        <f t="shared" si="4"/>
        <v>Middle Age</v>
      </c>
      <c r="G266" t="s">
        <v>82</v>
      </c>
      <c r="H266" s="3">
        <v>2928</v>
      </c>
      <c r="I266" t="s">
        <v>14</v>
      </c>
      <c r="J266">
        <v>0</v>
      </c>
    </row>
    <row r="267" spans="1:10" x14ac:dyDescent="0.25">
      <c r="A267" t="s">
        <v>560</v>
      </c>
      <c r="B267" t="s">
        <v>561</v>
      </c>
      <c r="C267" t="s">
        <v>562</v>
      </c>
      <c r="D267" t="s">
        <v>8</v>
      </c>
      <c r="E267">
        <v>40</v>
      </c>
      <c r="F267" t="str">
        <f t="shared" si="4"/>
        <v>Middle Age</v>
      </c>
      <c r="G267" t="s">
        <v>118</v>
      </c>
      <c r="H267" s="3">
        <v>1819</v>
      </c>
      <c r="I267" t="s">
        <v>14</v>
      </c>
      <c r="J267">
        <v>3</v>
      </c>
    </row>
    <row r="268" spans="1:10" x14ac:dyDescent="0.25">
      <c r="A268" t="s">
        <v>360</v>
      </c>
      <c r="B268" t="s">
        <v>425</v>
      </c>
      <c r="C268" t="s">
        <v>563</v>
      </c>
      <c r="D268" t="s">
        <v>3</v>
      </c>
      <c r="E268">
        <v>41</v>
      </c>
      <c r="F268" t="str">
        <f t="shared" si="4"/>
        <v>Middle Age</v>
      </c>
      <c r="G268" t="s">
        <v>211</v>
      </c>
      <c r="H268" s="3">
        <v>8209</v>
      </c>
      <c r="I268" t="s">
        <v>14</v>
      </c>
      <c r="J268">
        <v>2</v>
      </c>
    </row>
    <row r="269" spans="1:10" x14ac:dyDescent="0.25">
      <c r="A269" t="s">
        <v>176</v>
      </c>
      <c r="B269" t="s">
        <v>101</v>
      </c>
      <c r="C269" t="s">
        <v>564</v>
      </c>
      <c r="D269" t="s">
        <v>3</v>
      </c>
      <c r="E269">
        <v>48</v>
      </c>
      <c r="F269" t="str">
        <f t="shared" si="4"/>
        <v>Middle Age</v>
      </c>
      <c r="G269" t="s">
        <v>124</v>
      </c>
      <c r="H269" s="3">
        <v>8554</v>
      </c>
      <c r="I269" t="s">
        <v>14</v>
      </c>
      <c r="J269">
        <v>4</v>
      </c>
    </row>
    <row r="270" spans="1:10" x14ac:dyDescent="0.25">
      <c r="A270" t="s">
        <v>155</v>
      </c>
      <c r="B270" t="s">
        <v>392</v>
      </c>
      <c r="C270" t="s">
        <v>565</v>
      </c>
      <c r="D270" t="s">
        <v>3</v>
      </c>
      <c r="E270">
        <v>35</v>
      </c>
      <c r="F270" t="str">
        <f t="shared" si="4"/>
        <v>Middle Age</v>
      </c>
      <c r="G270" t="s">
        <v>86</v>
      </c>
      <c r="H270" s="3">
        <v>7526</v>
      </c>
      <c r="I270" t="s">
        <v>4</v>
      </c>
      <c r="J270">
        <v>2</v>
      </c>
    </row>
    <row r="271" spans="1:10" x14ac:dyDescent="0.25">
      <c r="A271" t="s">
        <v>484</v>
      </c>
      <c r="B271" t="s">
        <v>16</v>
      </c>
      <c r="C271" t="s">
        <v>566</v>
      </c>
      <c r="D271" t="s">
        <v>3</v>
      </c>
      <c r="E271">
        <v>21</v>
      </c>
      <c r="F271" t="str">
        <f t="shared" si="4"/>
        <v>Young</v>
      </c>
      <c r="G271" t="s">
        <v>256</v>
      </c>
      <c r="H271" s="3">
        <v>1799</v>
      </c>
      <c r="I271" t="s">
        <v>4</v>
      </c>
      <c r="J271">
        <v>2</v>
      </c>
    </row>
    <row r="272" spans="1:10" x14ac:dyDescent="0.25">
      <c r="A272" t="s">
        <v>161</v>
      </c>
      <c r="B272" t="s">
        <v>41</v>
      </c>
      <c r="C272" t="s">
        <v>567</v>
      </c>
      <c r="D272" t="s">
        <v>8</v>
      </c>
      <c r="E272">
        <v>55</v>
      </c>
      <c r="F272" t="str">
        <f t="shared" si="4"/>
        <v>Old</v>
      </c>
      <c r="G272" t="s">
        <v>270</v>
      </c>
      <c r="H272" s="3">
        <v>524</v>
      </c>
      <c r="I272" t="s">
        <v>14</v>
      </c>
      <c r="J272">
        <v>2</v>
      </c>
    </row>
    <row r="273" spans="1:10" x14ac:dyDescent="0.25">
      <c r="A273" t="s">
        <v>568</v>
      </c>
      <c r="B273" t="s">
        <v>185</v>
      </c>
      <c r="C273" t="s">
        <v>569</v>
      </c>
      <c r="D273" t="s">
        <v>3</v>
      </c>
      <c r="E273">
        <v>40</v>
      </c>
      <c r="F273" t="str">
        <f t="shared" si="4"/>
        <v>Middle Age</v>
      </c>
      <c r="G273" t="s">
        <v>63</v>
      </c>
      <c r="H273" s="3">
        <v>6717</v>
      </c>
      <c r="I273" t="s">
        <v>14</v>
      </c>
      <c r="J273">
        <v>4</v>
      </c>
    </row>
    <row r="274" spans="1:10" x14ac:dyDescent="0.25">
      <c r="A274" t="s">
        <v>73</v>
      </c>
      <c r="B274" t="s">
        <v>120</v>
      </c>
      <c r="C274" t="s">
        <v>570</v>
      </c>
      <c r="D274" t="s">
        <v>3</v>
      </c>
      <c r="E274">
        <v>52</v>
      </c>
      <c r="F274" t="str">
        <f t="shared" si="4"/>
        <v>Old</v>
      </c>
      <c r="G274" t="s">
        <v>107</v>
      </c>
      <c r="H274" s="3">
        <v>8050</v>
      </c>
      <c r="I274" t="s">
        <v>14</v>
      </c>
      <c r="J274">
        <v>1</v>
      </c>
    </row>
    <row r="275" spans="1:10" x14ac:dyDescent="0.25">
      <c r="A275" t="s">
        <v>273</v>
      </c>
      <c r="B275" t="s">
        <v>463</v>
      </c>
      <c r="C275" t="s">
        <v>571</v>
      </c>
      <c r="D275" t="s">
        <v>3</v>
      </c>
      <c r="E275">
        <v>47</v>
      </c>
      <c r="F275" t="str">
        <f t="shared" si="4"/>
        <v>Middle Age</v>
      </c>
      <c r="G275" t="s">
        <v>128</v>
      </c>
      <c r="H275" s="3">
        <v>3595</v>
      </c>
      <c r="I275" t="s">
        <v>14</v>
      </c>
      <c r="J275">
        <v>0</v>
      </c>
    </row>
    <row r="276" spans="1:10" x14ac:dyDescent="0.25">
      <c r="A276" t="s">
        <v>200</v>
      </c>
      <c r="B276" t="s">
        <v>174</v>
      </c>
      <c r="C276" t="s">
        <v>572</v>
      </c>
      <c r="D276" t="s">
        <v>3</v>
      </c>
      <c r="E276">
        <v>25</v>
      </c>
      <c r="F276" t="str">
        <f t="shared" si="4"/>
        <v>Young</v>
      </c>
      <c r="G276" t="s">
        <v>169</v>
      </c>
      <c r="H276" s="3">
        <v>5234</v>
      </c>
      <c r="I276" t="s">
        <v>4</v>
      </c>
      <c r="J276">
        <v>0</v>
      </c>
    </row>
    <row r="277" spans="1:10" x14ac:dyDescent="0.25">
      <c r="A277" t="s">
        <v>151</v>
      </c>
      <c r="B277" t="s">
        <v>371</v>
      </c>
      <c r="C277" t="s">
        <v>573</v>
      </c>
      <c r="D277" t="s">
        <v>8</v>
      </c>
      <c r="E277">
        <v>18</v>
      </c>
      <c r="F277" t="str">
        <f t="shared" si="4"/>
        <v>Young</v>
      </c>
      <c r="G277" t="s">
        <v>128</v>
      </c>
      <c r="H277" s="3">
        <v>7608</v>
      </c>
      <c r="I277" t="s">
        <v>4</v>
      </c>
      <c r="J277">
        <v>2</v>
      </c>
    </row>
    <row r="278" spans="1:10" x14ac:dyDescent="0.25">
      <c r="A278" t="s">
        <v>155</v>
      </c>
      <c r="B278" t="s">
        <v>71</v>
      </c>
      <c r="C278" t="s">
        <v>574</v>
      </c>
      <c r="D278" t="s">
        <v>3</v>
      </c>
      <c r="E278">
        <v>18</v>
      </c>
      <c r="F278" t="str">
        <f t="shared" si="4"/>
        <v>Young</v>
      </c>
      <c r="G278" t="s">
        <v>197</v>
      </c>
      <c r="H278" s="3">
        <v>6184</v>
      </c>
      <c r="I278" t="s">
        <v>4</v>
      </c>
      <c r="J278">
        <v>2</v>
      </c>
    </row>
    <row r="279" spans="1:10" x14ac:dyDescent="0.25">
      <c r="A279" t="s">
        <v>408</v>
      </c>
      <c r="B279" t="s">
        <v>371</v>
      </c>
      <c r="C279" t="s">
        <v>575</v>
      </c>
      <c r="D279" t="s">
        <v>3</v>
      </c>
      <c r="E279">
        <v>18</v>
      </c>
      <c r="F279" t="str">
        <f t="shared" si="4"/>
        <v>Young</v>
      </c>
      <c r="G279" t="s">
        <v>248</v>
      </c>
      <c r="H279" s="3">
        <v>9585</v>
      </c>
      <c r="I279" t="s">
        <v>14</v>
      </c>
      <c r="J279">
        <v>5</v>
      </c>
    </row>
    <row r="280" spans="1:10" x14ac:dyDescent="0.25">
      <c r="A280" t="s">
        <v>576</v>
      </c>
      <c r="B280" t="s">
        <v>180</v>
      </c>
      <c r="C280" t="s">
        <v>577</v>
      </c>
      <c r="D280" t="s">
        <v>3</v>
      </c>
      <c r="E280">
        <v>51</v>
      </c>
      <c r="F280" t="str">
        <f t="shared" si="4"/>
        <v>Old</v>
      </c>
      <c r="G280" t="s">
        <v>36</v>
      </c>
      <c r="H280" s="3">
        <v>4847</v>
      </c>
      <c r="I280" t="s">
        <v>14</v>
      </c>
      <c r="J280">
        <v>3</v>
      </c>
    </row>
    <row r="281" spans="1:10" x14ac:dyDescent="0.25">
      <c r="A281" t="s">
        <v>254</v>
      </c>
      <c r="B281" t="s">
        <v>251</v>
      </c>
      <c r="C281" t="s">
        <v>578</v>
      </c>
      <c r="D281" t="s">
        <v>3</v>
      </c>
      <c r="E281">
        <v>40</v>
      </c>
      <c r="F281" t="str">
        <f t="shared" si="4"/>
        <v>Middle Age</v>
      </c>
      <c r="G281" t="s">
        <v>199</v>
      </c>
      <c r="H281" s="3">
        <v>7382</v>
      </c>
      <c r="I281" t="s">
        <v>14</v>
      </c>
      <c r="J281">
        <v>3</v>
      </c>
    </row>
    <row r="282" spans="1:10" x14ac:dyDescent="0.25">
      <c r="A282" t="s">
        <v>97</v>
      </c>
      <c r="B282" t="s">
        <v>334</v>
      </c>
      <c r="C282" t="s">
        <v>579</v>
      </c>
      <c r="D282" t="s">
        <v>8</v>
      </c>
      <c r="E282">
        <v>57</v>
      </c>
      <c r="F282" t="str">
        <f t="shared" si="4"/>
        <v>Old</v>
      </c>
      <c r="G282" t="s">
        <v>29</v>
      </c>
      <c r="H282" s="3">
        <v>3757</v>
      </c>
      <c r="I282" t="s">
        <v>14</v>
      </c>
      <c r="J282">
        <v>3</v>
      </c>
    </row>
    <row r="283" spans="1:10" x14ac:dyDescent="0.25">
      <c r="A283" t="s">
        <v>56</v>
      </c>
      <c r="B283" t="s">
        <v>580</v>
      </c>
      <c r="C283" t="s">
        <v>581</v>
      </c>
      <c r="D283" t="s">
        <v>8</v>
      </c>
      <c r="E283">
        <v>47</v>
      </c>
      <c r="F283" t="str">
        <f t="shared" si="4"/>
        <v>Middle Age</v>
      </c>
      <c r="G283" t="s">
        <v>160</v>
      </c>
      <c r="H283" s="3">
        <v>4905</v>
      </c>
      <c r="I283" t="s">
        <v>14</v>
      </c>
      <c r="J283">
        <v>3</v>
      </c>
    </row>
    <row r="284" spans="1:10" x14ac:dyDescent="0.25">
      <c r="A284" t="s">
        <v>339</v>
      </c>
      <c r="B284" t="s">
        <v>148</v>
      </c>
      <c r="C284" t="s">
        <v>582</v>
      </c>
      <c r="D284" t="s">
        <v>8</v>
      </c>
      <c r="E284">
        <v>48</v>
      </c>
      <c r="F284" t="str">
        <f t="shared" si="4"/>
        <v>Middle Age</v>
      </c>
      <c r="G284" t="s">
        <v>134</v>
      </c>
      <c r="H284" s="3">
        <v>8142</v>
      </c>
      <c r="I284" t="s">
        <v>4</v>
      </c>
      <c r="J284">
        <v>4</v>
      </c>
    </row>
    <row r="285" spans="1:10" x14ac:dyDescent="0.25">
      <c r="A285" t="s">
        <v>166</v>
      </c>
      <c r="B285" t="s">
        <v>98</v>
      </c>
      <c r="C285" t="s">
        <v>583</v>
      </c>
      <c r="D285" t="s">
        <v>3</v>
      </c>
      <c r="E285">
        <v>50</v>
      </c>
      <c r="F285" t="str">
        <f t="shared" si="4"/>
        <v>Middle Age</v>
      </c>
      <c r="G285" t="s">
        <v>21</v>
      </c>
      <c r="H285" s="3">
        <v>6316</v>
      </c>
      <c r="I285" t="s">
        <v>4</v>
      </c>
      <c r="J285">
        <v>5</v>
      </c>
    </row>
    <row r="286" spans="1:10" x14ac:dyDescent="0.25">
      <c r="A286" t="s">
        <v>48</v>
      </c>
      <c r="B286" t="s">
        <v>49</v>
      </c>
      <c r="C286" t="s">
        <v>50</v>
      </c>
      <c r="D286" t="s">
        <v>8</v>
      </c>
      <c r="E286">
        <v>41</v>
      </c>
      <c r="F286" t="str">
        <f t="shared" si="4"/>
        <v>Middle Age</v>
      </c>
      <c r="G286" t="s">
        <v>114</v>
      </c>
      <c r="H286" s="3">
        <v>3266</v>
      </c>
      <c r="I286" t="s">
        <v>14</v>
      </c>
      <c r="J286">
        <v>2</v>
      </c>
    </row>
    <row r="287" spans="1:10" x14ac:dyDescent="0.25">
      <c r="A287" t="s">
        <v>584</v>
      </c>
      <c r="B287" t="s">
        <v>126</v>
      </c>
      <c r="C287" t="s">
        <v>585</v>
      </c>
      <c r="D287" t="s">
        <v>3</v>
      </c>
      <c r="E287">
        <v>36</v>
      </c>
      <c r="F287" t="str">
        <f t="shared" si="4"/>
        <v>Middle Age</v>
      </c>
      <c r="G287" t="s">
        <v>51</v>
      </c>
      <c r="H287" s="3">
        <v>8194</v>
      </c>
      <c r="I287" t="s">
        <v>14</v>
      </c>
      <c r="J287">
        <v>1</v>
      </c>
    </row>
    <row r="288" spans="1:10" x14ac:dyDescent="0.25">
      <c r="A288" t="s">
        <v>383</v>
      </c>
      <c r="B288" t="s">
        <v>136</v>
      </c>
      <c r="C288" t="s">
        <v>586</v>
      </c>
      <c r="D288" t="s">
        <v>3</v>
      </c>
      <c r="E288">
        <v>49</v>
      </c>
      <c r="F288" t="str">
        <f t="shared" si="4"/>
        <v>Middle Age</v>
      </c>
      <c r="G288" t="s">
        <v>248</v>
      </c>
      <c r="H288" s="3">
        <v>7997</v>
      </c>
      <c r="I288" t="s">
        <v>4</v>
      </c>
      <c r="J288">
        <v>1</v>
      </c>
    </row>
    <row r="289" spans="1:10" x14ac:dyDescent="0.25">
      <c r="A289" t="s">
        <v>339</v>
      </c>
      <c r="B289" t="s">
        <v>478</v>
      </c>
      <c r="C289" t="s">
        <v>587</v>
      </c>
      <c r="D289" t="s">
        <v>8</v>
      </c>
      <c r="E289">
        <v>54</v>
      </c>
      <c r="F289" t="str">
        <f t="shared" si="4"/>
        <v>Old</v>
      </c>
      <c r="G289" t="s">
        <v>199</v>
      </c>
      <c r="H289" s="3">
        <v>807</v>
      </c>
      <c r="I289" t="s">
        <v>14</v>
      </c>
      <c r="J289">
        <v>3</v>
      </c>
    </row>
    <row r="290" spans="1:10" x14ac:dyDescent="0.25">
      <c r="A290" t="s">
        <v>73</v>
      </c>
      <c r="B290" t="s">
        <v>95</v>
      </c>
      <c r="C290" t="s">
        <v>588</v>
      </c>
      <c r="D290" t="s">
        <v>3</v>
      </c>
      <c r="E290">
        <v>49</v>
      </c>
      <c r="F290" t="str">
        <f t="shared" si="4"/>
        <v>Middle Age</v>
      </c>
      <c r="G290" t="s">
        <v>134</v>
      </c>
      <c r="H290" s="3">
        <v>8619</v>
      </c>
      <c r="I290" t="s">
        <v>4</v>
      </c>
      <c r="J290">
        <v>1</v>
      </c>
    </row>
    <row r="291" spans="1:10" x14ac:dyDescent="0.25">
      <c r="A291" t="s">
        <v>461</v>
      </c>
      <c r="B291" t="s">
        <v>478</v>
      </c>
      <c r="C291" t="s">
        <v>589</v>
      </c>
      <c r="D291" t="s">
        <v>8</v>
      </c>
      <c r="E291">
        <v>22</v>
      </c>
      <c r="F291" t="str">
        <f t="shared" si="4"/>
        <v>Young</v>
      </c>
      <c r="G291" t="s">
        <v>303</v>
      </c>
      <c r="H291" s="3">
        <v>3268</v>
      </c>
      <c r="I291" t="s">
        <v>14</v>
      </c>
      <c r="J291">
        <v>4</v>
      </c>
    </row>
    <row r="292" spans="1:10" x14ac:dyDescent="0.25">
      <c r="A292" t="s">
        <v>183</v>
      </c>
      <c r="B292" t="s">
        <v>91</v>
      </c>
      <c r="C292" t="s">
        <v>590</v>
      </c>
      <c r="D292" t="s">
        <v>3</v>
      </c>
      <c r="E292">
        <v>28</v>
      </c>
      <c r="F292" t="str">
        <f t="shared" si="4"/>
        <v>Young</v>
      </c>
      <c r="G292" t="s">
        <v>256</v>
      </c>
      <c r="H292" s="3">
        <v>7932</v>
      </c>
      <c r="I292" t="s">
        <v>4</v>
      </c>
      <c r="J292">
        <v>3</v>
      </c>
    </row>
    <row r="293" spans="1:10" x14ac:dyDescent="0.25">
      <c r="A293" t="s">
        <v>591</v>
      </c>
      <c r="B293" t="s">
        <v>340</v>
      </c>
      <c r="C293" t="s">
        <v>592</v>
      </c>
      <c r="D293" t="s">
        <v>8</v>
      </c>
      <c r="E293">
        <v>21</v>
      </c>
      <c r="F293" t="str">
        <f t="shared" si="4"/>
        <v>Young</v>
      </c>
      <c r="G293" t="s">
        <v>32</v>
      </c>
      <c r="H293" s="3">
        <v>9520</v>
      </c>
      <c r="I293" t="s">
        <v>14</v>
      </c>
      <c r="J293">
        <v>2</v>
      </c>
    </row>
    <row r="294" spans="1:10" x14ac:dyDescent="0.25">
      <c r="A294" t="s">
        <v>333</v>
      </c>
      <c r="B294" t="s">
        <v>261</v>
      </c>
      <c r="C294" t="s">
        <v>593</v>
      </c>
      <c r="D294" t="s">
        <v>3</v>
      </c>
      <c r="E294">
        <v>57</v>
      </c>
      <c r="F294" t="str">
        <f t="shared" si="4"/>
        <v>Old</v>
      </c>
      <c r="G294" t="s">
        <v>124</v>
      </c>
      <c r="H294" s="3">
        <v>9573</v>
      </c>
      <c r="I294" t="s">
        <v>4</v>
      </c>
      <c r="J294">
        <v>1</v>
      </c>
    </row>
    <row r="295" spans="1:10" x14ac:dyDescent="0.25">
      <c r="A295" t="s">
        <v>60</v>
      </c>
      <c r="B295" t="s">
        <v>552</v>
      </c>
      <c r="C295" t="s">
        <v>594</v>
      </c>
      <c r="D295" t="s">
        <v>3</v>
      </c>
      <c r="E295">
        <v>23</v>
      </c>
      <c r="F295" t="str">
        <f t="shared" si="4"/>
        <v>Young</v>
      </c>
      <c r="G295" t="s">
        <v>43</v>
      </c>
      <c r="H295" s="3">
        <v>3609</v>
      </c>
      <c r="I295" t="s">
        <v>14</v>
      </c>
      <c r="J295">
        <v>2</v>
      </c>
    </row>
    <row r="296" spans="1:10" x14ac:dyDescent="0.25">
      <c r="A296" t="s">
        <v>595</v>
      </c>
      <c r="B296" t="s">
        <v>530</v>
      </c>
      <c r="C296" t="s">
        <v>596</v>
      </c>
      <c r="D296" t="s">
        <v>8</v>
      </c>
      <c r="E296">
        <v>54</v>
      </c>
      <c r="F296" t="str">
        <f t="shared" si="4"/>
        <v>Old</v>
      </c>
      <c r="G296" t="s">
        <v>107</v>
      </c>
      <c r="H296" s="3">
        <v>2824</v>
      </c>
      <c r="I296" t="s">
        <v>14</v>
      </c>
      <c r="J296">
        <v>3</v>
      </c>
    </row>
    <row r="297" spans="1:10" x14ac:dyDescent="0.25">
      <c r="A297" t="s">
        <v>348</v>
      </c>
      <c r="B297" t="s">
        <v>98</v>
      </c>
      <c r="C297" t="s">
        <v>597</v>
      </c>
      <c r="D297" t="s">
        <v>3</v>
      </c>
      <c r="E297">
        <v>29</v>
      </c>
      <c r="F297" t="str">
        <f t="shared" si="4"/>
        <v>Young</v>
      </c>
      <c r="G297" t="s">
        <v>86</v>
      </c>
      <c r="H297" s="3">
        <v>8221</v>
      </c>
      <c r="I297" t="s">
        <v>4</v>
      </c>
      <c r="J297">
        <v>5</v>
      </c>
    </row>
    <row r="298" spans="1:10" x14ac:dyDescent="0.25">
      <c r="A298" t="s">
        <v>379</v>
      </c>
      <c r="B298" t="s">
        <v>317</v>
      </c>
      <c r="C298" t="s">
        <v>598</v>
      </c>
      <c r="D298" t="s">
        <v>8</v>
      </c>
      <c r="E298">
        <v>49</v>
      </c>
      <c r="F298" t="str">
        <f t="shared" si="4"/>
        <v>Middle Age</v>
      </c>
      <c r="G298" t="s">
        <v>63</v>
      </c>
      <c r="H298" s="3">
        <v>1904</v>
      </c>
      <c r="I298" t="s">
        <v>4</v>
      </c>
      <c r="J298">
        <v>1</v>
      </c>
    </row>
    <row r="299" spans="1:10" x14ac:dyDescent="0.25">
      <c r="A299" t="s">
        <v>273</v>
      </c>
      <c r="B299" t="s">
        <v>324</v>
      </c>
      <c r="C299" t="s">
        <v>599</v>
      </c>
      <c r="D299" t="s">
        <v>3</v>
      </c>
      <c r="E299">
        <v>42</v>
      </c>
      <c r="F299" t="str">
        <f t="shared" si="4"/>
        <v>Middle Age</v>
      </c>
      <c r="G299" t="s">
        <v>9</v>
      </c>
      <c r="H299" s="3">
        <v>5687</v>
      </c>
      <c r="I299" t="s">
        <v>4</v>
      </c>
      <c r="J299">
        <v>0</v>
      </c>
    </row>
    <row r="300" spans="1:10" x14ac:dyDescent="0.25">
      <c r="A300" t="s">
        <v>192</v>
      </c>
      <c r="B300" t="s">
        <v>600</v>
      </c>
      <c r="C300" t="s">
        <v>601</v>
      </c>
      <c r="D300" t="s">
        <v>8</v>
      </c>
      <c r="E300">
        <v>24</v>
      </c>
      <c r="F300" t="str">
        <f t="shared" si="4"/>
        <v>Young</v>
      </c>
      <c r="G300" t="s">
        <v>150</v>
      </c>
      <c r="H300" s="3">
        <v>8616</v>
      </c>
      <c r="I300" t="s">
        <v>14</v>
      </c>
      <c r="J300">
        <v>4</v>
      </c>
    </row>
    <row r="301" spans="1:10" x14ac:dyDescent="0.25">
      <c r="A301" t="s">
        <v>218</v>
      </c>
      <c r="B301" t="s">
        <v>351</v>
      </c>
      <c r="C301" t="s">
        <v>602</v>
      </c>
      <c r="D301" t="s">
        <v>3</v>
      </c>
      <c r="E301">
        <v>32</v>
      </c>
      <c r="F301" t="str">
        <f t="shared" si="4"/>
        <v>Middle Age</v>
      </c>
      <c r="G301" t="s">
        <v>182</v>
      </c>
      <c r="H301" s="3">
        <v>8786</v>
      </c>
      <c r="I301" t="s">
        <v>4</v>
      </c>
      <c r="J301">
        <v>3</v>
      </c>
    </row>
    <row r="302" spans="1:10" x14ac:dyDescent="0.25">
      <c r="A302" t="s">
        <v>603</v>
      </c>
      <c r="B302" t="s">
        <v>604</v>
      </c>
      <c r="C302" t="s">
        <v>605</v>
      </c>
      <c r="D302" t="s">
        <v>8</v>
      </c>
      <c r="E302">
        <v>40</v>
      </c>
      <c r="F302" t="str">
        <f t="shared" si="4"/>
        <v>Middle Age</v>
      </c>
      <c r="G302" t="s">
        <v>197</v>
      </c>
      <c r="H302" s="3">
        <v>8850</v>
      </c>
      <c r="I302" t="s">
        <v>14</v>
      </c>
      <c r="J302">
        <v>1</v>
      </c>
    </row>
    <row r="303" spans="1:10" x14ac:dyDescent="0.25">
      <c r="A303" t="s">
        <v>263</v>
      </c>
      <c r="B303" t="s">
        <v>136</v>
      </c>
      <c r="C303" t="s">
        <v>606</v>
      </c>
      <c r="D303" t="s">
        <v>3</v>
      </c>
      <c r="E303">
        <v>41</v>
      </c>
      <c r="F303" t="str">
        <f t="shared" si="4"/>
        <v>Middle Age</v>
      </c>
      <c r="G303" t="s">
        <v>9</v>
      </c>
      <c r="H303" s="3">
        <v>2654</v>
      </c>
      <c r="I303" t="s">
        <v>4</v>
      </c>
      <c r="J303">
        <v>2</v>
      </c>
    </row>
    <row r="304" spans="1:10" x14ac:dyDescent="0.25">
      <c r="A304" t="s">
        <v>437</v>
      </c>
      <c r="B304" t="s">
        <v>351</v>
      </c>
      <c r="C304" t="s">
        <v>607</v>
      </c>
      <c r="D304" t="s">
        <v>8</v>
      </c>
      <c r="E304">
        <v>37</v>
      </c>
      <c r="F304" t="str">
        <f t="shared" si="4"/>
        <v>Middle Age</v>
      </c>
      <c r="G304" t="s">
        <v>103</v>
      </c>
      <c r="H304" s="3">
        <v>838</v>
      </c>
      <c r="I304" t="s">
        <v>14</v>
      </c>
      <c r="J304">
        <v>2</v>
      </c>
    </row>
    <row r="305" spans="1:10" x14ac:dyDescent="0.25">
      <c r="A305" t="s">
        <v>608</v>
      </c>
      <c r="B305" t="s">
        <v>425</v>
      </c>
      <c r="C305" t="s">
        <v>609</v>
      </c>
      <c r="D305" t="s">
        <v>3</v>
      </c>
      <c r="E305">
        <v>47</v>
      </c>
      <c r="F305" t="str">
        <f t="shared" si="4"/>
        <v>Middle Age</v>
      </c>
      <c r="G305" t="s">
        <v>131</v>
      </c>
      <c r="H305" s="3">
        <v>6344</v>
      </c>
      <c r="I305" t="s">
        <v>14</v>
      </c>
      <c r="J305">
        <v>2</v>
      </c>
    </row>
    <row r="306" spans="1:10" x14ac:dyDescent="0.25">
      <c r="A306" t="s">
        <v>228</v>
      </c>
      <c r="B306" t="s">
        <v>308</v>
      </c>
      <c r="C306" t="s">
        <v>610</v>
      </c>
      <c r="D306" t="s">
        <v>8</v>
      </c>
      <c r="E306">
        <v>30</v>
      </c>
      <c r="F306" t="str">
        <f t="shared" si="4"/>
        <v>Young</v>
      </c>
      <c r="G306" t="s">
        <v>80</v>
      </c>
      <c r="H306" s="3">
        <v>1420</v>
      </c>
      <c r="I306" t="s">
        <v>14</v>
      </c>
      <c r="J306">
        <v>5</v>
      </c>
    </row>
    <row r="307" spans="1:10" x14ac:dyDescent="0.25">
      <c r="A307" t="s">
        <v>339</v>
      </c>
      <c r="B307" t="s">
        <v>358</v>
      </c>
      <c r="C307" t="s">
        <v>611</v>
      </c>
      <c r="D307" t="s">
        <v>8</v>
      </c>
      <c r="E307">
        <v>50</v>
      </c>
      <c r="F307" t="str">
        <f t="shared" si="4"/>
        <v>Middle Age</v>
      </c>
      <c r="G307" t="s">
        <v>43</v>
      </c>
      <c r="H307" s="3">
        <v>7788</v>
      </c>
      <c r="I307" t="s">
        <v>14</v>
      </c>
      <c r="J307">
        <v>3</v>
      </c>
    </row>
    <row r="308" spans="1:10" x14ac:dyDescent="0.25">
      <c r="A308" t="s">
        <v>183</v>
      </c>
      <c r="B308" t="s">
        <v>433</v>
      </c>
      <c r="C308" t="s">
        <v>612</v>
      </c>
      <c r="D308" t="s">
        <v>3</v>
      </c>
      <c r="E308">
        <v>58</v>
      </c>
      <c r="F308" t="str">
        <f t="shared" si="4"/>
        <v>Old</v>
      </c>
      <c r="G308" t="s">
        <v>51</v>
      </c>
      <c r="H308" s="3">
        <v>9246</v>
      </c>
      <c r="I308" t="s">
        <v>4</v>
      </c>
      <c r="J308">
        <v>5</v>
      </c>
    </row>
    <row r="309" spans="1:10" x14ac:dyDescent="0.25">
      <c r="A309" t="s">
        <v>282</v>
      </c>
      <c r="B309" t="s">
        <v>361</v>
      </c>
      <c r="C309" t="s">
        <v>613</v>
      </c>
      <c r="D309" t="s">
        <v>8</v>
      </c>
      <c r="E309">
        <v>46</v>
      </c>
      <c r="F309" t="str">
        <f t="shared" si="4"/>
        <v>Middle Age</v>
      </c>
      <c r="G309" t="s">
        <v>131</v>
      </c>
      <c r="H309" s="3">
        <v>709</v>
      </c>
      <c r="I309" t="s">
        <v>14</v>
      </c>
      <c r="J309">
        <v>4</v>
      </c>
    </row>
    <row r="310" spans="1:10" x14ac:dyDescent="0.25">
      <c r="A310" t="s">
        <v>614</v>
      </c>
      <c r="B310" t="s">
        <v>459</v>
      </c>
      <c r="C310" t="s">
        <v>615</v>
      </c>
      <c r="D310" t="s">
        <v>8</v>
      </c>
      <c r="E310">
        <v>38</v>
      </c>
      <c r="F310" t="str">
        <f t="shared" si="4"/>
        <v>Middle Age</v>
      </c>
      <c r="G310" t="s">
        <v>76</v>
      </c>
      <c r="H310" s="3">
        <v>520</v>
      </c>
      <c r="I310" t="s">
        <v>14</v>
      </c>
      <c r="J310">
        <v>5</v>
      </c>
    </row>
    <row r="311" spans="1:10" x14ac:dyDescent="0.25">
      <c r="A311" t="s">
        <v>383</v>
      </c>
      <c r="B311" t="s">
        <v>552</v>
      </c>
      <c r="C311" t="s">
        <v>616</v>
      </c>
      <c r="D311" t="s">
        <v>3</v>
      </c>
      <c r="E311">
        <v>54</v>
      </c>
      <c r="F311" t="str">
        <f t="shared" si="4"/>
        <v>Old</v>
      </c>
      <c r="G311" t="s">
        <v>47</v>
      </c>
      <c r="H311" s="3">
        <v>8443</v>
      </c>
      <c r="I311" t="s">
        <v>4</v>
      </c>
      <c r="J311">
        <v>4</v>
      </c>
    </row>
    <row r="312" spans="1:10" x14ac:dyDescent="0.25">
      <c r="A312" t="s">
        <v>330</v>
      </c>
      <c r="B312" t="s">
        <v>324</v>
      </c>
      <c r="C312" t="s">
        <v>617</v>
      </c>
      <c r="D312" t="s">
        <v>8</v>
      </c>
      <c r="E312">
        <v>32</v>
      </c>
      <c r="F312" t="str">
        <f t="shared" si="4"/>
        <v>Middle Age</v>
      </c>
      <c r="G312" t="s">
        <v>270</v>
      </c>
      <c r="H312" s="3">
        <v>4131</v>
      </c>
      <c r="I312" t="s">
        <v>4</v>
      </c>
      <c r="J312">
        <v>1</v>
      </c>
    </row>
    <row r="313" spans="1:10" x14ac:dyDescent="0.25">
      <c r="A313" t="s">
        <v>104</v>
      </c>
      <c r="B313" t="s">
        <v>11</v>
      </c>
      <c r="C313" t="s">
        <v>618</v>
      </c>
      <c r="D313" t="s">
        <v>3</v>
      </c>
      <c r="E313">
        <v>46</v>
      </c>
      <c r="F313" t="str">
        <f t="shared" si="4"/>
        <v>Middle Age</v>
      </c>
      <c r="G313" t="s">
        <v>134</v>
      </c>
      <c r="H313" s="3">
        <v>8572</v>
      </c>
      <c r="I313" t="s">
        <v>14</v>
      </c>
      <c r="J313">
        <v>1</v>
      </c>
    </row>
    <row r="314" spans="1:10" x14ac:dyDescent="0.25">
      <c r="A314" t="s">
        <v>173</v>
      </c>
      <c r="B314" t="s">
        <v>249</v>
      </c>
      <c r="C314" t="s">
        <v>619</v>
      </c>
      <c r="D314" t="s">
        <v>3</v>
      </c>
      <c r="E314">
        <v>57</v>
      </c>
      <c r="F314" t="str">
        <f t="shared" si="4"/>
        <v>Old</v>
      </c>
      <c r="G314" t="s">
        <v>187</v>
      </c>
      <c r="H314" s="3">
        <v>7500</v>
      </c>
      <c r="I314" t="s">
        <v>14</v>
      </c>
      <c r="J314">
        <v>4</v>
      </c>
    </row>
    <row r="315" spans="1:10" x14ac:dyDescent="0.25">
      <c r="A315" t="s">
        <v>154</v>
      </c>
      <c r="B315" t="s">
        <v>561</v>
      </c>
      <c r="C315" t="s">
        <v>620</v>
      </c>
      <c r="D315" t="s">
        <v>8</v>
      </c>
      <c r="E315">
        <v>48</v>
      </c>
      <c r="F315" t="str">
        <f t="shared" si="4"/>
        <v>Middle Age</v>
      </c>
      <c r="G315" t="s">
        <v>373</v>
      </c>
      <c r="H315" s="3">
        <v>7148</v>
      </c>
      <c r="I315" t="s">
        <v>4</v>
      </c>
      <c r="J315">
        <v>3</v>
      </c>
    </row>
    <row r="316" spans="1:10" x14ac:dyDescent="0.25">
      <c r="A316" t="s">
        <v>30</v>
      </c>
      <c r="B316" t="s">
        <v>88</v>
      </c>
      <c r="C316" t="s">
        <v>621</v>
      </c>
      <c r="D316" t="s">
        <v>3</v>
      </c>
      <c r="E316">
        <v>49</v>
      </c>
      <c r="F316" t="str">
        <f t="shared" si="4"/>
        <v>Middle Age</v>
      </c>
      <c r="G316" t="s">
        <v>103</v>
      </c>
      <c r="H316" s="3">
        <v>2920</v>
      </c>
      <c r="I316" t="s">
        <v>14</v>
      </c>
      <c r="J316">
        <v>4</v>
      </c>
    </row>
    <row r="317" spans="1:10" x14ac:dyDescent="0.25">
      <c r="A317" t="s">
        <v>510</v>
      </c>
      <c r="B317" t="s">
        <v>622</v>
      </c>
      <c r="C317" t="s">
        <v>623</v>
      </c>
      <c r="D317" t="s">
        <v>8</v>
      </c>
      <c r="E317">
        <v>47</v>
      </c>
      <c r="F317" t="str">
        <f t="shared" si="4"/>
        <v>Middle Age</v>
      </c>
      <c r="G317" t="s">
        <v>150</v>
      </c>
      <c r="H317" s="3">
        <v>692</v>
      </c>
      <c r="I317" t="s">
        <v>4</v>
      </c>
      <c r="J317">
        <v>4</v>
      </c>
    </row>
    <row r="318" spans="1:10" x14ac:dyDescent="0.25">
      <c r="A318" t="s">
        <v>534</v>
      </c>
      <c r="B318" t="s">
        <v>220</v>
      </c>
      <c r="C318" t="s">
        <v>624</v>
      </c>
      <c r="D318" t="s">
        <v>3</v>
      </c>
      <c r="E318">
        <v>33</v>
      </c>
      <c r="F318" t="str">
        <f t="shared" si="4"/>
        <v>Middle Age</v>
      </c>
      <c r="G318" t="s">
        <v>128</v>
      </c>
      <c r="H318" s="3">
        <v>2826</v>
      </c>
      <c r="I318" t="s">
        <v>14</v>
      </c>
      <c r="J318">
        <v>0</v>
      </c>
    </row>
    <row r="319" spans="1:10" x14ac:dyDescent="0.25">
      <c r="A319" t="s">
        <v>625</v>
      </c>
      <c r="B319" t="s">
        <v>409</v>
      </c>
      <c r="C319" t="s">
        <v>626</v>
      </c>
      <c r="D319" t="s">
        <v>3</v>
      </c>
      <c r="E319">
        <v>29</v>
      </c>
      <c r="F319" t="str">
        <f t="shared" si="4"/>
        <v>Young</v>
      </c>
      <c r="G319" t="s">
        <v>21</v>
      </c>
      <c r="H319" s="3">
        <v>7289</v>
      </c>
      <c r="I319" t="s">
        <v>14</v>
      </c>
      <c r="J319">
        <v>1</v>
      </c>
    </row>
    <row r="320" spans="1:10" x14ac:dyDescent="0.25">
      <c r="A320" t="s">
        <v>507</v>
      </c>
      <c r="B320" t="s">
        <v>71</v>
      </c>
      <c r="C320" t="s">
        <v>627</v>
      </c>
      <c r="D320" t="s">
        <v>8</v>
      </c>
      <c r="E320">
        <v>42</v>
      </c>
      <c r="F320" t="str">
        <f t="shared" si="4"/>
        <v>Middle Age</v>
      </c>
      <c r="G320" t="s">
        <v>69</v>
      </c>
      <c r="H320" s="3">
        <v>4306</v>
      </c>
      <c r="I320" t="s">
        <v>14</v>
      </c>
      <c r="J320">
        <v>4</v>
      </c>
    </row>
    <row r="321" spans="1:10" x14ac:dyDescent="0.25">
      <c r="A321" t="s">
        <v>108</v>
      </c>
      <c r="B321" t="s">
        <v>88</v>
      </c>
      <c r="C321" t="s">
        <v>628</v>
      </c>
      <c r="D321" t="s">
        <v>3</v>
      </c>
      <c r="E321">
        <v>57</v>
      </c>
      <c r="F321" t="str">
        <f t="shared" si="4"/>
        <v>Old</v>
      </c>
      <c r="G321" t="s">
        <v>234</v>
      </c>
      <c r="H321" s="3">
        <v>9129</v>
      </c>
      <c r="I321" t="s">
        <v>14</v>
      </c>
      <c r="J321">
        <v>3</v>
      </c>
    </row>
    <row r="322" spans="1:10" x14ac:dyDescent="0.25">
      <c r="A322" t="s">
        <v>192</v>
      </c>
      <c r="B322" t="s">
        <v>513</v>
      </c>
      <c r="C322" t="s">
        <v>629</v>
      </c>
      <c r="D322" t="s">
        <v>8</v>
      </c>
      <c r="E322">
        <v>29</v>
      </c>
      <c r="F322" t="str">
        <f t="shared" si="4"/>
        <v>Young</v>
      </c>
      <c r="G322" t="s">
        <v>217</v>
      </c>
      <c r="H322" s="3">
        <v>8263</v>
      </c>
      <c r="I322" t="s">
        <v>4</v>
      </c>
      <c r="J322">
        <v>5</v>
      </c>
    </row>
    <row r="323" spans="1:10" x14ac:dyDescent="0.25">
      <c r="A323" t="s">
        <v>209</v>
      </c>
      <c r="B323" t="s">
        <v>392</v>
      </c>
      <c r="C323" t="s">
        <v>630</v>
      </c>
      <c r="D323" t="s">
        <v>8</v>
      </c>
      <c r="E323">
        <v>35</v>
      </c>
      <c r="F323" t="str">
        <f t="shared" ref="F323:F386" si="5">IF(E323&gt;50,"Old",IF(E323&gt;=31,"Middle Age",IF(E323&lt;31,"Young","Invalid")))</f>
        <v>Middle Age</v>
      </c>
      <c r="G323" t="s">
        <v>29</v>
      </c>
      <c r="H323" s="3">
        <v>3797</v>
      </c>
      <c r="I323" t="s">
        <v>14</v>
      </c>
      <c r="J323">
        <v>3</v>
      </c>
    </row>
    <row r="324" spans="1:10" x14ac:dyDescent="0.25">
      <c r="A324" t="s">
        <v>529</v>
      </c>
      <c r="B324" t="s">
        <v>142</v>
      </c>
      <c r="C324" t="s">
        <v>631</v>
      </c>
      <c r="D324" t="s">
        <v>8</v>
      </c>
      <c r="E324">
        <v>38</v>
      </c>
      <c r="F324" t="str">
        <f t="shared" si="5"/>
        <v>Middle Age</v>
      </c>
      <c r="G324" t="s">
        <v>382</v>
      </c>
      <c r="H324" s="3">
        <v>8337</v>
      </c>
      <c r="I324" t="s">
        <v>4</v>
      </c>
      <c r="J324">
        <v>2</v>
      </c>
    </row>
    <row r="325" spans="1:10" x14ac:dyDescent="0.25">
      <c r="A325" t="s">
        <v>52</v>
      </c>
      <c r="B325" t="s">
        <v>351</v>
      </c>
      <c r="C325" t="s">
        <v>632</v>
      </c>
      <c r="D325" t="s">
        <v>8</v>
      </c>
      <c r="E325">
        <v>35</v>
      </c>
      <c r="F325" t="str">
        <f t="shared" si="5"/>
        <v>Middle Age</v>
      </c>
      <c r="G325" t="s">
        <v>107</v>
      </c>
      <c r="H325" s="3">
        <v>6041</v>
      </c>
      <c r="I325" t="s">
        <v>14</v>
      </c>
      <c r="J325">
        <v>5</v>
      </c>
    </row>
    <row r="326" spans="1:10" x14ac:dyDescent="0.25">
      <c r="A326" t="s">
        <v>395</v>
      </c>
      <c r="B326" t="s">
        <v>200</v>
      </c>
      <c r="C326" t="s">
        <v>633</v>
      </c>
      <c r="D326" t="s">
        <v>8</v>
      </c>
      <c r="E326">
        <v>57</v>
      </c>
      <c r="F326" t="str">
        <f t="shared" si="5"/>
        <v>Old</v>
      </c>
      <c r="G326" t="s">
        <v>256</v>
      </c>
      <c r="H326" s="3">
        <v>3743</v>
      </c>
      <c r="I326" t="s">
        <v>14</v>
      </c>
      <c r="J326">
        <v>2</v>
      </c>
    </row>
    <row r="327" spans="1:10" x14ac:dyDescent="0.25">
      <c r="A327" t="s">
        <v>73</v>
      </c>
      <c r="B327" t="s">
        <v>317</v>
      </c>
      <c r="C327" t="s">
        <v>634</v>
      </c>
      <c r="D327" t="s">
        <v>3</v>
      </c>
      <c r="E327">
        <v>25</v>
      </c>
      <c r="F327" t="str">
        <f t="shared" si="5"/>
        <v>Young</v>
      </c>
      <c r="G327" t="s">
        <v>211</v>
      </c>
      <c r="H327" s="3">
        <v>1172</v>
      </c>
      <c r="I327" t="s">
        <v>14</v>
      </c>
      <c r="J327">
        <v>5</v>
      </c>
    </row>
    <row r="328" spans="1:10" x14ac:dyDescent="0.25">
      <c r="A328" t="s">
        <v>356</v>
      </c>
      <c r="B328" t="s">
        <v>635</v>
      </c>
      <c r="C328" t="s">
        <v>636</v>
      </c>
      <c r="D328" t="s">
        <v>8</v>
      </c>
      <c r="E328">
        <v>23</v>
      </c>
      <c r="F328" t="str">
        <f t="shared" si="5"/>
        <v>Young</v>
      </c>
      <c r="G328" t="s">
        <v>256</v>
      </c>
      <c r="H328" s="3">
        <v>5577</v>
      </c>
      <c r="I328" t="s">
        <v>4</v>
      </c>
      <c r="J328">
        <v>2</v>
      </c>
    </row>
    <row r="329" spans="1:10" x14ac:dyDescent="0.25">
      <c r="A329" t="s">
        <v>637</v>
      </c>
      <c r="B329" t="s">
        <v>34</v>
      </c>
      <c r="C329" t="s">
        <v>638</v>
      </c>
      <c r="D329" t="s">
        <v>3</v>
      </c>
      <c r="E329">
        <v>55</v>
      </c>
      <c r="F329" t="str">
        <f t="shared" si="5"/>
        <v>Old</v>
      </c>
      <c r="G329" t="s">
        <v>32</v>
      </c>
      <c r="H329" s="3">
        <v>1464</v>
      </c>
      <c r="I329" t="s">
        <v>4</v>
      </c>
      <c r="J329">
        <v>0</v>
      </c>
    </row>
    <row r="330" spans="1:10" x14ac:dyDescent="0.25">
      <c r="A330" t="s">
        <v>639</v>
      </c>
      <c r="B330" t="s">
        <v>152</v>
      </c>
      <c r="C330" t="s">
        <v>640</v>
      </c>
      <c r="D330" t="s">
        <v>8</v>
      </c>
      <c r="E330">
        <v>60</v>
      </c>
      <c r="F330" t="str">
        <f t="shared" si="5"/>
        <v>Old</v>
      </c>
      <c r="G330" t="s">
        <v>63</v>
      </c>
      <c r="H330" s="3">
        <v>7199</v>
      </c>
      <c r="I330" t="s">
        <v>4</v>
      </c>
      <c r="J330">
        <v>2</v>
      </c>
    </row>
    <row r="331" spans="1:10" x14ac:dyDescent="0.25">
      <c r="A331" t="s">
        <v>323</v>
      </c>
      <c r="B331" t="s">
        <v>368</v>
      </c>
      <c r="C331" t="s">
        <v>641</v>
      </c>
      <c r="D331" t="s">
        <v>8</v>
      </c>
      <c r="E331">
        <v>37</v>
      </c>
      <c r="F331" t="str">
        <f t="shared" si="5"/>
        <v>Middle Age</v>
      </c>
      <c r="G331" t="s">
        <v>82</v>
      </c>
      <c r="H331" s="3">
        <v>5354</v>
      </c>
      <c r="I331" t="s">
        <v>14</v>
      </c>
      <c r="J331">
        <v>4</v>
      </c>
    </row>
    <row r="332" spans="1:10" x14ac:dyDescent="0.25">
      <c r="A332" t="s">
        <v>642</v>
      </c>
      <c r="B332" t="s">
        <v>116</v>
      </c>
      <c r="C332" t="s">
        <v>643</v>
      </c>
      <c r="D332" t="s">
        <v>3</v>
      </c>
      <c r="E332">
        <v>51</v>
      </c>
      <c r="F332" t="str">
        <f t="shared" si="5"/>
        <v>Old</v>
      </c>
      <c r="G332" t="s">
        <v>194</v>
      </c>
      <c r="H332" s="3">
        <v>1667</v>
      </c>
      <c r="I332" t="s">
        <v>14</v>
      </c>
      <c r="J332">
        <v>5</v>
      </c>
    </row>
    <row r="333" spans="1:10" x14ac:dyDescent="0.25">
      <c r="A333" t="s">
        <v>161</v>
      </c>
      <c r="B333" t="s">
        <v>334</v>
      </c>
      <c r="C333" t="s">
        <v>644</v>
      </c>
      <c r="D333" t="s">
        <v>8</v>
      </c>
      <c r="E333">
        <v>37</v>
      </c>
      <c r="F333" t="str">
        <f t="shared" si="5"/>
        <v>Middle Age</v>
      </c>
      <c r="G333" t="s">
        <v>13</v>
      </c>
      <c r="H333" s="3">
        <v>6097</v>
      </c>
      <c r="I333" t="s">
        <v>14</v>
      </c>
      <c r="J333">
        <v>0</v>
      </c>
    </row>
    <row r="334" spans="1:10" x14ac:dyDescent="0.25">
      <c r="A334" t="s">
        <v>515</v>
      </c>
      <c r="B334" t="s">
        <v>274</v>
      </c>
      <c r="C334" t="s">
        <v>645</v>
      </c>
      <c r="D334" t="s">
        <v>3</v>
      </c>
      <c r="E334">
        <v>23</v>
      </c>
      <c r="F334" t="str">
        <f t="shared" si="5"/>
        <v>Young</v>
      </c>
      <c r="G334" t="s">
        <v>227</v>
      </c>
      <c r="H334" s="3">
        <v>2093</v>
      </c>
      <c r="I334" t="s">
        <v>14</v>
      </c>
      <c r="J334">
        <v>1</v>
      </c>
    </row>
    <row r="335" spans="1:10" x14ac:dyDescent="0.25">
      <c r="A335" t="s">
        <v>40</v>
      </c>
      <c r="B335" t="s">
        <v>88</v>
      </c>
      <c r="C335" t="s">
        <v>646</v>
      </c>
      <c r="D335" t="s">
        <v>8</v>
      </c>
      <c r="E335">
        <v>38</v>
      </c>
      <c r="F335" t="str">
        <f t="shared" si="5"/>
        <v>Middle Age</v>
      </c>
      <c r="G335" t="s">
        <v>124</v>
      </c>
      <c r="H335" s="3">
        <v>3398</v>
      </c>
      <c r="I335" t="s">
        <v>4</v>
      </c>
      <c r="J335">
        <v>4</v>
      </c>
    </row>
    <row r="336" spans="1:10" x14ac:dyDescent="0.25">
      <c r="A336" t="s">
        <v>307</v>
      </c>
      <c r="B336" t="s">
        <v>74</v>
      </c>
      <c r="C336" t="s">
        <v>647</v>
      </c>
      <c r="D336" t="s">
        <v>3</v>
      </c>
      <c r="E336">
        <v>27</v>
      </c>
      <c r="F336" t="str">
        <f t="shared" si="5"/>
        <v>Young</v>
      </c>
      <c r="G336" t="s">
        <v>9</v>
      </c>
      <c r="H336" s="3">
        <v>4169</v>
      </c>
      <c r="I336" t="s">
        <v>14</v>
      </c>
      <c r="J336">
        <v>5</v>
      </c>
    </row>
    <row r="337" spans="1:10" x14ac:dyDescent="0.25">
      <c r="A337" t="s">
        <v>125</v>
      </c>
      <c r="B337" t="s">
        <v>392</v>
      </c>
      <c r="C337" t="s">
        <v>648</v>
      </c>
      <c r="D337" t="s">
        <v>8</v>
      </c>
      <c r="E337">
        <v>19</v>
      </c>
      <c r="F337" t="str">
        <f t="shared" si="5"/>
        <v>Young</v>
      </c>
      <c r="G337" t="s">
        <v>51</v>
      </c>
      <c r="H337" s="3">
        <v>3829</v>
      </c>
      <c r="I337" t="s">
        <v>14</v>
      </c>
      <c r="J337">
        <v>1</v>
      </c>
    </row>
    <row r="338" spans="1:10" x14ac:dyDescent="0.25">
      <c r="A338" t="s">
        <v>336</v>
      </c>
      <c r="B338" t="s">
        <v>220</v>
      </c>
      <c r="C338" t="s">
        <v>649</v>
      </c>
      <c r="D338" t="s">
        <v>8</v>
      </c>
      <c r="E338">
        <v>25</v>
      </c>
      <c r="F338" t="str">
        <f t="shared" si="5"/>
        <v>Young</v>
      </c>
      <c r="G338" t="s">
        <v>107</v>
      </c>
      <c r="H338" s="3">
        <v>6262</v>
      </c>
      <c r="I338" t="s">
        <v>14</v>
      </c>
      <c r="J338">
        <v>3</v>
      </c>
    </row>
    <row r="339" spans="1:10" x14ac:dyDescent="0.25">
      <c r="A339" t="s">
        <v>218</v>
      </c>
      <c r="B339" t="s">
        <v>650</v>
      </c>
      <c r="C339" t="s">
        <v>651</v>
      </c>
      <c r="D339" t="s">
        <v>3</v>
      </c>
      <c r="E339">
        <v>19</v>
      </c>
      <c r="F339" t="str">
        <f t="shared" si="5"/>
        <v>Young</v>
      </c>
      <c r="G339" t="s">
        <v>9</v>
      </c>
      <c r="H339" s="3">
        <v>4438</v>
      </c>
      <c r="I339" t="s">
        <v>14</v>
      </c>
      <c r="J339">
        <v>5</v>
      </c>
    </row>
    <row r="340" spans="1:10" x14ac:dyDescent="0.25">
      <c r="A340" t="s">
        <v>482</v>
      </c>
      <c r="B340" t="s">
        <v>34</v>
      </c>
      <c r="C340" t="s">
        <v>652</v>
      </c>
      <c r="D340" t="s">
        <v>8</v>
      </c>
      <c r="E340">
        <v>31</v>
      </c>
      <c r="F340" t="str">
        <f t="shared" si="5"/>
        <v>Middle Age</v>
      </c>
      <c r="G340" t="s">
        <v>36</v>
      </c>
      <c r="H340" s="3">
        <v>3297</v>
      </c>
      <c r="I340" t="s">
        <v>14</v>
      </c>
      <c r="J340">
        <v>3</v>
      </c>
    </row>
    <row r="341" spans="1:10" x14ac:dyDescent="0.25">
      <c r="A341" t="s">
        <v>523</v>
      </c>
      <c r="B341" t="s">
        <v>19</v>
      </c>
      <c r="C341" t="s">
        <v>653</v>
      </c>
      <c r="D341" t="s">
        <v>3</v>
      </c>
      <c r="E341">
        <v>34</v>
      </c>
      <c r="F341" t="str">
        <f t="shared" si="5"/>
        <v>Middle Age</v>
      </c>
      <c r="G341" t="s">
        <v>293</v>
      </c>
      <c r="H341" s="3">
        <v>6988</v>
      </c>
      <c r="I341" t="s">
        <v>4</v>
      </c>
      <c r="J341">
        <v>4</v>
      </c>
    </row>
    <row r="342" spans="1:10" x14ac:dyDescent="0.25">
      <c r="A342" t="s">
        <v>155</v>
      </c>
      <c r="B342" t="s">
        <v>88</v>
      </c>
      <c r="C342" t="s">
        <v>654</v>
      </c>
      <c r="D342" t="s">
        <v>3</v>
      </c>
      <c r="E342">
        <v>40</v>
      </c>
      <c r="F342" t="str">
        <f t="shared" si="5"/>
        <v>Middle Age</v>
      </c>
      <c r="G342" t="s">
        <v>80</v>
      </c>
      <c r="H342" s="3">
        <v>2601</v>
      </c>
      <c r="I342" t="s">
        <v>4</v>
      </c>
      <c r="J342">
        <v>5</v>
      </c>
    </row>
    <row r="343" spans="1:10" x14ac:dyDescent="0.25">
      <c r="A343" t="s">
        <v>403</v>
      </c>
      <c r="B343" t="s">
        <v>655</v>
      </c>
      <c r="C343" t="s">
        <v>656</v>
      </c>
      <c r="D343" t="s">
        <v>8</v>
      </c>
      <c r="E343">
        <v>18</v>
      </c>
      <c r="F343" t="str">
        <f t="shared" si="5"/>
        <v>Young</v>
      </c>
      <c r="G343" t="s">
        <v>270</v>
      </c>
      <c r="H343" s="3">
        <v>9428</v>
      </c>
      <c r="I343" t="s">
        <v>14</v>
      </c>
      <c r="J343">
        <v>5</v>
      </c>
    </row>
    <row r="344" spans="1:10" x14ac:dyDescent="0.25">
      <c r="A344" t="s">
        <v>657</v>
      </c>
      <c r="B344" t="s">
        <v>358</v>
      </c>
      <c r="C344" t="s">
        <v>658</v>
      </c>
      <c r="D344" t="s">
        <v>3</v>
      </c>
      <c r="E344">
        <v>36</v>
      </c>
      <c r="F344" t="str">
        <f t="shared" si="5"/>
        <v>Middle Age</v>
      </c>
      <c r="G344" t="s">
        <v>43</v>
      </c>
      <c r="H344" s="3">
        <v>2691</v>
      </c>
      <c r="I344" t="s">
        <v>14</v>
      </c>
      <c r="J344">
        <v>5</v>
      </c>
    </row>
    <row r="345" spans="1:10" x14ac:dyDescent="0.25">
      <c r="A345" t="s">
        <v>489</v>
      </c>
      <c r="B345" t="s">
        <v>1</v>
      </c>
      <c r="C345" t="s">
        <v>659</v>
      </c>
      <c r="D345" t="s">
        <v>3</v>
      </c>
      <c r="E345">
        <v>31</v>
      </c>
      <c r="F345" t="str">
        <f t="shared" si="5"/>
        <v>Middle Age</v>
      </c>
      <c r="G345" t="s">
        <v>197</v>
      </c>
      <c r="H345" s="3">
        <v>671</v>
      </c>
      <c r="I345" t="s">
        <v>14</v>
      </c>
      <c r="J345">
        <v>1</v>
      </c>
    </row>
    <row r="346" spans="1:10" x14ac:dyDescent="0.25">
      <c r="A346" t="s">
        <v>660</v>
      </c>
      <c r="B346" t="s">
        <v>174</v>
      </c>
      <c r="C346" t="s">
        <v>661</v>
      </c>
      <c r="D346" t="s">
        <v>8</v>
      </c>
      <c r="E346">
        <v>19</v>
      </c>
      <c r="F346" t="str">
        <f t="shared" si="5"/>
        <v>Young</v>
      </c>
      <c r="G346" t="s">
        <v>43</v>
      </c>
      <c r="H346" s="3">
        <v>1086</v>
      </c>
      <c r="I346" t="s">
        <v>4</v>
      </c>
      <c r="J346">
        <v>5</v>
      </c>
    </row>
    <row r="347" spans="1:10" x14ac:dyDescent="0.25">
      <c r="A347" t="s">
        <v>206</v>
      </c>
      <c r="B347" t="s">
        <v>635</v>
      </c>
      <c r="C347" t="s">
        <v>662</v>
      </c>
      <c r="D347" t="s">
        <v>3</v>
      </c>
      <c r="E347">
        <v>44</v>
      </c>
      <c r="F347" t="str">
        <f t="shared" si="5"/>
        <v>Middle Age</v>
      </c>
      <c r="G347" t="s">
        <v>256</v>
      </c>
      <c r="H347" s="3">
        <v>5309</v>
      </c>
      <c r="I347" t="s">
        <v>14</v>
      </c>
      <c r="J347">
        <v>5</v>
      </c>
    </row>
    <row r="348" spans="1:10" x14ac:dyDescent="0.25">
      <c r="A348" t="s">
        <v>10</v>
      </c>
      <c r="B348" t="s">
        <v>409</v>
      </c>
      <c r="C348" t="s">
        <v>663</v>
      </c>
      <c r="D348" t="s">
        <v>3</v>
      </c>
      <c r="E348">
        <v>21</v>
      </c>
      <c r="F348" t="str">
        <f t="shared" si="5"/>
        <v>Young</v>
      </c>
      <c r="G348" t="s">
        <v>234</v>
      </c>
      <c r="H348" s="3">
        <v>8381</v>
      </c>
      <c r="I348" t="s">
        <v>14</v>
      </c>
      <c r="J348">
        <v>0</v>
      </c>
    </row>
    <row r="349" spans="1:10" x14ac:dyDescent="0.25">
      <c r="A349" t="s">
        <v>664</v>
      </c>
      <c r="B349" t="s">
        <v>61</v>
      </c>
      <c r="C349" t="s">
        <v>665</v>
      </c>
      <c r="D349" t="s">
        <v>8</v>
      </c>
      <c r="E349">
        <v>55</v>
      </c>
      <c r="F349" t="str">
        <f t="shared" si="5"/>
        <v>Old</v>
      </c>
      <c r="G349" t="s">
        <v>290</v>
      </c>
      <c r="H349" s="3">
        <v>833</v>
      </c>
      <c r="I349" t="s">
        <v>4</v>
      </c>
      <c r="J349">
        <v>0</v>
      </c>
    </row>
    <row r="350" spans="1:10" x14ac:dyDescent="0.25">
      <c r="A350" t="s">
        <v>666</v>
      </c>
      <c r="B350" t="s">
        <v>268</v>
      </c>
      <c r="C350" t="s">
        <v>667</v>
      </c>
      <c r="D350" t="s">
        <v>8</v>
      </c>
      <c r="E350">
        <v>34</v>
      </c>
      <c r="F350" t="str">
        <f t="shared" si="5"/>
        <v>Middle Age</v>
      </c>
      <c r="G350" t="s">
        <v>21</v>
      </c>
      <c r="H350" s="3">
        <v>3338</v>
      </c>
      <c r="I350" t="s">
        <v>4</v>
      </c>
      <c r="J350">
        <v>3</v>
      </c>
    </row>
    <row r="351" spans="1:10" x14ac:dyDescent="0.25">
      <c r="A351" t="s">
        <v>60</v>
      </c>
      <c r="B351" t="s">
        <v>264</v>
      </c>
      <c r="C351" t="s">
        <v>668</v>
      </c>
      <c r="D351" t="s">
        <v>3</v>
      </c>
      <c r="E351">
        <v>23</v>
      </c>
      <c r="F351" t="str">
        <f t="shared" si="5"/>
        <v>Young</v>
      </c>
      <c r="G351" t="s">
        <v>128</v>
      </c>
      <c r="H351" s="3">
        <v>2886</v>
      </c>
      <c r="I351" t="s">
        <v>14</v>
      </c>
      <c r="J351">
        <v>0</v>
      </c>
    </row>
    <row r="352" spans="1:10" x14ac:dyDescent="0.25">
      <c r="A352" t="s">
        <v>60</v>
      </c>
      <c r="B352" t="s">
        <v>91</v>
      </c>
      <c r="C352" t="s">
        <v>669</v>
      </c>
      <c r="D352" t="s">
        <v>3</v>
      </c>
      <c r="E352">
        <v>54</v>
      </c>
      <c r="F352" t="str">
        <f t="shared" si="5"/>
        <v>Old</v>
      </c>
      <c r="G352" t="s">
        <v>303</v>
      </c>
      <c r="H352" s="3">
        <v>8068</v>
      </c>
      <c r="I352" t="s">
        <v>14</v>
      </c>
      <c r="J352">
        <v>4</v>
      </c>
    </row>
    <row r="353" spans="1:10" x14ac:dyDescent="0.25">
      <c r="A353" t="s">
        <v>83</v>
      </c>
      <c r="B353" t="s">
        <v>45</v>
      </c>
      <c r="C353" t="s">
        <v>670</v>
      </c>
      <c r="D353" t="s">
        <v>3</v>
      </c>
      <c r="E353">
        <v>32</v>
      </c>
      <c r="F353" t="str">
        <f t="shared" si="5"/>
        <v>Middle Age</v>
      </c>
      <c r="G353" t="s">
        <v>76</v>
      </c>
      <c r="H353" s="3">
        <v>6181</v>
      </c>
      <c r="I353" t="s">
        <v>4</v>
      </c>
      <c r="J353">
        <v>4</v>
      </c>
    </row>
    <row r="354" spans="1:10" x14ac:dyDescent="0.25">
      <c r="A354" t="s">
        <v>671</v>
      </c>
      <c r="B354" t="s">
        <v>67</v>
      </c>
      <c r="C354" t="s">
        <v>672</v>
      </c>
      <c r="D354" t="s">
        <v>8</v>
      </c>
      <c r="E354">
        <v>18</v>
      </c>
      <c r="F354" t="str">
        <f t="shared" si="5"/>
        <v>Young</v>
      </c>
      <c r="G354" t="s">
        <v>82</v>
      </c>
      <c r="H354" s="3">
        <v>4720</v>
      </c>
      <c r="I354" t="s">
        <v>14</v>
      </c>
      <c r="J354">
        <v>3</v>
      </c>
    </row>
    <row r="355" spans="1:10" x14ac:dyDescent="0.25">
      <c r="A355" t="s">
        <v>183</v>
      </c>
      <c r="B355" t="s">
        <v>223</v>
      </c>
      <c r="C355" t="s">
        <v>673</v>
      </c>
      <c r="D355" t="s">
        <v>3</v>
      </c>
      <c r="E355">
        <v>45</v>
      </c>
      <c r="F355" t="str">
        <f t="shared" si="5"/>
        <v>Middle Age</v>
      </c>
      <c r="G355" t="s">
        <v>194</v>
      </c>
      <c r="H355" s="3">
        <v>4075</v>
      </c>
      <c r="I355" t="s">
        <v>4</v>
      </c>
      <c r="J355">
        <v>1</v>
      </c>
    </row>
    <row r="356" spans="1:10" x14ac:dyDescent="0.25">
      <c r="A356" t="s">
        <v>240</v>
      </c>
      <c r="B356" t="s">
        <v>600</v>
      </c>
      <c r="C356" t="s">
        <v>674</v>
      </c>
      <c r="D356" t="s">
        <v>3</v>
      </c>
      <c r="E356">
        <v>30</v>
      </c>
      <c r="F356" t="str">
        <f t="shared" si="5"/>
        <v>Young</v>
      </c>
      <c r="G356" t="s">
        <v>63</v>
      </c>
      <c r="H356" s="3">
        <v>4364</v>
      </c>
      <c r="I356" t="s">
        <v>14</v>
      </c>
      <c r="J356">
        <v>4</v>
      </c>
    </row>
    <row r="357" spans="1:10" x14ac:dyDescent="0.25">
      <c r="A357" t="s">
        <v>346</v>
      </c>
      <c r="B357" t="s">
        <v>600</v>
      </c>
      <c r="C357" t="s">
        <v>675</v>
      </c>
      <c r="D357" t="s">
        <v>3</v>
      </c>
      <c r="E357">
        <v>39</v>
      </c>
      <c r="F357" t="str">
        <f t="shared" si="5"/>
        <v>Middle Age</v>
      </c>
      <c r="G357" t="s">
        <v>43</v>
      </c>
      <c r="H357" s="3">
        <v>9370</v>
      </c>
      <c r="I357" t="s">
        <v>14</v>
      </c>
      <c r="J357">
        <v>3</v>
      </c>
    </row>
    <row r="358" spans="1:10" x14ac:dyDescent="0.25">
      <c r="A358" t="s">
        <v>595</v>
      </c>
      <c r="B358" t="s">
        <v>498</v>
      </c>
      <c r="C358" t="s">
        <v>676</v>
      </c>
      <c r="D358" t="s">
        <v>8</v>
      </c>
      <c r="E358">
        <v>35</v>
      </c>
      <c r="F358" t="str">
        <f t="shared" si="5"/>
        <v>Middle Age</v>
      </c>
      <c r="G358" t="s">
        <v>36</v>
      </c>
      <c r="H358" s="3">
        <v>5571</v>
      </c>
      <c r="I358" t="s">
        <v>4</v>
      </c>
      <c r="J358">
        <v>5</v>
      </c>
    </row>
    <row r="359" spans="1:10" x14ac:dyDescent="0.25">
      <c r="A359" t="s">
        <v>419</v>
      </c>
      <c r="B359" t="s">
        <v>361</v>
      </c>
      <c r="C359" t="s">
        <v>677</v>
      </c>
      <c r="D359" t="s">
        <v>8</v>
      </c>
      <c r="E359">
        <v>49</v>
      </c>
      <c r="F359" t="str">
        <f t="shared" si="5"/>
        <v>Middle Age</v>
      </c>
      <c r="G359" t="s">
        <v>9</v>
      </c>
      <c r="H359" s="3">
        <v>6478</v>
      </c>
      <c r="I359" t="s">
        <v>4</v>
      </c>
      <c r="J359">
        <v>3</v>
      </c>
    </row>
    <row r="360" spans="1:10" x14ac:dyDescent="0.25">
      <c r="A360" t="s">
        <v>135</v>
      </c>
      <c r="B360" t="s">
        <v>236</v>
      </c>
      <c r="C360" t="s">
        <v>678</v>
      </c>
      <c r="D360" t="s">
        <v>3</v>
      </c>
      <c r="E360">
        <v>22</v>
      </c>
      <c r="F360" t="str">
        <f t="shared" si="5"/>
        <v>Young</v>
      </c>
      <c r="G360" t="s">
        <v>256</v>
      </c>
      <c r="H360" s="3">
        <v>4428</v>
      </c>
      <c r="I360" t="s">
        <v>14</v>
      </c>
      <c r="J360">
        <v>4</v>
      </c>
    </row>
    <row r="361" spans="1:10" x14ac:dyDescent="0.25">
      <c r="A361" t="s">
        <v>456</v>
      </c>
      <c r="B361" t="s">
        <v>425</v>
      </c>
      <c r="C361" t="s">
        <v>679</v>
      </c>
      <c r="D361" t="s">
        <v>3</v>
      </c>
      <c r="E361">
        <v>24</v>
      </c>
      <c r="F361" t="str">
        <f t="shared" si="5"/>
        <v>Young</v>
      </c>
      <c r="G361" t="s">
        <v>128</v>
      </c>
      <c r="H361" s="3">
        <v>782</v>
      </c>
      <c r="I361" t="s">
        <v>14</v>
      </c>
      <c r="J361">
        <v>5</v>
      </c>
    </row>
    <row r="362" spans="1:10" x14ac:dyDescent="0.25">
      <c r="A362" t="s">
        <v>336</v>
      </c>
      <c r="B362" t="s">
        <v>142</v>
      </c>
      <c r="C362" t="s">
        <v>680</v>
      </c>
      <c r="D362" t="s">
        <v>8</v>
      </c>
      <c r="E362">
        <v>57</v>
      </c>
      <c r="F362" t="str">
        <f t="shared" si="5"/>
        <v>Old</v>
      </c>
      <c r="G362" t="s">
        <v>266</v>
      </c>
      <c r="H362" s="3">
        <v>8679</v>
      </c>
      <c r="I362" t="s">
        <v>14</v>
      </c>
      <c r="J362">
        <v>0</v>
      </c>
    </row>
    <row r="363" spans="1:10" x14ac:dyDescent="0.25">
      <c r="A363" t="s">
        <v>307</v>
      </c>
      <c r="B363" t="s">
        <v>284</v>
      </c>
      <c r="C363" t="s">
        <v>681</v>
      </c>
      <c r="D363" t="s">
        <v>3</v>
      </c>
      <c r="E363">
        <v>23</v>
      </c>
      <c r="F363" t="str">
        <f t="shared" si="5"/>
        <v>Young</v>
      </c>
      <c r="G363" t="s">
        <v>25</v>
      </c>
      <c r="H363" s="3">
        <v>9589</v>
      </c>
      <c r="I363" t="s">
        <v>14</v>
      </c>
      <c r="J363">
        <v>1</v>
      </c>
    </row>
    <row r="364" spans="1:10" x14ac:dyDescent="0.25">
      <c r="A364" t="s">
        <v>276</v>
      </c>
      <c r="B364" t="s">
        <v>600</v>
      </c>
      <c r="C364" t="s">
        <v>682</v>
      </c>
      <c r="D364" t="s">
        <v>3</v>
      </c>
      <c r="E364">
        <v>33</v>
      </c>
      <c r="F364" t="str">
        <f t="shared" si="5"/>
        <v>Middle Age</v>
      </c>
      <c r="G364" t="s">
        <v>43</v>
      </c>
      <c r="H364" s="3">
        <v>6306</v>
      </c>
      <c r="I364" t="s">
        <v>4</v>
      </c>
      <c r="J364">
        <v>0</v>
      </c>
    </row>
    <row r="365" spans="1:10" x14ac:dyDescent="0.25">
      <c r="A365" t="s">
        <v>383</v>
      </c>
      <c r="B365" t="s">
        <v>409</v>
      </c>
      <c r="C365" t="s">
        <v>683</v>
      </c>
      <c r="D365" t="s">
        <v>3</v>
      </c>
      <c r="E365">
        <v>36</v>
      </c>
      <c r="F365" t="str">
        <f t="shared" si="5"/>
        <v>Middle Age</v>
      </c>
      <c r="G365" t="s">
        <v>211</v>
      </c>
      <c r="H365" s="3">
        <v>2810</v>
      </c>
      <c r="I365" t="s">
        <v>4</v>
      </c>
      <c r="J365">
        <v>3</v>
      </c>
    </row>
    <row r="366" spans="1:10" x14ac:dyDescent="0.25">
      <c r="A366" t="s">
        <v>61</v>
      </c>
      <c r="B366" t="s">
        <v>600</v>
      </c>
      <c r="C366" t="s">
        <v>684</v>
      </c>
      <c r="D366" t="s">
        <v>3</v>
      </c>
      <c r="E366">
        <v>29</v>
      </c>
      <c r="F366" t="str">
        <f t="shared" si="5"/>
        <v>Young</v>
      </c>
      <c r="G366" t="s">
        <v>36</v>
      </c>
      <c r="H366" s="3">
        <v>9850</v>
      </c>
      <c r="I366" t="s">
        <v>14</v>
      </c>
      <c r="J366">
        <v>4</v>
      </c>
    </row>
    <row r="367" spans="1:10" x14ac:dyDescent="0.25">
      <c r="A367" t="s">
        <v>484</v>
      </c>
      <c r="B367" t="s">
        <v>358</v>
      </c>
      <c r="C367" t="s">
        <v>685</v>
      </c>
      <c r="D367" t="s">
        <v>3</v>
      </c>
      <c r="E367">
        <v>45</v>
      </c>
      <c r="F367" t="str">
        <f t="shared" si="5"/>
        <v>Middle Age</v>
      </c>
      <c r="G367" t="s">
        <v>199</v>
      </c>
      <c r="H367" s="3">
        <v>3195</v>
      </c>
      <c r="I367" t="s">
        <v>4</v>
      </c>
      <c r="J367">
        <v>5</v>
      </c>
    </row>
    <row r="368" spans="1:10" x14ac:dyDescent="0.25">
      <c r="A368" t="s">
        <v>232</v>
      </c>
      <c r="B368" t="s">
        <v>308</v>
      </c>
      <c r="C368" t="s">
        <v>686</v>
      </c>
      <c r="D368" t="s">
        <v>8</v>
      </c>
      <c r="E368">
        <v>28</v>
      </c>
      <c r="F368" t="str">
        <f t="shared" si="5"/>
        <v>Young</v>
      </c>
      <c r="G368" t="s">
        <v>150</v>
      </c>
      <c r="H368" s="3">
        <v>2010</v>
      </c>
      <c r="I368" t="s">
        <v>4</v>
      </c>
      <c r="J368">
        <v>2</v>
      </c>
    </row>
    <row r="369" spans="1:10" x14ac:dyDescent="0.25">
      <c r="A369" t="s">
        <v>687</v>
      </c>
      <c r="B369" t="s">
        <v>409</v>
      </c>
      <c r="C369" t="s">
        <v>688</v>
      </c>
      <c r="D369" t="s">
        <v>8</v>
      </c>
      <c r="E369">
        <v>30</v>
      </c>
      <c r="F369" t="str">
        <f t="shared" si="5"/>
        <v>Young</v>
      </c>
      <c r="G369" t="s">
        <v>290</v>
      </c>
      <c r="H369" s="3">
        <v>9617</v>
      </c>
      <c r="I369" t="s">
        <v>14</v>
      </c>
      <c r="J369">
        <v>4</v>
      </c>
    </row>
    <row r="370" spans="1:10" x14ac:dyDescent="0.25">
      <c r="A370" t="s">
        <v>473</v>
      </c>
      <c r="B370" t="s">
        <v>368</v>
      </c>
      <c r="C370" t="s">
        <v>689</v>
      </c>
      <c r="D370" t="s">
        <v>8</v>
      </c>
      <c r="E370">
        <v>55</v>
      </c>
      <c r="F370" t="str">
        <f t="shared" si="5"/>
        <v>Old</v>
      </c>
      <c r="G370" t="s">
        <v>248</v>
      </c>
      <c r="H370" s="3">
        <v>2277</v>
      </c>
      <c r="I370" t="s">
        <v>4</v>
      </c>
      <c r="J370">
        <v>4</v>
      </c>
    </row>
    <row r="371" spans="1:10" x14ac:dyDescent="0.25">
      <c r="A371" t="s">
        <v>690</v>
      </c>
      <c r="B371" t="s">
        <v>132</v>
      </c>
      <c r="C371" t="s">
        <v>691</v>
      </c>
      <c r="D371" t="s">
        <v>8</v>
      </c>
      <c r="E371">
        <v>30</v>
      </c>
      <c r="F371" t="str">
        <f t="shared" si="5"/>
        <v>Young</v>
      </c>
      <c r="G371" t="s">
        <v>290</v>
      </c>
      <c r="H371" s="3">
        <v>2999</v>
      </c>
      <c r="I371" t="s">
        <v>4</v>
      </c>
      <c r="J371">
        <v>1</v>
      </c>
    </row>
    <row r="372" spans="1:10" x14ac:dyDescent="0.25">
      <c r="A372" t="s">
        <v>692</v>
      </c>
      <c r="B372" t="s">
        <v>324</v>
      </c>
      <c r="C372" t="s">
        <v>693</v>
      </c>
      <c r="D372" t="s">
        <v>3</v>
      </c>
      <c r="E372">
        <v>44</v>
      </c>
      <c r="F372" t="str">
        <f t="shared" si="5"/>
        <v>Middle Age</v>
      </c>
      <c r="G372" t="s">
        <v>21</v>
      </c>
      <c r="H372" s="3">
        <v>6793</v>
      </c>
      <c r="I372" t="s">
        <v>14</v>
      </c>
      <c r="J372">
        <v>3</v>
      </c>
    </row>
    <row r="373" spans="1:10" x14ac:dyDescent="0.25">
      <c r="A373" t="s">
        <v>356</v>
      </c>
      <c r="B373" t="s">
        <v>122</v>
      </c>
      <c r="C373" t="s">
        <v>694</v>
      </c>
      <c r="D373" t="s">
        <v>8</v>
      </c>
      <c r="E373">
        <v>23</v>
      </c>
      <c r="F373" t="str">
        <f t="shared" si="5"/>
        <v>Young</v>
      </c>
      <c r="G373" t="s">
        <v>231</v>
      </c>
      <c r="H373" s="3">
        <v>8249</v>
      </c>
      <c r="I373" t="s">
        <v>14</v>
      </c>
      <c r="J373">
        <v>3</v>
      </c>
    </row>
    <row r="374" spans="1:10" x14ac:dyDescent="0.25">
      <c r="A374" t="s">
        <v>30</v>
      </c>
      <c r="B374" t="s">
        <v>366</v>
      </c>
      <c r="C374" t="s">
        <v>695</v>
      </c>
      <c r="D374" t="s">
        <v>3</v>
      </c>
      <c r="E374">
        <v>54</v>
      </c>
      <c r="F374" t="str">
        <f t="shared" si="5"/>
        <v>Old</v>
      </c>
      <c r="G374" t="s">
        <v>169</v>
      </c>
      <c r="H374" s="3">
        <v>4723</v>
      </c>
      <c r="I374" t="s">
        <v>4</v>
      </c>
      <c r="J374">
        <v>1</v>
      </c>
    </row>
    <row r="375" spans="1:10" x14ac:dyDescent="0.25">
      <c r="A375" t="s">
        <v>22</v>
      </c>
      <c r="B375" t="s">
        <v>98</v>
      </c>
      <c r="C375" t="s">
        <v>696</v>
      </c>
      <c r="D375" t="s">
        <v>3</v>
      </c>
      <c r="E375">
        <v>60</v>
      </c>
      <c r="F375" t="str">
        <f t="shared" si="5"/>
        <v>Old</v>
      </c>
      <c r="G375" t="s">
        <v>55</v>
      </c>
      <c r="H375" s="3">
        <v>1198</v>
      </c>
      <c r="I375" t="s">
        <v>14</v>
      </c>
      <c r="J375">
        <v>2</v>
      </c>
    </row>
    <row r="376" spans="1:10" x14ac:dyDescent="0.25">
      <c r="A376" t="s">
        <v>195</v>
      </c>
      <c r="B376" t="s">
        <v>425</v>
      </c>
      <c r="C376" t="s">
        <v>697</v>
      </c>
      <c r="D376" t="s">
        <v>3</v>
      </c>
      <c r="E376">
        <v>19</v>
      </c>
      <c r="F376" t="str">
        <f t="shared" si="5"/>
        <v>Young</v>
      </c>
      <c r="G376" t="s">
        <v>225</v>
      </c>
      <c r="H376" s="3">
        <v>7458</v>
      </c>
      <c r="I376" t="s">
        <v>14</v>
      </c>
      <c r="J376">
        <v>0</v>
      </c>
    </row>
    <row r="377" spans="1:10" x14ac:dyDescent="0.25">
      <c r="A377" t="s">
        <v>698</v>
      </c>
      <c r="B377" t="s">
        <v>294</v>
      </c>
      <c r="C377" t="s">
        <v>699</v>
      </c>
      <c r="D377" t="s">
        <v>8</v>
      </c>
      <c r="E377">
        <v>26</v>
      </c>
      <c r="F377" t="str">
        <f t="shared" si="5"/>
        <v>Young</v>
      </c>
      <c r="G377" t="s">
        <v>227</v>
      </c>
      <c r="H377" s="3">
        <v>5385</v>
      </c>
      <c r="I377" t="s">
        <v>4</v>
      </c>
      <c r="J377">
        <v>3</v>
      </c>
    </row>
    <row r="378" spans="1:10" x14ac:dyDescent="0.25">
      <c r="A378" t="s">
        <v>700</v>
      </c>
      <c r="B378" t="s">
        <v>358</v>
      </c>
      <c r="C378" t="s">
        <v>701</v>
      </c>
      <c r="D378" t="s">
        <v>3</v>
      </c>
      <c r="E378">
        <v>51</v>
      </c>
      <c r="F378" t="str">
        <f t="shared" si="5"/>
        <v>Old</v>
      </c>
      <c r="G378" t="s">
        <v>9</v>
      </c>
      <c r="H378" s="3">
        <v>2127</v>
      </c>
      <c r="I378" t="s">
        <v>14</v>
      </c>
      <c r="J378">
        <v>2</v>
      </c>
    </row>
    <row r="379" spans="1:10" x14ac:dyDescent="0.25">
      <c r="A379" t="s">
        <v>276</v>
      </c>
      <c r="B379" t="s">
        <v>294</v>
      </c>
      <c r="C379" t="s">
        <v>702</v>
      </c>
      <c r="D379" t="s">
        <v>3</v>
      </c>
      <c r="E379">
        <v>31</v>
      </c>
      <c r="F379" t="str">
        <f t="shared" si="5"/>
        <v>Middle Age</v>
      </c>
      <c r="G379" t="s">
        <v>248</v>
      </c>
      <c r="H379" s="3">
        <v>1175</v>
      </c>
      <c r="I379" t="s">
        <v>14</v>
      </c>
      <c r="J379">
        <v>3</v>
      </c>
    </row>
    <row r="380" spans="1:10" x14ac:dyDescent="0.25">
      <c r="A380" t="s">
        <v>61</v>
      </c>
      <c r="B380" t="s">
        <v>622</v>
      </c>
      <c r="C380" t="s">
        <v>703</v>
      </c>
      <c r="D380" t="s">
        <v>3</v>
      </c>
      <c r="E380">
        <v>36</v>
      </c>
      <c r="F380" t="str">
        <f t="shared" si="5"/>
        <v>Middle Age</v>
      </c>
      <c r="G380" t="s">
        <v>124</v>
      </c>
      <c r="H380" s="3">
        <v>6811</v>
      </c>
      <c r="I380" t="s">
        <v>4</v>
      </c>
      <c r="J380">
        <v>1</v>
      </c>
    </row>
    <row r="381" spans="1:10" x14ac:dyDescent="0.25">
      <c r="A381" t="s">
        <v>704</v>
      </c>
      <c r="B381" t="s">
        <v>305</v>
      </c>
      <c r="C381" t="s">
        <v>705</v>
      </c>
      <c r="D381" t="s">
        <v>8</v>
      </c>
      <c r="E381">
        <v>42</v>
      </c>
      <c r="F381" t="str">
        <f t="shared" si="5"/>
        <v>Middle Age</v>
      </c>
      <c r="G381" t="s">
        <v>9</v>
      </c>
      <c r="H381" s="3">
        <v>9276</v>
      </c>
      <c r="I381" t="s">
        <v>14</v>
      </c>
      <c r="J381">
        <v>3</v>
      </c>
    </row>
    <row r="382" spans="1:10" x14ac:dyDescent="0.25">
      <c r="A382" t="s">
        <v>48</v>
      </c>
      <c r="B382" t="s">
        <v>126</v>
      </c>
      <c r="C382" t="s">
        <v>706</v>
      </c>
      <c r="D382" t="s">
        <v>8</v>
      </c>
      <c r="E382">
        <v>43</v>
      </c>
      <c r="F382" t="str">
        <f t="shared" si="5"/>
        <v>Middle Age</v>
      </c>
      <c r="G382" t="s">
        <v>114</v>
      </c>
      <c r="H382" s="3">
        <v>5879</v>
      </c>
      <c r="I382" t="s">
        <v>14</v>
      </c>
      <c r="J382">
        <v>3</v>
      </c>
    </row>
    <row r="383" spans="1:10" x14ac:dyDescent="0.25">
      <c r="A383" t="s">
        <v>515</v>
      </c>
      <c r="B383" t="s">
        <v>236</v>
      </c>
      <c r="C383" t="s">
        <v>707</v>
      </c>
      <c r="D383" t="s">
        <v>3</v>
      </c>
      <c r="E383">
        <v>46</v>
      </c>
      <c r="F383" t="str">
        <f t="shared" si="5"/>
        <v>Middle Age</v>
      </c>
      <c r="G383" t="s">
        <v>86</v>
      </c>
      <c r="H383" s="3">
        <v>1881</v>
      </c>
      <c r="I383" t="s">
        <v>4</v>
      </c>
      <c r="J383">
        <v>5</v>
      </c>
    </row>
    <row r="384" spans="1:10" x14ac:dyDescent="0.25">
      <c r="A384" t="s">
        <v>44</v>
      </c>
      <c r="B384" t="s">
        <v>120</v>
      </c>
      <c r="C384" t="s">
        <v>708</v>
      </c>
      <c r="D384" t="s">
        <v>8</v>
      </c>
      <c r="E384">
        <v>32</v>
      </c>
      <c r="F384" t="str">
        <f t="shared" si="5"/>
        <v>Middle Age</v>
      </c>
      <c r="G384" t="s">
        <v>234</v>
      </c>
      <c r="H384" s="3">
        <v>6734</v>
      </c>
      <c r="I384" t="s">
        <v>4</v>
      </c>
      <c r="J384">
        <v>3</v>
      </c>
    </row>
    <row r="385" spans="1:10" x14ac:dyDescent="0.25">
      <c r="A385" t="s">
        <v>432</v>
      </c>
      <c r="B385" t="s">
        <v>177</v>
      </c>
      <c r="C385" t="s">
        <v>709</v>
      </c>
      <c r="D385" t="s">
        <v>3</v>
      </c>
      <c r="E385">
        <v>40</v>
      </c>
      <c r="F385" t="str">
        <f t="shared" si="5"/>
        <v>Middle Age</v>
      </c>
      <c r="G385" t="s">
        <v>59</v>
      </c>
      <c r="H385" s="3">
        <v>4086</v>
      </c>
      <c r="I385" t="s">
        <v>4</v>
      </c>
      <c r="J385">
        <v>3</v>
      </c>
    </row>
    <row r="386" spans="1:10" x14ac:dyDescent="0.25">
      <c r="A386" t="s">
        <v>56</v>
      </c>
      <c r="B386" t="s">
        <v>174</v>
      </c>
      <c r="C386" t="s">
        <v>710</v>
      </c>
      <c r="D386" t="s">
        <v>8</v>
      </c>
      <c r="E386">
        <v>39</v>
      </c>
      <c r="F386" t="str">
        <f t="shared" si="5"/>
        <v>Middle Age</v>
      </c>
      <c r="G386" t="s">
        <v>103</v>
      </c>
      <c r="H386" s="3">
        <v>6700</v>
      </c>
      <c r="I386" t="s">
        <v>14</v>
      </c>
      <c r="J386">
        <v>3</v>
      </c>
    </row>
    <row r="387" spans="1:10" x14ac:dyDescent="0.25">
      <c r="A387" t="s">
        <v>145</v>
      </c>
      <c r="B387" t="s">
        <v>1</v>
      </c>
      <c r="C387" t="s">
        <v>711</v>
      </c>
      <c r="D387" t="s">
        <v>8</v>
      </c>
      <c r="E387">
        <v>29</v>
      </c>
      <c r="F387" t="str">
        <f t="shared" ref="F387:F450" si="6">IF(E387&gt;50,"Old",IF(E387&gt;=31,"Middle Age",IF(E387&lt;31,"Young","Invalid")))</f>
        <v>Young</v>
      </c>
      <c r="G387" t="s">
        <v>32</v>
      </c>
      <c r="H387" s="3">
        <v>1151</v>
      </c>
      <c r="I387" t="s">
        <v>14</v>
      </c>
      <c r="J387">
        <v>1</v>
      </c>
    </row>
    <row r="388" spans="1:10" x14ac:dyDescent="0.25">
      <c r="A388" t="s">
        <v>125</v>
      </c>
      <c r="B388" t="s">
        <v>61</v>
      </c>
      <c r="C388" t="s">
        <v>712</v>
      </c>
      <c r="D388" t="s">
        <v>8</v>
      </c>
      <c r="E388">
        <v>36</v>
      </c>
      <c r="F388" t="str">
        <f t="shared" si="6"/>
        <v>Middle Age</v>
      </c>
      <c r="G388" t="s">
        <v>86</v>
      </c>
      <c r="H388" s="3">
        <v>682</v>
      </c>
      <c r="I388" t="s">
        <v>14</v>
      </c>
      <c r="J388">
        <v>0</v>
      </c>
    </row>
    <row r="389" spans="1:10" x14ac:dyDescent="0.25">
      <c r="A389" t="s">
        <v>267</v>
      </c>
      <c r="B389" t="s">
        <v>1</v>
      </c>
      <c r="C389" t="s">
        <v>713</v>
      </c>
      <c r="D389" t="s">
        <v>8</v>
      </c>
      <c r="E389">
        <v>50</v>
      </c>
      <c r="F389" t="str">
        <f t="shared" si="6"/>
        <v>Middle Age</v>
      </c>
      <c r="G389" t="s">
        <v>86</v>
      </c>
      <c r="H389" s="3">
        <v>4473</v>
      </c>
      <c r="I389" t="s">
        <v>4</v>
      </c>
      <c r="J389">
        <v>1</v>
      </c>
    </row>
    <row r="390" spans="1:10" x14ac:dyDescent="0.25">
      <c r="A390" t="s">
        <v>319</v>
      </c>
      <c r="B390" t="s">
        <v>11</v>
      </c>
      <c r="C390" t="s">
        <v>714</v>
      </c>
      <c r="D390" t="s">
        <v>3</v>
      </c>
      <c r="E390">
        <v>28</v>
      </c>
      <c r="F390" t="str">
        <f t="shared" si="6"/>
        <v>Young</v>
      </c>
      <c r="G390" t="s">
        <v>197</v>
      </c>
      <c r="H390" s="3">
        <v>2262</v>
      </c>
      <c r="I390" t="s">
        <v>4</v>
      </c>
      <c r="J390">
        <v>3</v>
      </c>
    </row>
    <row r="391" spans="1:10" x14ac:dyDescent="0.25">
      <c r="A391" t="s">
        <v>637</v>
      </c>
      <c r="B391" t="s">
        <v>317</v>
      </c>
      <c r="C391" t="s">
        <v>715</v>
      </c>
      <c r="D391" t="s">
        <v>3</v>
      </c>
      <c r="E391">
        <v>57</v>
      </c>
      <c r="F391" t="str">
        <f t="shared" si="6"/>
        <v>Old</v>
      </c>
      <c r="G391" t="s">
        <v>134</v>
      </c>
      <c r="H391" s="3">
        <v>9332</v>
      </c>
      <c r="I391" t="s">
        <v>4</v>
      </c>
      <c r="J391">
        <v>1</v>
      </c>
    </row>
    <row r="392" spans="1:10" x14ac:dyDescent="0.25">
      <c r="A392" t="s">
        <v>203</v>
      </c>
      <c r="B392" t="s">
        <v>74</v>
      </c>
      <c r="C392" t="s">
        <v>716</v>
      </c>
      <c r="D392" t="s">
        <v>8</v>
      </c>
      <c r="E392">
        <v>28</v>
      </c>
      <c r="F392" t="str">
        <f t="shared" si="6"/>
        <v>Young</v>
      </c>
      <c r="G392" t="s">
        <v>76</v>
      </c>
      <c r="H392" s="3">
        <v>8005</v>
      </c>
      <c r="I392" t="s">
        <v>14</v>
      </c>
      <c r="J392">
        <v>0</v>
      </c>
    </row>
    <row r="393" spans="1:10" x14ac:dyDescent="0.25">
      <c r="A393" t="s">
        <v>188</v>
      </c>
      <c r="B393" t="s">
        <v>88</v>
      </c>
      <c r="C393" t="s">
        <v>717</v>
      </c>
      <c r="D393" t="s">
        <v>8</v>
      </c>
      <c r="E393">
        <v>46</v>
      </c>
      <c r="F393" t="str">
        <f t="shared" si="6"/>
        <v>Middle Age</v>
      </c>
      <c r="G393" t="s">
        <v>290</v>
      </c>
      <c r="H393" s="3">
        <v>8678</v>
      </c>
      <c r="I393" t="s">
        <v>14</v>
      </c>
      <c r="J393">
        <v>1</v>
      </c>
    </row>
    <row r="394" spans="1:10" x14ac:dyDescent="0.25">
      <c r="A394" t="s">
        <v>214</v>
      </c>
      <c r="B394" t="s">
        <v>180</v>
      </c>
      <c r="C394" t="s">
        <v>718</v>
      </c>
      <c r="D394" t="s">
        <v>3</v>
      </c>
      <c r="E394">
        <v>30</v>
      </c>
      <c r="F394" t="str">
        <f t="shared" si="6"/>
        <v>Young</v>
      </c>
      <c r="G394" t="s">
        <v>47</v>
      </c>
      <c r="H394" s="3">
        <v>3771</v>
      </c>
      <c r="I394" t="s">
        <v>4</v>
      </c>
      <c r="J394">
        <v>1</v>
      </c>
    </row>
    <row r="395" spans="1:10" x14ac:dyDescent="0.25">
      <c r="A395" t="s">
        <v>639</v>
      </c>
      <c r="B395" t="s">
        <v>105</v>
      </c>
      <c r="C395" t="s">
        <v>719</v>
      </c>
      <c r="D395" t="s">
        <v>8</v>
      </c>
      <c r="E395">
        <v>37</v>
      </c>
      <c r="F395" t="str">
        <f t="shared" si="6"/>
        <v>Middle Age</v>
      </c>
      <c r="G395" t="s">
        <v>59</v>
      </c>
      <c r="H395" s="3">
        <v>9917</v>
      </c>
      <c r="I395" t="s">
        <v>14</v>
      </c>
      <c r="J395">
        <v>4</v>
      </c>
    </row>
    <row r="396" spans="1:10" x14ac:dyDescent="0.25">
      <c r="A396" t="s">
        <v>348</v>
      </c>
      <c r="B396" t="s">
        <v>375</v>
      </c>
      <c r="C396" t="s">
        <v>720</v>
      </c>
      <c r="D396" t="s">
        <v>3</v>
      </c>
      <c r="E396">
        <v>42</v>
      </c>
      <c r="F396" t="str">
        <f t="shared" si="6"/>
        <v>Middle Age</v>
      </c>
      <c r="G396" t="s">
        <v>47</v>
      </c>
      <c r="H396" s="3">
        <v>8015</v>
      </c>
      <c r="I396" t="s">
        <v>14</v>
      </c>
      <c r="J396">
        <v>5</v>
      </c>
    </row>
    <row r="397" spans="1:10" x14ac:dyDescent="0.25">
      <c r="A397" t="s">
        <v>660</v>
      </c>
      <c r="B397" t="s">
        <v>604</v>
      </c>
      <c r="C397" t="s">
        <v>721</v>
      </c>
      <c r="D397" t="s">
        <v>8</v>
      </c>
      <c r="E397">
        <v>20</v>
      </c>
      <c r="F397" t="str">
        <f t="shared" si="6"/>
        <v>Young</v>
      </c>
      <c r="G397" t="s">
        <v>114</v>
      </c>
      <c r="H397" s="3">
        <v>8588</v>
      </c>
      <c r="I397" t="s">
        <v>14</v>
      </c>
      <c r="J397">
        <v>1</v>
      </c>
    </row>
    <row r="398" spans="1:10" x14ac:dyDescent="0.25">
      <c r="A398" t="s">
        <v>5</v>
      </c>
      <c r="B398" t="s">
        <v>326</v>
      </c>
      <c r="C398" t="s">
        <v>722</v>
      </c>
      <c r="D398" t="s">
        <v>8</v>
      </c>
      <c r="E398">
        <v>20</v>
      </c>
      <c r="F398" t="str">
        <f t="shared" si="6"/>
        <v>Young</v>
      </c>
      <c r="G398" t="s">
        <v>172</v>
      </c>
      <c r="H398" s="3">
        <v>6887</v>
      </c>
      <c r="I398" t="s">
        <v>4</v>
      </c>
      <c r="J398">
        <v>0</v>
      </c>
    </row>
    <row r="399" spans="1:10" x14ac:dyDescent="0.25">
      <c r="A399" t="s">
        <v>370</v>
      </c>
      <c r="B399" t="s">
        <v>622</v>
      </c>
      <c r="C399" t="s">
        <v>723</v>
      </c>
      <c r="D399" t="s">
        <v>8</v>
      </c>
      <c r="E399">
        <v>31</v>
      </c>
      <c r="F399" t="str">
        <f t="shared" si="6"/>
        <v>Middle Age</v>
      </c>
      <c r="G399" t="s">
        <v>82</v>
      </c>
      <c r="H399" s="3">
        <v>3486</v>
      </c>
      <c r="I399" t="s">
        <v>14</v>
      </c>
      <c r="J399">
        <v>0</v>
      </c>
    </row>
    <row r="400" spans="1:10" x14ac:dyDescent="0.25">
      <c r="A400" t="s">
        <v>576</v>
      </c>
      <c r="B400" t="s">
        <v>78</v>
      </c>
      <c r="C400" t="s">
        <v>724</v>
      </c>
      <c r="D400" t="s">
        <v>3</v>
      </c>
      <c r="E400">
        <v>18</v>
      </c>
      <c r="F400" t="str">
        <f t="shared" si="6"/>
        <v>Young</v>
      </c>
      <c r="G400" t="s">
        <v>217</v>
      </c>
      <c r="H400" s="3">
        <v>3869</v>
      </c>
      <c r="I400" t="s">
        <v>14</v>
      </c>
      <c r="J400">
        <v>3</v>
      </c>
    </row>
    <row r="401" spans="1:10" x14ac:dyDescent="0.25">
      <c r="A401" t="s">
        <v>725</v>
      </c>
      <c r="B401" t="s">
        <v>358</v>
      </c>
      <c r="C401" t="s">
        <v>726</v>
      </c>
      <c r="D401" t="s">
        <v>8</v>
      </c>
      <c r="E401">
        <v>48</v>
      </c>
      <c r="F401" t="str">
        <f t="shared" si="6"/>
        <v>Middle Age</v>
      </c>
      <c r="G401" t="s">
        <v>303</v>
      </c>
      <c r="H401" s="3">
        <v>5930</v>
      </c>
      <c r="I401" t="s">
        <v>4</v>
      </c>
      <c r="J401">
        <v>3</v>
      </c>
    </row>
    <row r="402" spans="1:10" x14ac:dyDescent="0.25">
      <c r="A402" t="s">
        <v>360</v>
      </c>
      <c r="B402" t="s">
        <v>504</v>
      </c>
      <c r="C402" t="s">
        <v>727</v>
      </c>
      <c r="D402" t="s">
        <v>3</v>
      </c>
      <c r="E402">
        <v>23</v>
      </c>
      <c r="F402" t="str">
        <f t="shared" si="6"/>
        <v>Young</v>
      </c>
      <c r="G402" t="s">
        <v>9</v>
      </c>
      <c r="H402" s="3">
        <v>7096</v>
      </c>
      <c r="I402" t="s">
        <v>4</v>
      </c>
      <c r="J402">
        <v>2</v>
      </c>
    </row>
    <row r="403" spans="1:10" x14ac:dyDescent="0.25">
      <c r="A403" t="s">
        <v>443</v>
      </c>
      <c r="B403" t="s">
        <v>180</v>
      </c>
      <c r="C403" t="s">
        <v>728</v>
      </c>
      <c r="D403" t="s">
        <v>3</v>
      </c>
      <c r="E403">
        <v>21</v>
      </c>
      <c r="F403" t="str">
        <f t="shared" si="6"/>
        <v>Young</v>
      </c>
      <c r="G403" t="s">
        <v>303</v>
      </c>
      <c r="H403" s="3">
        <v>4159</v>
      </c>
      <c r="I403" t="s">
        <v>4</v>
      </c>
      <c r="J403">
        <v>4</v>
      </c>
    </row>
    <row r="404" spans="1:10" x14ac:dyDescent="0.25">
      <c r="A404" t="s">
        <v>493</v>
      </c>
      <c r="B404" t="s">
        <v>71</v>
      </c>
      <c r="C404" t="s">
        <v>729</v>
      </c>
      <c r="D404" t="s">
        <v>3</v>
      </c>
      <c r="E404">
        <v>19</v>
      </c>
      <c r="F404" t="str">
        <f t="shared" si="6"/>
        <v>Young</v>
      </c>
      <c r="G404" t="s">
        <v>303</v>
      </c>
      <c r="H404" s="3">
        <v>6572</v>
      </c>
      <c r="I404" t="s">
        <v>4</v>
      </c>
      <c r="J404">
        <v>2</v>
      </c>
    </row>
    <row r="405" spans="1:10" x14ac:dyDescent="0.25">
      <c r="A405" t="s">
        <v>154</v>
      </c>
      <c r="B405" t="s">
        <v>368</v>
      </c>
      <c r="C405" t="s">
        <v>730</v>
      </c>
      <c r="D405" t="s">
        <v>8</v>
      </c>
      <c r="E405">
        <v>60</v>
      </c>
      <c r="F405" t="str">
        <f t="shared" si="6"/>
        <v>Old</v>
      </c>
      <c r="G405" t="s">
        <v>165</v>
      </c>
      <c r="H405" s="3">
        <v>540</v>
      </c>
      <c r="I405" t="s">
        <v>4</v>
      </c>
      <c r="J405">
        <v>3</v>
      </c>
    </row>
    <row r="406" spans="1:10" x14ac:dyDescent="0.25">
      <c r="A406" t="s">
        <v>731</v>
      </c>
      <c r="B406" t="s">
        <v>142</v>
      </c>
      <c r="C406" t="s">
        <v>732</v>
      </c>
      <c r="D406" t="s">
        <v>8</v>
      </c>
      <c r="E406">
        <v>30</v>
      </c>
      <c r="F406" t="str">
        <f t="shared" si="6"/>
        <v>Young</v>
      </c>
      <c r="G406" t="s">
        <v>172</v>
      </c>
      <c r="H406" s="3">
        <v>9974</v>
      </c>
      <c r="I406" t="s">
        <v>14</v>
      </c>
      <c r="J406">
        <v>3</v>
      </c>
    </row>
    <row r="407" spans="1:10" x14ac:dyDescent="0.25">
      <c r="A407" t="s">
        <v>354</v>
      </c>
      <c r="B407" t="s">
        <v>67</v>
      </c>
      <c r="C407" t="s">
        <v>733</v>
      </c>
      <c r="D407" t="s">
        <v>8</v>
      </c>
      <c r="E407">
        <v>22</v>
      </c>
      <c r="F407" t="str">
        <f t="shared" si="6"/>
        <v>Young</v>
      </c>
      <c r="G407" t="s">
        <v>217</v>
      </c>
      <c r="H407" s="3">
        <v>1976</v>
      </c>
      <c r="I407" t="s">
        <v>14</v>
      </c>
      <c r="J407">
        <v>0</v>
      </c>
    </row>
    <row r="408" spans="1:10" x14ac:dyDescent="0.25">
      <c r="A408" t="s">
        <v>336</v>
      </c>
      <c r="B408" t="s">
        <v>61</v>
      </c>
      <c r="C408" t="s">
        <v>734</v>
      </c>
      <c r="D408" t="s">
        <v>8</v>
      </c>
      <c r="E408">
        <v>25</v>
      </c>
      <c r="F408" t="str">
        <f t="shared" si="6"/>
        <v>Young</v>
      </c>
      <c r="G408" t="s">
        <v>187</v>
      </c>
      <c r="H408" s="3">
        <v>2768</v>
      </c>
      <c r="I408" t="s">
        <v>4</v>
      </c>
      <c r="J408">
        <v>5</v>
      </c>
    </row>
    <row r="409" spans="1:10" x14ac:dyDescent="0.25">
      <c r="A409" t="s">
        <v>403</v>
      </c>
      <c r="B409" t="s">
        <v>155</v>
      </c>
      <c r="C409" t="s">
        <v>735</v>
      </c>
      <c r="D409" t="s">
        <v>8</v>
      </c>
      <c r="E409">
        <v>32</v>
      </c>
      <c r="F409" t="str">
        <f t="shared" si="6"/>
        <v>Middle Age</v>
      </c>
      <c r="G409" t="s">
        <v>199</v>
      </c>
      <c r="H409" s="3">
        <v>1120</v>
      </c>
      <c r="I409" t="s">
        <v>4</v>
      </c>
      <c r="J409">
        <v>1</v>
      </c>
    </row>
    <row r="410" spans="1:10" x14ac:dyDescent="0.25">
      <c r="A410" t="s">
        <v>183</v>
      </c>
      <c r="B410" t="s">
        <v>84</v>
      </c>
      <c r="C410" t="s">
        <v>184</v>
      </c>
      <c r="D410" t="s">
        <v>3</v>
      </c>
      <c r="E410">
        <v>22</v>
      </c>
      <c r="F410" t="str">
        <f t="shared" si="6"/>
        <v>Young</v>
      </c>
      <c r="G410" t="s">
        <v>160</v>
      </c>
      <c r="H410" s="3">
        <v>3875</v>
      </c>
      <c r="I410" t="s">
        <v>4</v>
      </c>
      <c r="J410">
        <v>2</v>
      </c>
    </row>
    <row r="411" spans="1:10" x14ac:dyDescent="0.25">
      <c r="A411" t="s">
        <v>456</v>
      </c>
      <c r="B411" t="s">
        <v>358</v>
      </c>
      <c r="C411" t="s">
        <v>736</v>
      </c>
      <c r="D411" t="s">
        <v>3</v>
      </c>
      <c r="E411">
        <v>42</v>
      </c>
      <c r="F411" t="str">
        <f t="shared" si="6"/>
        <v>Middle Age</v>
      </c>
      <c r="G411" t="s">
        <v>9</v>
      </c>
      <c r="H411" s="3">
        <v>9377</v>
      </c>
      <c r="I411" t="s">
        <v>14</v>
      </c>
      <c r="J411">
        <v>3</v>
      </c>
    </row>
    <row r="412" spans="1:10" x14ac:dyDescent="0.25">
      <c r="A412" t="s">
        <v>417</v>
      </c>
      <c r="B412" t="s">
        <v>556</v>
      </c>
      <c r="C412" t="s">
        <v>737</v>
      </c>
      <c r="D412" t="s">
        <v>8</v>
      </c>
      <c r="E412">
        <v>46</v>
      </c>
      <c r="F412" t="str">
        <f t="shared" si="6"/>
        <v>Middle Age</v>
      </c>
      <c r="G412" t="s">
        <v>227</v>
      </c>
      <c r="H412" s="3">
        <v>2695</v>
      </c>
      <c r="I412" t="s">
        <v>4</v>
      </c>
      <c r="J412">
        <v>5</v>
      </c>
    </row>
    <row r="413" spans="1:10" x14ac:dyDescent="0.25">
      <c r="A413" t="s">
        <v>22</v>
      </c>
      <c r="B413" t="s">
        <v>122</v>
      </c>
      <c r="C413" t="s">
        <v>738</v>
      </c>
      <c r="D413" t="s">
        <v>3</v>
      </c>
      <c r="E413">
        <v>48</v>
      </c>
      <c r="F413" t="str">
        <f t="shared" si="6"/>
        <v>Middle Age</v>
      </c>
      <c r="G413" t="s">
        <v>293</v>
      </c>
      <c r="H413" s="3">
        <v>5213</v>
      </c>
      <c r="I413" t="s">
        <v>14</v>
      </c>
      <c r="J413">
        <v>3</v>
      </c>
    </row>
    <row r="414" spans="1:10" x14ac:dyDescent="0.25">
      <c r="A414" t="s">
        <v>739</v>
      </c>
      <c r="B414" t="s">
        <v>132</v>
      </c>
      <c r="C414" t="s">
        <v>740</v>
      </c>
      <c r="D414" t="s">
        <v>8</v>
      </c>
      <c r="E414">
        <v>42</v>
      </c>
      <c r="F414" t="str">
        <f t="shared" si="6"/>
        <v>Middle Age</v>
      </c>
      <c r="G414" t="s">
        <v>63</v>
      </c>
      <c r="H414" s="3">
        <v>5434</v>
      </c>
      <c r="I414" t="s">
        <v>14</v>
      </c>
      <c r="J414">
        <v>5</v>
      </c>
    </row>
    <row r="415" spans="1:10" x14ac:dyDescent="0.25">
      <c r="A415" t="s">
        <v>568</v>
      </c>
      <c r="B415" t="s">
        <v>23</v>
      </c>
      <c r="C415" t="s">
        <v>741</v>
      </c>
      <c r="D415" t="s">
        <v>3</v>
      </c>
      <c r="E415">
        <v>35</v>
      </c>
      <c r="F415" t="str">
        <f t="shared" si="6"/>
        <v>Middle Age</v>
      </c>
      <c r="G415" t="s">
        <v>211</v>
      </c>
      <c r="H415" s="3">
        <v>3641</v>
      </c>
      <c r="I415" t="s">
        <v>14</v>
      </c>
      <c r="J415">
        <v>2</v>
      </c>
    </row>
    <row r="416" spans="1:10" x14ac:dyDescent="0.25">
      <c r="A416" t="s">
        <v>423</v>
      </c>
      <c r="B416" t="s">
        <v>294</v>
      </c>
      <c r="C416" t="s">
        <v>742</v>
      </c>
      <c r="D416" t="s">
        <v>8</v>
      </c>
      <c r="E416">
        <v>55</v>
      </c>
      <c r="F416" t="str">
        <f t="shared" si="6"/>
        <v>Old</v>
      </c>
      <c r="G416" t="s">
        <v>69</v>
      </c>
      <c r="H416" s="3">
        <v>7462</v>
      </c>
      <c r="I416" t="s">
        <v>14</v>
      </c>
      <c r="J416">
        <v>2</v>
      </c>
    </row>
    <row r="417" spans="1:10" x14ac:dyDescent="0.25">
      <c r="A417" t="s">
        <v>379</v>
      </c>
      <c r="B417" t="s">
        <v>220</v>
      </c>
      <c r="C417" t="s">
        <v>743</v>
      </c>
      <c r="D417" t="s">
        <v>8</v>
      </c>
      <c r="E417">
        <v>28</v>
      </c>
      <c r="F417" t="str">
        <f t="shared" si="6"/>
        <v>Young</v>
      </c>
      <c r="G417" t="s">
        <v>165</v>
      </c>
      <c r="H417" s="3">
        <v>5721</v>
      </c>
      <c r="I417" t="s">
        <v>4</v>
      </c>
      <c r="J417">
        <v>3</v>
      </c>
    </row>
    <row r="418" spans="1:10" x14ac:dyDescent="0.25">
      <c r="A418" t="s">
        <v>437</v>
      </c>
      <c r="B418" t="s">
        <v>744</v>
      </c>
      <c r="C418" t="s">
        <v>745</v>
      </c>
      <c r="D418" t="s">
        <v>8</v>
      </c>
      <c r="E418">
        <v>48</v>
      </c>
      <c r="F418" t="str">
        <f t="shared" si="6"/>
        <v>Middle Age</v>
      </c>
      <c r="G418" t="s">
        <v>234</v>
      </c>
      <c r="H418" s="3">
        <v>5032</v>
      </c>
      <c r="I418" t="s">
        <v>14</v>
      </c>
      <c r="J418">
        <v>1</v>
      </c>
    </row>
    <row r="419" spans="1:10" x14ac:dyDescent="0.25">
      <c r="A419" t="s">
        <v>70</v>
      </c>
      <c r="B419" t="s">
        <v>334</v>
      </c>
      <c r="C419" t="s">
        <v>746</v>
      </c>
      <c r="D419" t="s">
        <v>3</v>
      </c>
      <c r="E419">
        <v>29</v>
      </c>
      <c r="F419" t="str">
        <f t="shared" si="6"/>
        <v>Young</v>
      </c>
      <c r="G419" t="s">
        <v>114</v>
      </c>
      <c r="H419" s="3">
        <v>2870</v>
      </c>
      <c r="I419" t="s">
        <v>14</v>
      </c>
      <c r="J419">
        <v>5</v>
      </c>
    </row>
    <row r="420" spans="1:10" x14ac:dyDescent="0.25">
      <c r="A420" t="s">
        <v>534</v>
      </c>
      <c r="B420" t="s">
        <v>249</v>
      </c>
      <c r="C420" t="s">
        <v>747</v>
      </c>
      <c r="D420" t="s">
        <v>3</v>
      </c>
      <c r="E420">
        <v>20</v>
      </c>
      <c r="F420" t="str">
        <f t="shared" si="6"/>
        <v>Young</v>
      </c>
      <c r="G420" t="s">
        <v>197</v>
      </c>
      <c r="H420" s="3">
        <v>4950</v>
      </c>
      <c r="I420" t="s">
        <v>14</v>
      </c>
      <c r="J420">
        <v>5</v>
      </c>
    </row>
    <row r="421" spans="1:10" x14ac:dyDescent="0.25">
      <c r="A421" t="s">
        <v>333</v>
      </c>
      <c r="B421" t="s">
        <v>433</v>
      </c>
      <c r="C421" t="s">
        <v>748</v>
      </c>
      <c r="D421" t="s">
        <v>3</v>
      </c>
      <c r="E421">
        <v>25</v>
      </c>
      <c r="F421" t="str">
        <f t="shared" si="6"/>
        <v>Young</v>
      </c>
      <c r="G421" t="s">
        <v>43</v>
      </c>
      <c r="H421" s="3">
        <v>6903</v>
      </c>
      <c r="I421" t="s">
        <v>14</v>
      </c>
      <c r="J421">
        <v>4</v>
      </c>
    </row>
    <row r="422" spans="1:10" x14ac:dyDescent="0.25">
      <c r="A422" t="s">
        <v>356</v>
      </c>
      <c r="B422" t="s">
        <v>334</v>
      </c>
      <c r="C422" t="s">
        <v>749</v>
      </c>
      <c r="D422" t="s">
        <v>8</v>
      </c>
      <c r="E422">
        <v>26</v>
      </c>
      <c r="F422" t="str">
        <f t="shared" si="6"/>
        <v>Young</v>
      </c>
      <c r="G422" t="s">
        <v>293</v>
      </c>
      <c r="H422" s="3">
        <v>6577</v>
      </c>
      <c r="I422" t="s">
        <v>14</v>
      </c>
      <c r="J422">
        <v>4</v>
      </c>
    </row>
    <row r="423" spans="1:10" x14ac:dyDescent="0.25">
      <c r="A423" t="s">
        <v>360</v>
      </c>
      <c r="B423" t="s">
        <v>561</v>
      </c>
      <c r="C423" t="s">
        <v>750</v>
      </c>
      <c r="D423" t="s">
        <v>3</v>
      </c>
      <c r="E423">
        <v>42</v>
      </c>
      <c r="F423" t="str">
        <f t="shared" si="6"/>
        <v>Middle Age</v>
      </c>
      <c r="G423" t="s">
        <v>131</v>
      </c>
      <c r="H423" s="3">
        <v>7295</v>
      </c>
      <c r="I423" t="s">
        <v>4</v>
      </c>
      <c r="J423">
        <v>5</v>
      </c>
    </row>
    <row r="424" spans="1:10" x14ac:dyDescent="0.25">
      <c r="A424" t="s">
        <v>64</v>
      </c>
      <c r="B424" t="s">
        <v>122</v>
      </c>
      <c r="C424" t="s">
        <v>751</v>
      </c>
      <c r="D424" t="s">
        <v>3</v>
      </c>
      <c r="E424">
        <v>40</v>
      </c>
      <c r="F424" t="str">
        <f t="shared" si="6"/>
        <v>Middle Age</v>
      </c>
      <c r="G424" t="s">
        <v>36</v>
      </c>
      <c r="H424" s="3">
        <v>6173</v>
      </c>
      <c r="I424" t="s">
        <v>14</v>
      </c>
      <c r="J424">
        <v>2</v>
      </c>
    </row>
    <row r="425" spans="1:10" x14ac:dyDescent="0.25">
      <c r="A425" t="s">
        <v>690</v>
      </c>
      <c r="B425" t="s">
        <v>112</v>
      </c>
      <c r="C425" t="s">
        <v>752</v>
      </c>
      <c r="D425" t="s">
        <v>8</v>
      </c>
      <c r="E425">
        <v>29</v>
      </c>
      <c r="F425" t="str">
        <f t="shared" si="6"/>
        <v>Young</v>
      </c>
      <c r="G425" t="s">
        <v>80</v>
      </c>
      <c r="H425" s="3">
        <v>8584</v>
      </c>
      <c r="I425" t="s">
        <v>4</v>
      </c>
      <c r="J425">
        <v>4</v>
      </c>
    </row>
    <row r="426" spans="1:10" x14ac:dyDescent="0.25">
      <c r="A426" t="s">
        <v>93</v>
      </c>
      <c r="B426" t="s">
        <v>552</v>
      </c>
      <c r="C426" t="s">
        <v>753</v>
      </c>
      <c r="D426" t="s">
        <v>3</v>
      </c>
      <c r="E426">
        <v>32</v>
      </c>
      <c r="F426" t="str">
        <f t="shared" si="6"/>
        <v>Middle Age</v>
      </c>
      <c r="G426" t="s">
        <v>217</v>
      </c>
      <c r="H426" s="3">
        <v>3726</v>
      </c>
      <c r="I426" t="s">
        <v>14</v>
      </c>
      <c r="J426">
        <v>5</v>
      </c>
    </row>
    <row r="427" spans="1:10" x14ac:dyDescent="0.25">
      <c r="A427" t="s">
        <v>666</v>
      </c>
      <c r="B427" t="s">
        <v>61</v>
      </c>
      <c r="C427" t="s">
        <v>754</v>
      </c>
      <c r="D427" t="s">
        <v>8</v>
      </c>
      <c r="E427">
        <v>52</v>
      </c>
      <c r="F427" t="str">
        <f t="shared" si="6"/>
        <v>Old</v>
      </c>
      <c r="G427" t="s">
        <v>270</v>
      </c>
      <c r="H427" s="3">
        <v>2843</v>
      </c>
      <c r="I427" t="s">
        <v>4</v>
      </c>
      <c r="J427">
        <v>4</v>
      </c>
    </row>
    <row r="428" spans="1:10" x14ac:dyDescent="0.25">
      <c r="A428" t="s">
        <v>44</v>
      </c>
      <c r="B428" t="s">
        <v>340</v>
      </c>
      <c r="C428" t="s">
        <v>755</v>
      </c>
      <c r="D428" t="s">
        <v>8</v>
      </c>
      <c r="E428">
        <v>25</v>
      </c>
      <c r="F428" t="str">
        <f t="shared" si="6"/>
        <v>Young</v>
      </c>
      <c r="G428" t="s">
        <v>25</v>
      </c>
      <c r="H428" s="3">
        <v>7543</v>
      </c>
      <c r="I428" t="s">
        <v>4</v>
      </c>
      <c r="J428">
        <v>0</v>
      </c>
    </row>
    <row r="429" spans="1:10" x14ac:dyDescent="0.25">
      <c r="A429" t="s">
        <v>403</v>
      </c>
      <c r="B429" t="s">
        <v>174</v>
      </c>
      <c r="C429" t="s">
        <v>756</v>
      </c>
      <c r="D429" t="s">
        <v>8</v>
      </c>
      <c r="E429">
        <v>51</v>
      </c>
      <c r="F429" t="str">
        <f t="shared" si="6"/>
        <v>Old</v>
      </c>
      <c r="G429" t="s">
        <v>21</v>
      </c>
      <c r="H429" s="3">
        <v>5853</v>
      </c>
      <c r="I429" t="s">
        <v>14</v>
      </c>
      <c r="J429">
        <v>1</v>
      </c>
    </row>
    <row r="430" spans="1:10" x14ac:dyDescent="0.25">
      <c r="A430" t="s">
        <v>757</v>
      </c>
      <c r="B430" t="s">
        <v>148</v>
      </c>
      <c r="C430" t="s">
        <v>758</v>
      </c>
      <c r="D430" t="s">
        <v>3</v>
      </c>
      <c r="E430">
        <v>33</v>
      </c>
      <c r="F430" t="str">
        <f t="shared" si="6"/>
        <v>Middle Age</v>
      </c>
      <c r="G430" t="s">
        <v>234</v>
      </c>
      <c r="H430" s="3">
        <v>6838</v>
      </c>
      <c r="I430" t="s">
        <v>4</v>
      </c>
      <c r="J430">
        <v>1</v>
      </c>
    </row>
    <row r="431" spans="1:10" x14ac:dyDescent="0.25">
      <c r="A431" t="s">
        <v>445</v>
      </c>
      <c r="B431" t="s">
        <v>459</v>
      </c>
      <c r="C431" t="s">
        <v>759</v>
      </c>
      <c r="D431" t="s">
        <v>3</v>
      </c>
      <c r="E431">
        <v>50</v>
      </c>
      <c r="F431" t="str">
        <f t="shared" si="6"/>
        <v>Middle Age</v>
      </c>
      <c r="G431" t="s">
        <v>36</v>
      </c>
      <c r="H431" s="3">
        <v>9570</v>
      </c>
      <c r="I431" t="s">
        <v>4</v>
      </c>
      <c r="J431">
        <v>5</v>
      </c>
    </row>
    <row r="432" spans="1:10" x14ac:dyDescent="0.25">
      <c r="A432" t="s">
        <v>100</v>
      </c>
      <c r="B432" t="s">
        <v>433</v>
      </c>
      <c r="C432" t="s">
        <v>760</v>
      </c>
      <c r="D432" t="s">
        <v>8</v>
      </c>
      <c r="E432">
        <v>28</v>
      </c>
      <c r="F432" t="str">
        <f t="shared" si="6"/>
        <v>Young</v>
      </c>
      <c r="G432" t="s">
        <v>270</v>
      </c>
      <c r="H432" s="3">
        <v>4870</v>
      </c>
      <c r="I432" t="s">
        <v>4</v>
      </c>
      <c r="J432">
        <v>1</v>
      </c>
    </row>
    <row r="433" spans="1:10" x14ac:dyDescent="0.25">
      <c r="A433" t="s">
        <v>26</v>
      </c>
      <c r="B433" t="s">
        <v>132</v>
      </c>
      <c r="C433" t="s">
        <v>761</v>
      </c>
      <c r="D433" t="s">
        <v>8</v>
      </c>
      <c r="E433">
        <v>20</v>
      </c>
      <c r="F433" t="str">
        <f t="shared" si="6"/>
        <v>Young</v>
      </c>
      <c r="G433" t="s">
        <v>80</v>
      </c>
      <c r="H433" s="3">
        <v>8863</v>
      </c>
      <c r="I433" t="s">
        <v>14</v>
      </c>
      <c r="J433">
        <v>2</v>
      </c>
    </row>
    <row r="434" spans="1:10" x14ac:dyDescent="0.25">
      <c r="A434" t="s">
        <v>762</v>
      </c>
      <c r="B434" t="s">
        <v>635</v>
      </c>
      <c r="C434" t="s">
        <v>763</v>
      </c>
      <c r="D434" t="s">
        <v>3</v>
      </c>
      <c r="E434">
        <v>49</v>
      </c>
      <c r="F434" t="str">
        <f t="shared" si="6"/>
        <v>Middle Age</v>
      </c>
      <c r="G434" t="s">
        <v>227</v>
      </c>
      <c r="H434" s="3">
        <v>4748</v>
      </c>
      <c r="I434" t="s">
        <v>4</v>
      </c>
      <c r="J434">
        <v>0</v>
      </c>
    </row>
    <row r="435" spans="1:10" x14ac:dyDescent="0.25">
      <c r="A435" t="s">
        <v>304</v>
      </c>
      <c r="B435" t="s">
        <v>358</v>
      </c>
      <c r="C435" t="s">
        <v>764</v>
      </c>
      <c r="D435" t="s">
        <v>3</v>
      </c>
      <c r="E435">
        <v>52</v>
      </c>
      <c r="F435" t="str">
        <f t="shared" si="6"/>
        <v>Old</v>
      </c>
      <c r="G435" t="s">
        <v>82</v>
      </c>
      <c r="H435" s="3">
        <v>1476</v>
      </c>
      <c r="I435" t="s">
        <v>14</v>
      </c>
      <c r="J435">
        <v>1</v>
      </c>
    </row>
    <row r="436" spans="1:10" x14ac:dyDescent="0.25">
      <c r="A436" t="s">
        <v>765</v>
      </c>
      <c r="B436" t="s">
        <v>504</v>
      </c>
      <c r="C436" t="s">
        <v>766</v>
      </c>
      <c r="D436" t="s">
        <v>8</v>
      </c>
      <c r="E436">
        <v>35</v>
      </c>
      <c r="F436" t="str">
        <f t="shared" si="6"/>
        <v>Middle Age</v>
      </c>
      <c r="G436" t="s">
        <v>25</v>
      </c>
      <c r="H436" s="3">
        <v>6813</v>
      </c>
      <c r="I436" t="s">
        <v>4</v>
      </c>
      <c r="J436">
        <v>4</v>
      </c>
    </row>
    <row r="437" spans="1:10" x14ac:dyDescent="0.25">
      <c r="A437" t="s">
        <v>307</v>
      </c>
      <c r="B437" t="s">
        <v>415</v>
      </c>
      <c r="C437" t="s">
        <v>767</v>
      </c>
      <c r="D437" t="s">
        <v>3</v>
      </c>
      <c r="E437">
        <v>22</v>
      </c>
      <c r="F437" t="str">
        <f t="shared" si="6"/>
        <v>Young</v>
      </c>
      <c r="G437" t="s">
        <v>256</v>
      </c>
      <c r="H437" s="3">
        <v>2644</v>
      </c>
      <c r="I437" t="s">
        <v>4</v>
      </c>
      <c r="J437">
        <v>2</v>
      </c>
    </row>
    <row r="438" spans="1:10" x14ac:dyDescent="0.25">
      <c r="A438" t="s">
        <v>161</v>
      </c>
      <c r="B438" t="s">
        <v>371</v>
      </c>
      <c r="C438" t="s">
        <v>768</v>
      </c>
      <c r="D438" t="s">
        <v>8</v>
      </c>
      <c r="E438">
        <v>23</v>
      </c>
      <c r="F438" t="str">
        <f t="shared" si="6"/>
        <v>Young</v>
      </c>
      <c r="G438" t="s">
        <v>160</v>
      </c>
      <c r="H438" s="3">
        <v>3777</v>
      </c>
      <c r="I438" t="s">
        <v>4</v>
      </c>
      <c r="J438">
        <v>2</v>
      </c>
    </row>
    <row r="439" spans="1:10" x14ac:dyDescent="0.25">
      <c r="A439" t="s">
        <v>141</v>
      </c>
      <c r="B439" t="s">
        <v>308</v>
      </c>
      <c r="C439" t="s">
        <v>769</v>
      </c>
      <c r="D439" t="s">
        <v>8</v>
      </c>
      <c r="E439">
        <v>27</v>
      </c>
      <c r="F439" t="str">
        <f t="shared" si="6"/>
        <v>Young</v>
      </c>
      <c r="G439" t="s">
        <v>227</v>
      </c>
      <c r="H439" s="3">
        <v>3524</v>
      </c>
      <c r="I439" t="s">
        <v>4</v>
      </c>
      <c r="J439">
        <v>4</v>
      </c>
    </row>
    <row r="440" spans="1:10" x14ac:dyDescent="0.25">
      <c r="A440" t="s">
        <v>700</v>
      </c>
      <c r="B440" t="s">
        <v>433</v>
      </c>
      <c r="C440" t="s">
        <v>770</v>
      </c>
      <c r="D440" t="s">
        <v>3</v>
      </c>
      <c r="E440">
        <v>42</v>
      </c>
      <c r="F440" t="str">
        <f t="shared" si="6"/>
        <v>Middle Age</v>
      </c>
      <c r="G440" t="s">
        <v>248</v>
      </c>
      <c r="H440" s="3">
        <v>2229</v>
      </c>
      <c r="I440" t="s">
        <v>14</v>
      </c>
      <c r="J440">
        <v>3</v>
      </c>
    </row>
    <row r="441" spans="1:10" x14ac:dyDescent="0.25">
      <c r="A441" t="s">
        <v>484</v>
      </c>
      <c r="B441" t="s">
        <v>284</v>
      </c>
      <c r="C441" t="s">
        <v>771</v>
      </c>
      <c r="D441" t="s">
        <v>3</v>
      </c>
      <c r="E441">
        <v>40</v>
      </c>
      <c r="F441" t="str">
        <f t="shared" si="6"/>
        <v>Middle Age</v>
      </c>
      <c r="G441" t="s">
        <v>55</v>
      </c>
      <c r="H441" s="3">
        <v>3353</v>
      </c>
      <c r="I441" t="s">
        <v>4</v>
      </c>
      <c r="J441">
        <v>5</v>
      </c>
    </row>
    <row r="442" spans="1:10" x14ac:dyDescent="0.25">
      <c r="A442" t="s">
        <v>267</v>
      </c>
      <c r="B442" t="s">
        <v>132</v>
      </c>
      <c r="C442" t="s">
        <v>772</v>
      </c>
      <c r="D442" t="s">
        <v>8</v>
      </c>
      <c r="E442">
        <v>36</v>
      </c>
      <c r="F442" t="str">
        <f t="shared" si="6"/>
        <v>Middle Age</v>
      </c>
      <c r="G442" t="s">
        <v>280</v>
      </c>
      <c r="H442" s="3">
        <v>1512</v>
      </c>
      <c r="I442" t="s">
        <v>14</v>
      </c>
      <c r="J442">
        <v>2</v>
      </c>
    </row>
    <row r="443" spans="1:10" x14ac:dyDescent="0.25">
      <c r="A443" t="s">
        <v>731</v>
      </c>
      <c r="B443" t="s">
        <v>11</v>
      </c>
      <c r="C443" t="s">
        <v>773</v>
      </c>
      <c r="D443" t="s">
        <v>8</v>
      </c>
      <c r="E443">
        <v>27</v>
      </c>
      <c r="F443" t="str">
        <f t="shared" si="6"/>
        <v>Young</v>
      </c>
      <c r="G443" t="s">
        <v>194</v>
      </c>
      <c r="H443" s="3">
        <v>9716</v>
      </c>
      <c r="I443" t="s">
        <v>14</v>
      </c>
      <c r="J443">
        <v>3</v>
      </c>
    </row>
    <row r="444" spans="1:10" x14ac:dyDescent="0.25">
      <c r="A444" t="s">
        <v>465</v>
      </c>
      <c r="B444" t="s">
        <v>361</v>
      </c>
      <c r="C444" t="s">
        <v>774</v>
      </c>
      <c r="D444" t="s">
        <v>3</v>
      </c>
      <c r="E444">
        <v>44</v>
      </c>
      <c r="F444" t="str">
        <f t="shared" si="6"/>
        <v>Middle Age</v>
      </c>
      <c r="G444" t="s">
        <v>182</v>
      </c>
      <c r="H444" s="3">
        <v>9417</v>
      </c>
      <c r="I444" t="s">
        <v>4</v>
      </c>
      <c r="J444">
        <v>1</v>
      </c>
    </row>
    <row r="445" spans="1:10" x14ac:dyDescent="0.25">
      <c r="A445" t="s">
        <v>354</v>
      </c>
      <c r="B445" t="s">
        <v>459</v>
      </c>
      <c r="C445" t="s">
        <v>775</v>
      </c>
      <c r="D445" t="s">
        <v>8</v>
      </c>
      <c r="E445">
        <v>57</v>
      </c>
      <c r="F445" t="str">
        <f t="shared" si="6"/>
        <v>Old</v>
      </c>
      <c r="G445" t="s">
        <v>82</v>
      </c>
      <c r="H445" s="3">
        <v>2219</v>
      </c>
      <c r="I445" t="s">
        <v>4</v>
      </c>
      <c r="J445">
        <v>3</v>
      </c>
    </row>
    <row r="446" spans="1:10" x14ac:dyDescent="0.25">
      <c r="A446" t="s">
        <v>480</v>
      </c>
      <c r="B446" t="s">
        <v>177</v>
      </c>
      <c r="C446" t="s">
        <v>776</v>
      </c>
      <c r="D446" t="s">
        <v>8</v>
      </c>
      <c r="E446">
        <v>48</v>
      </c>
      <c r="F446" t="str">
        <f t="shared" si="6"/>
        <v>Middle Age</v>
      </c>
      <c r="G446" t="s">
        <v>86</v>
      </c>
      <c r="H446" s="3">
        <v>9038</v>
      </c>
      <c r="I446" t="s">
        <v>14</v>
      </c>
      <c r="J446">
        <v>5</v>
      </c>
    </row>
    <row r="447" spans="1:10" x14ac:dyDescent="0.25">
      <c r="A447" t="s">
        <v>155</v>
      </c>
      <c r="B447" t="s">
        <v>277</v>
      </c>
      <c r="C447" t="s">
        <v>777</v>
      </c>
      <c r="D447" t="s">
        <v>3</v>
      </c>
      <c r="E447">
        <v>21</v>
      </c>
      <c r="F447" t="str">
        <f t="shared" si="6"/>
        <v>Young</v>
      </c>
      <c r="G447" t="s">
        <v>165</v>
      </c>
      <c r="H447" s="3">
        <v>4661</v>
      </c>
      <c r="I447" t="s">
        <v>4</v>
      </c>
      <c r="J447">
        <v>3</v>
      </c>
    </row>
    <row r="448" spans="1:10" x14ac:dyDescent="0.25">
      <c r="A448" t="s">
        <v>56</v>
      </c>
      <c r="B448" t="s">
        <v>98</v>
      </c>
      <c r="C448" t="s">
        <v>778</v>
      </c>
      <c r="D448" t="s">
        <v>8</v>
      </c>
      <c r="E448">
        <v>52</v>
      </c>
      <c r="F448" t="str">
        <f t="shared" si="6"/>
        <v>Old</v>
      </c>
      <c r="G448" t="s">
        <v>124</v>
      </c>
      <c r="H448" s="3">
        <v>2657</v>
      </c>
      <c r="I448" t="s">
        <v>4</v>
      </c>
      <c r="J448">
        <v>4</v>
      </c>
    </row>
    <row r="449" spans="1:10" x14ac:dyDescent="0.25">
      <c r="A449" t="s">
        <v>551</v>
      </c>
      <c r="B449" t="s">
        <v>49</v>
      </c>
      <c r="C449" t="s">
        <v>779</v>
      </c>
      <c r="D449" t="s">
        <v>8</v>
      </c>
      <c r="E449">
        <v>35</v>
      </c>
      <c r="F449" t="str">
        <f t="shared" si="6"/>
        <v>Middle Age</v>
      </c>
      <c r="G449" t="s">
        <v>150</v>
      </c>
      <c r="H449" s="3">
        <v>8220</v>
      </c>
      <c r="I449" t="s">
        <v>4</v>
      </c>
      <c r="J449">
        <v>5</v>
      </c>
    </row>
    <row r="450" spans="1:10" x14ac:dyDescent="0.25">
      <c r="A450" t="s">
        <v>40</v>
      </c>
      <c r="B450" t="s">
        <v>409</v>
      </c>
      <c r="C450" t="s">
        <v>780</v>
      </c>
      <c r="D450" t="s">
        <v>8</v>
      </c>
      <c r="E450">
        <v>49</v>
      </c>
      <c r="F450" t="str">
        <f t="shared" si="6"/>
        <v>Middle Age</v>
      </c>
      <c r="G450" t="s">
        <v>103</v>
      </c>
      <c r="H450" s="3">
        <v>1031</v>
      </c>
      <c r="I450" t="s">
        <v>14</v>
      </c>
      <c r="J450">
        <v>0</v>
      </c>
    </row>
    <row r="451" spans="1:10" x14ac:dyDescent="0.25">
      <c r="A451" t="s">
        <v>304</v>
      </c>
      <c r="B451" t="s">
        <v>504</v>
      </c>
      <c r="C451" t="s">
        <v>781</v>
      </c>
      <c r="D451" t="s">
        <v>3</v>
      </c>
      <c r="E451">
        <v>54</v>
      </c>
      <c r="F451" t="str">
        <f t="shared" ref="F451:F514" si="7">IF(E451&gt;50,"Old",IF(E451&gt;=31,"Middle Age",IF(E451&lt;31,"Young","Invalid")))</f>
        <v>Old</v>
      </c>
      <c r="G451" t="s">
        <v>172</v>
      </c>
      <c r="H451" s="3">
        <v>5880</v>
      </c>
      <c r="I451" t="s">
        <v>14</v>
      </c>
      <c r="J451">
        <v>5</v>
      </c>
    </row>
    <row r="452" spans="1:10" x14ac:dyDescent="0.25">
      <c r="A452" t="s">
        <v>37</v>
      </c>
      <c r="B452" t="s">
        <v>139</v>
      </c>
      <c r="C452" t="s">
        <v>782</v>
      </c>
      <c r="D452" t="s">
        <v>3</v>
      </c>
      <c r="E452">
        <v>33</v>
      </c>
      <c r="F452" t="str">
        <f t="shared" si="7"/>
        <v>Middle Age</v>
      </c>
      <c r="G452" t="s">
        <v>43</v>
      </c>
      <c r="H452" s="3">
        <v>5199</v>
      </c>
      <c r="I452" t="s">
        <v>14</v>
      </c>
      <c r="J452">
        <v>2</v>
      </c>
    </row>
    <row r="453" spans="1:10" x14ac:dyDescent="0.25">
      <c r="A453" t="s">
        <v>354</v>
      </c>
      <c r="B453" t="s">
        <v>324</v>
      </c>
      <c r="C453" t="s">
        <v>783</v>
      </c>
      <c r="D453" t="s">
        <v>8</v>
      </c>
      <c r="E453">
        <v>41</v>
      </c>
      <c r="F453" t="str">
        <f t="shared" si="7"/>
        <v>Middle Age</v>
      </c>
      <c r="G453" t="s">
        <v>373</v>
      </c>
      <c r="H453" s="3">
        <v>8261</v>
      </c>
      <c r="I453" t="s">
        <v>14</v>
      </c>
      <c r="J453">
        <v>0</v>
      </c>
    </row>
    <row r="454" spans="1:10" x14ac:dyDescent="0.25">
      <c r="A454" t="s">
        <v>304</v>
      </c>
      <c r="B454" t="s">
        <v>180</v>
      </c>
      <c r="C454" t="s">
        <v>784</v>
      </c>
      <c r="D454" t="s">
        <v>3</v>
      </c>
      <c r="E454">
        <v>49</v>
      </c>
      <c r="F454" t="str">
        <f t="shared" si="7"/>
        <v>Middle Age</v>
      </c>
      <c r="G454" t="s">
        <v>248</v>
      </c>
      <c r="H454" s="3">
        <v>1056</v>
      </c>
      <c r="I454" t="s">
        <v>14</v>
      </c>
      <c r="J454">
        <v>2</v>
      </c>
    </row>
    <row r="455" spans="1:10" x14ac:dyDescent="0.25">
      <c r="A455" t="s">
        <v>257</v>
      </c>
      <c r="B455" t="s">
        <v>200</v>
      </c>
      <c r="C455" t="s">
        <v>785</v>
      </c>
      <c r="D455" t="s">
        <v>3</v>
      </c>
      <c r="E455">
        <v>50</v>
      </c>
      <c r="F455" t="str">
        <f t="shared" si="7"/>
        <v>Middle Age</v>
      </c>
      <c r="G455" t="s">
        <v>165</v>
      </c>
      <c r="H455" s="3">
        <v>7188</v>
      </c>
      <c r="I455" t="s">
        <v>14</v>
      </c>
      <c r="J455">
        <v>4</v>
      </c>
    </row>
    <row r="456" spans="1:10" x14ac:dyDescent="0.25">
      <c r="A456" t="s">
        <v>439</v>
      </c>
      <c r="B456" t="s">
        <v>34</v>
      </c>
      <c r="C456" t="s">
        <v>786</v>
      </c>
      <c r="D456" t="s">
        <v>3</v>
      </c>
      <c r="E456">
        <v>46</v>
      </c>
      <c r="F456" t="str">
        <f t="shared" si="7"/>
        <v>Middle Age</v>
      </c>
      <c r="G456" t="s">
        <v>69</v>
      </c>
      <c r="H456" s="3">
        <v>616</v>
      </c>
      <c r="I456" t="s">
        <v>4</v>
      </c>
      <c r="J456">
        <v>0</v>
      </c>
    </row>
    <row r="457" spans="1:10" x14ac:dyDescent="0.25">
      <c r="A457" t="s">
        <v>209</v>
      </c>
      <c r="B457" t="s">
        <v>556</v>
      </c>
      <c r="C457" t="s">
        <v>787</v>
      </c>
      <c r="D457" t="s">
        <v>8</v>
      </c>
      <c r="E457">
        <v>49</v>
      </c>
      <c r="F457" t="str">
        <f t="shared" si="7"/>
        <v>Middle Age</v>
      </c>
      <c r="G457" t="s">
        <v>172</v>
      </c>
      <c r="H457" s="3">
        <v>7756</v>
      </c>
      <c r="I457" t="s">
        <v>14</v>
      </c>
      <c r="J457">
        <v>4</v>
      </c>
    </row>
    <row r="458" spans="1:10" x14ac:dyDescent="0.25">
      <c r="A458" t="s">
        <v>692</v>
      </c>
      <c r="B458" t="s">
        <v>556</v>
      </c>
      <c r="C458" t="s">
        <v>788</v>
      </c>
      <c r="D458" t="s">
        <v>3</v>
      </c>
      <c r="E458">
        <v>44</v>
      </c>
      <c r="F458" t="str">
        <f t="shared" si="7"/>
        <v>Middle Age</v>
      </c>
      <c r="G458" t="s">
        <v>187</v>
      </c>
      <c r="H458" s="3">
        <v>4771</v>
      </c>
      <c r="I458" t="s">
        <v>4</v>
      </c>
      <c r="J458">
        <v>2</v>
      </c>
    </row>
    <row r="459" spans="1:10" x14ac:dyDescent="0.25">
      <c r="A459" t="s">
        <v>263</v>
      </c>
      <c r="B459" t="s">
        <v>340</v>
      </c>
      <c r="C459" t="s">
        <v>789</v>
      </c>
      <c r="D459" t="s">
        <v>3</v>
      </c>
      <c r="E459">
        <v>39</v>
      </c>
      <c r="F459" t="str">
        <f t="shared" si="7"/>
        <v>Middle Age</v>
      </c>
      <c r="G459" t="s">
        <v>131</v>
      </c>
      <c r="H459" s="3">
        <v>1015</v>
      </c>
      <c r="I459" t="s">
        <v>4</v>
      </c>
      <c r="J459">
        <v>3</v>
      </c>
    </row>
    <row r="460" spans="1:10" x14ac:dyDescent="0.25">
      <c r="A460" t="s">
        <v>40</v>
      </c>
      <c r="B460" t="s">
        <v>23</v>
      </c>
      <c r="C460" t="s">
        <v>790</v>
      </c>
      <c r="D460" t="s">
        <v>8</v>
      </c>
      <c r="E460">
        <v>39</v>
      </c>
      <c r="F460" t="str">
        <f t="shared" si="7"/>
        <v>Middle Age</v>
      </c>
      <c r="G460" t="s">
        <v>248</v>
      </c>
      <c r="H460" s="3">
        <v>778</v>
      </c>
      <c r="I460" t="s">
        <v>14</v>
      </c>
      <c r="J460">
        <v>0</v>
      </c>
    </row>
    <row r="461" spans="1:10" x14ac:dyDescent="0.25">
      <c r="A461" t="s">
        <v>339</v>
      </c>
      <c r="B461" t="s">
        <v>324</v>
      </c>
      <c r="C461" t="s">
        <v>791</v>
      </c>
      <c r="D461" t="s">
        <v>8</v>
      </c>
      <c r="E461">
        <v>24</v>
      </c>
      <c r="F461" t="str">
        <f t="shared" si="7"/>
        <v>Young</v>
      </c>
      <c r="G461" t="s">
        <v>59</v>
      </c>
      <c r="H461" s="3">
        <v>9205</v>
      </c>
      <c r="I461" t="s">
        <v>14</v>
      </c>
      <c r="J461">
        <v>1</v>
      </c>
    </row>
    <row r="462" spans="1:10" x14ac:dyDescent="0.25">
      <c r="A462" t="s">
        <v>792</v>
      </c>
      <c r="B462" t="s">
        <v>308</v>
      </c>
      <c r="C462" t="s">
        <v>793</v>
      </c>
      <c r="D462" t="s">
        <v>8</v>
      </c>
      <c r="E462">
        <v>22</v>
      </c>
      <c r="F462" t="str">
        <f t="shared" si="7"/>
        <v>Young</v>
      </c>
      <c r="G462" t="s">
        <v>114</v>
      </c>
      <c r="H462" s="3">
        <v>4803</v>
      </c>
      <c r="I462" t="s">
        <v>14</v>
      </c>
      <c r="J462">
        <v>5</v>
      </c>
    </row>
    <row r="463" spans="1:10" x14ac:dyDescent="0.25">
      <c r="A463" t="s">
        <v>390</v>
      </c>
      <c r="B463" t="s">
        <v>409</v>
      </c>
      <c r="C463" t="s">
        <v>794</v>
      </c>
      <c r="D463" t="s">
        <v>8</v>
      </c>
      <c r="E463">
        <v>41</v>
      </c>
      <c r="F463" t="str">
        <f t="shared" si="7"/>
        <v>Middle Age</v>
      </c>
      <c r="G463" t="s">
        <v>225</v>
      </c>
      <c r="H463" s="3">
        <v>4511</v>
      </c>
      <c r="I463" t="s">
        <v>14</v>
      </c>
      <c r="J463">
        <v>5</v>
      </c>
    </row>
    <row r="464" spans="1:10" x14ac:dyDescent="0.25">
      <c r="A464" t="s">
        <v>400</v>
      </c>
      <c r="B464" t="s">
        <v>16</v>
      </c>
      <c r="C464" t="s">
        <v>795</v>
      </c>
      <c r="D464" t="s">
        <v>3</v>
      </c>
      <c r="E464">
        <v>39</v>
      </c>
      <c r="F464" t="str">
        <f t="shared" si="7"/>
        <v>Middle Age</v>
      </c>
      <c r="G464" t="s">
        <v>231</v>
      </c>
      <c r="H464" s="3">
        <v>4177</v>
      </c>
      <c r="I464" t="s">
        <v>14</v>
      </c>
      <c r="J464">
        <v>2</v>
      </c>
    </row>
    <row r="465" spans="1:10" x14ac:dyDescent="0.25">
      <c r="A465" t="s">
        <v>796</v>
      </c>
      <c r="B465" t="s">
        <v>155</v>
      </c>
      <c r="C465" t="s">
        <v>797</v>
      </c>
      <c r="D465" t="s">
        <v>8</v>
      </c>
      <c r="E465">
        <v>55</v>
      </c>
      <c r="F465" t="str">
        <f t="shared" si="7"/>
        <v>Old</v>
      </c>
      <c r="G465" t="s">
        <v>80</v>
      </c>
      <c r="H465" s="3">
        <v>3160</v>
      </c>
      <c r="I465" t="s">
        <v>4</v>
      </c>
      <c r="J465">
        <v>0</v>
      </c>
    </row>
    <row r="466" spans="1:10" x14ac:dyDescent="0.25">
      <c r="A466" t="s">
        <v>473</v>
      </c>
      <c r="B466" t="s">
        <v>264</v>
      </c>
      <c r="C466" t="s">
        <v>798</v>
      </c>
      <c r="D466" t="s">
        <v>8</v>
      </c>
      <c r="E466">
        <v>48</v>
      </c>
      <c r="F466" t="str">
        <f t="shared" si="7"/>
        <v>Middle Age</v>
      </c>
      <c r="G466" t="s">
        <v>266</v>
      </c>
      <c r="H466" s="3">
        <v>8821</v>
      </c>
      <c r="I466" t="s">
        <v>4</v>
      </c>
      <c r="J466">
        <v>1</v>
      </c>
    </row>
    <row r="467" spans="1:10" x14ac:dyDescent="0.25">
      <c r="A467" t="s">
        <v>642</v>
      </c>
      <c r="B467" t="s">
        <v>340</v>
      </c>
      <c r="C467" t="s">
        <v>799</v>
      </c>
      <c r="D467" t="s">
        <v>3</v>
      </c>
      <c r="E467">
        <v>44</v>
      </c>
      <c r="F467" t="str">
        <f t="shared" si="7"/>
        <v>Middle Age</v>
      </c>
      <c r="G467" t="s">
        <v>266</v>
      </c>
      <c r="H467" s="3">
        <v>3563</v>
      </c>
      <c r="I467" t="s">
        <v>14</v>
      </c>
      <c r="J467">
        <v>5</v>
      </c>
    </row>
    <row r="468" spans="1:10" x14ac:dyDescent="0.25">
      <c r="A468" t="s">
        <v>660</v>
      </c>
      <c r="B468" t="s">
        <v>120</v>
      </c>
      <c r="C468" t="s">
        <v>800</v>
      </c>
      <c r="D468" t="s">
        <v>8</v>
      </c>
      <c r="E468">
        <v>48</v>
      </c>
      <c r="F468" t="str">
        <f t="shared" si="7"/>
        <v>Middle Age</v>
      </c>
      <c r="G468" t="s">
        <v>55</v>
      </c>
      <c r="H468" s="3">
        <v>4835</v>
      </c>
      <c r="I468" t="s">
        <v>4</v>
      </c>
      <c r="J468">
        <v>5</v>
      </c>
    </row>
    <row r="469" spans="1:10" x14ac:dyDescent="0.25">
      <c r="A469" t="s">
        <v>489</v>
      </c>
      <c r="B469" t="s">
        <v>132</v>
      </c>
      <c r="C469" t="s">
        <v>801</v>
      </c>
      <c r="D469" t="s">
        <v>3</v>
      </c>
      <c r="E469">
        <v>55</v>
      </c>
      <c r="F469" t="str">
        <f t="shared" si="7"/>
        <v>Old</v>
      </c>
      <c r="G469" t="s">
        <v>231</v>
      </c>
      <c r="H469" s="3">
        <v>1728</v>
      </c>
      <c r="I469" t="s">
        <v>4</v>
      </c>
      <c r="J469">
        <v>4</v>
      </c>
    </row>
    <row r="470" spans="1:10" x14ac:dyDescent="0.25">
      <c r="A470" t="s">
        <v>614</v>
      </c>
      <c r="B470" t="s">
        <v>61</v>
      </c>
      <c r="C470" t="s">
        <v>802</v>
      </c>
      <c r="D470" t="s">
        <v>8</v>
      </c>
      <c r="E470">
        <v>34</v>
      </c>
      <c r="F470" t="str">
        <f t="shared" si="7"/>
        <v>Middle Age</v>
      </c>
      <c r="G470" t="s">
        <v>280</v>
      </c>
      <c r="H470" s="3">
        <v>2914</v>
      </c>
      <c r="I470" t="s">
        <v>14</v>
      </c>
      <c r="J470">
        <v>4</v>
      </c>
    </row>
    <row r="471" spans="1:10" x14ac:dyDescent="0.25">
      <c r="A471" t="s">
        <v>803</v>
      </c>
      <c r="B471" t="s">
        <v>88</v>
      </c>
      <c r="C471" t="s">
        <v>804</v>
      </c>
      <c r="D471" t="s">
        <v>8</v>
      </c>
      <c r="E471">
        <v>35</v>
      </c>
      <c r="F471" t="str">
        <f t="shared" si="7"/>
        <v>Middle Age</v>
      </c>
      <c r="G471" t="s">
        <v>47</v>
      </c>
      <c r="H471" s="3">
        <v>4366</v>
      </c>
      <c r="I471" t="s">
        <v>4</v>
      </c>
      <c r="J471">
        <v>5</v>
      </c>
    </row>
    <row r="472" spans="1:10" x14ac:dyDescent="0.25">
      <c r="A472" t="s">
        <v>664</v>
      </c>
      <c r="B472" t="s">
        <v>204</v>
      </c>
      <c r="C472" t="s">
        <v>805</v>
      </c>
      <c r="D472" t="s">
        <v>8</v>
      </c>
      <c r="E472">
        <v>33</v>
      </c>
      <c r="F472" t="str">
        <f t="shared" si="7"/>
        <v>Middle Age</v>
      </c>
      <c r="G472" t="s">
        <v>9</v>
      </c>
      <c r="H472" s="3">
        <v>4050</v>
      </c>
      <c r="I472" t="s">
        <v>4</v>
      </c>
      <c r="J472">
        <v>0</v>
      </c>
    </row>
    <row r="473" spans="1:10" x14ac:dyDescent="0.25">
      <c r="A473" t="s">
        <v>238</v>
      </c>
      <c r="B473" t="s">
        <v>425</v>
      </c>
      <c r="C473" t="s">
        <v>806</v>
      </c>
      <c r="D473" t="s">
        <v>8</v>
      </c>
      <c r="E473">
        <v>50</v>
      </c>
      <c r="F473" t="str">
        <f t="shared" si="7"/>
        <v>Middle Age</v>
      </c>
      <c r="G473" t="s">
        <v>160</v>
      </c>
      <c r="H473" s="3">
        <v>4048</v>
      </c>
      <c r="I473" t="s">
        <v>4</v>
      </c>
      <c r="J473">
        <v>3</v>
      </c>
    </row>
    <row r="474" spans="1:10" x14ac:dyDescent="0.25">
      <c r="A474" t="s">
        <v>356</v>
      </c>
      <c r="B474" t="s">
        <v>139</v>
      </c>
      <c r="C474" t="s">
        <v>807</v>
      </c>
      <c r="D474" t="s">
        <v>8</v>
      </c>
      <c r="E474">
        <v>29</v>
      </c>
      <c r="F474" t="str">
        <f t="shared" si="7"/>
        <v>Young</v>
      </c>
      <c r="G474" t="s">
        <v>182</v>
      </c>
      <c r="H474" s="3">
        <v>7450</v>
      </c>
      <c r="I474" t="s">
        <v>4</v>
      </c>
      <c r="J474">
        <v>5</v>
      </c>
    </row>
    <row r="475" spans="1:10" x14ac:dyDescent="0.25">
      <c r="A475" t="s">
        <v>61</v>
      </c>
      <c r="B475" t="s">
        <v>415</v>
      </c>
      <c r="C475" t="s">
        <v>808</v>
      </c>
      <c r="D475" t="s">
        <v>3</v>
      </c>
      <c r="E475">
        <v>53</v>
      </c>
      <c r="F475" t="str">
        <f t="shared" si="7"/>
        <v>Old</v>
      </c>
      <c r="G475" t="s">
        <v>76</v>
      </c>
      <c r="H475" s="3">
        <v>4255</v>
      </c>
      <c r="I475" t="s">
        <v>4</v>
      </c>
      <c r="J475">
        <v>1</v>
      </c>
    </row>
    <row r="476" spans="1:10" x14ac:dyDescent="0.25">
      <c r="A476" t="s">
        <v>232</v>
      </c>
      <c r="B476" t="s">
        <v>101</v>
      </c>
      <c r="C476" t="s">
        <v>809</v>
      </c>
      <c r="D476" t="s">
        <v>8</v>
      </c>
      <c r="E476">
        <v>33</v>
      </c>
      <c r="F476" t="str">
        <f t="shared" si="7"/>
        <v>Middle Age</v>
      </c>
      <c r="G476" t="s">
        <v>303</v>
      </c>
      <c r="H476" s="3">
        <v>3936</v>
      </c>
      <c r="I476" t="s">
        <v>14</v>
      </c>
      <c r="J476">
        <v>4</v>
      </c>
    </row>
    <row r="477" spans="1:10" x14ac:dyDescent="0.25">
      <c r="A477" t="s">
        <v>238</v>
      </c>
      <c r="B477" t="s">
        <v>513</v>
      </c>
      <c r="C477" t="s">
        <v>810</v>
      </c>
      <c r="D477" t="s">
        <v>8</v>
      </c>
      <c r="E477">
        <v>53</v>
      </c>
      <c r="F477" t="str">
        <f t="shared" si="7"/>
        <v>Old</v>
      </c>
      <c r="G477" t="s">
        <v>63</v>
      </c>
      <c r="H477" s="3">
        <v>3952</v>
      </c>
      <c r="I477" t="s">
        <v>14</v>
      </c>
      <c r="J477">
        <v>5</v>
      </c>
    </row>
    <row r="478" spans="1:10" x14ac:dyDescent="0.25">
      <c r="A478" t="s">
        <v>61</v>
      </c>
      <c r="B478" t="s">
        <v>251</v>
      </c>
      <c r="C478" t="s">
        <v>811</v>
      </c>
      <c r="D478" t="s">
        <v>3</v>
      </c>
      <c r="E478">
        <v>44</v>
      </c>
      <c r="F478" t="str">
        <f t="shared" si="7"/>
        <v>Middle Age</v>
      </c>
      <c r="G478" t="s">
        <v>150</v>
      </c>
      <c r="H478" s="3">
        <v>4210</v>
      </c>
      <c r="I478" t="s">
        <v>4</v>
      </c>
      <c r="J478">
        <v>2</v>
      </c>
    </row>
    <row r="479" spans="1:10" x14ac:dyDescent="0.25">
      <c r="A479" t="s">
        <v>812</v>
      </c>
      <c r="B479" t="s">
        <v>91</v>
      </c>
      <c r="C479" t="s">
        <v>813</v>
      </c>
      <c r="D479" t="s">
        <v>3</v>
      </c>
      <c r="E479">
        <v>28</v>
      </c>
      <c r="F479" t="str">
        <f t="shared" si="7"/>
        <v>Young</v>
      </c>
      <c r="G479" t="s">
        <v>280</v>
      </c>
      <c r="H479" s="3">
        <v>6576</v>
      </c>
      <c r="I479" t="s">
        <v>14</v>
      </c>
      <c r="J479">
        <v>0</v>
      </c>
    </row>
    <row r="480" spans="1:10" x14ac:dyDescent="0.25">
      <c r="A480" t="s">
        <v>454</v>
      </c>
      <c r="B480" t="s">
        <v>53</v>
      </c>
      <c r="C480" t="s">
        <v>814</v>
      </c>
      <c r="D480" t="s">
        <v>8</v>
      </c>
      <c r="E480">
        <v>23</v>
      </c>
      <c r="F480" t="str">
        <f t="shared" si="7"/>
        <v>Young</v>
      </c>
      <c r="G480" t="s">
        <v>25</v>
      </c>
      <c r="H480" s="3">
        <v>7860</v>
      </c>
      <c r="I480" t="s">
        <v>14</v>
      </c>
      <c r="J480">
        <v>4</v>
      </c>
    </row>
    <row r="481" spans="1:10" x14ac:dyDescent="0.25">
      <c r="A481" t="s">
        <v>73</v>
      </c>
      <c r="B481" t="s">
        <v>358</v>
      </c>
      <c r="C481" t="s">
        <v>815</v>
      </c>
      <c r="D481" t="s">
        <v>3</v>
      </c>
      <c r="E481">
        <v>46</v>
      </c>
      <c r="F481" t="str">
        <f t="shared" si="7"/>
        <v>Middle Age</v>
      </c>
      <c r="G481" t="s">
        <v>69</v>
      </c>
      <c r="H481" s="3">
        <v>4792</v>
      </c>
      <c r="I481" t="s">
        <v>14</v>
      </c>
      <c r="J481">
        <v>1</v>
      </c>
    </row>
    <row r="482" spans="1:10" x14ac:dyDescent="0.25">
      <c r="A482" t="s">
        <v>0</v>
      </c>
      <c r="B482" t="s">
        <v>498</v>
      </c>
      <c r="C482" t="s">
        <v>816</v>
      </c>
      <c r="D482" t="s">
        <v>3</v>
      </c>
      <c r="E482">
        <v>19</v>
      </c>
      <c r="F482" t="str">
        <f t="shared" si="7"/>
        <v>Young</v>
      </c>
      <c r="G482" t="s">
        <v>382</v>
      </c>
      <c r="H482" s="3">
        <v>2202</v>
      </c>
      <c r="I482" t="s">
        <v>4</v>
      </c>
      <c r="J482">
        <v>1</v>
      </c>
    </row>
    <row r="483" spans="1:10" x14ac:dyDescent="0.25">
      <c r="A483" t="s">
        <v>73</v>
      </c>
      <c r="B483" t="s">
        <v>95</v>
      </c>
      <c r="C483" t="s">
        <v>588</v>
      </c>
      <c r="D483" t="s">
        <v>3</v>
      </c>
      <c r="E483">
        <v>44</v>
      </c>
      <c r="F483" t="str">
        <f t="shared" si="7"/>
        <v>Middle Age</v>
      </c>
      <c r="G483" t="s">
        <v>9</v>
      </c>
      <c r="H483" s="3">
        <v>2732</v>
      </c>
      <c r="I483" t="s">
        <v>4</v>
      </c>
      <c r="J483">
        <v>3</v>
      </c>
    </row>
    <row r="484" spans="1:10" x14ac:dyDescent="0.25">
      <c r="A484" t="s">
        <v>489</v>
      </c>
      <c r="B484" t="s">
        <v>504</v>
      </c>
      <c r="C484" t="s">
        <v>817</v>
      </c>
      <c r="D484" t="s">
        <v>3</v>
      </c>
      <c r="E484">
        <v>32</v>
      </c>
      <c r="F484" t="str">
        <f t="shared" si="7"/>
        <v>Middle Age</v>
      </c>
      <c r="G484" t="s">
        <v>373</v>
      </c>
      <c r="H484" s="3">
        <v>2842</v>
      </c>
      <c r="I484" t="s">
        <v>14</v>
      </c>
      <c r="J484">
        <v>3</v>
      </c>
    </row>
    <row r="485" spans="1:10" x14ac:dyDescent="0.25">
      <c r="A485" t="s">
        <v>803</v>
      </c>
      <c r="B485" t="s">
        <v>215</v>
      </c>
      <c r="C485" t="s">
        <v>818</v>
      </c>
      <c r="D485" t="s">
        <v>8</v>
      </c>
      <c r="E485">
        <v>22</v>
      </c>
      <c r="F485" t="str">
        <f t="shared" si="7"/>
        <v>Young</v>
      </c>
      <c r="G485" t="s">
        <v>160</v>
      </c>
      <c r="H485" s="3">
        <v>2608</v>
      </c>
      <c r="I485" t="s">
        <v>14</v>
      </c>
      <c r="J485">
        <v>3</v>
      </c>
    </row>
    <row r="486" spans="1:10" x14ac:dyDescent="0.25">
      <c r="A486" t="s">
        <v>218</v>
      </c>
      <c r="B486" t="s">
        <v>142</v>
      </c>
      <c r="C486" t="s">
        <v>819</v>
      </c>
      <c r="D486" t="s">
        <v>3</v>
      </c>
      <c r="E486">
        <v>51</v>
      </c>
      <c r="F486" t="str">
        <f t="shared" si="7"/>
        <v>Old</v>
      </c>
      <c r="G486" t="s">
        <v>114</v>
      </c>
      <c r="H486" s="3">
        <v>9745</v>
      </c>
      <c r="I486" t="s">
        <v>4</v>
      </c>
      <c r="J486">
        <v>2</v>
      </c>
    </row>
    <row r="487" spans="1:10" x14ac:dyDescent="0.25">
      <c r="A487" t="s">
        <v>698</v>
      </c>
      <c r="B487" t="s">
        <v>223</v>
      </c>
      <c r="C487" t="s">
        <v>820</v>
      </c>
      <c r="D487" t="s">
        <v>8</v>
      </c>
      <c r="E487">
        <v>57</v>
      </c>
      <c r="F487" t="str">
        <f t="shared" si="7"/>
        <v>Old</v>
      </c>
      <c r="G487" t="s">
        <v>1364</v>
      </c>
      <c r="H487" s="3">
        <v>9296</v>
      </c>
      <c r="I487" t="s">
        <v>4</v>
      </c>
      <c r="J487">
        <v>1</v>
      </c>
    </row>
    <row r="488" spans="1:10" x14ac:dyDescent="0.25">
      <c r="A488" t="s">
        <v>439</v>
      </c>
      <c r="B488" t="s">
        <v>19</v>
      </c>
      <c r="C488" t="s">
        <v>821</v>
      </c>
      <c r="D488" t="s">
        <v>3</v>
      </c>
      <c r="E488">
        <v>54</v>
      </c>
      <c r="F488" t="str">
        <f t="shared" si="7"/>
        <v>Old</v>
      </c>
      <c r="G488" t="s">
        <v>55</v>
      </c>
      <c r="H488" s="3">
        <v>5610</v>
      </c>
      <c r="I488" t="s">
        <v>14</v>
      </c>
      <c r="J488">
        <v>5</v>
      </c>
    </row>
    <row r="489" spans="1:10" x14ac:dyDescent="0.25">
      <c r="A489" t="s">
        <v>254</v>
      </c>
      <c r="B489" t="s">
        <v>415</v>
      </c>
      <c r="C489" t="s">
        <v>822</v>
      </c>
      <c r="D489" t="s">
        <v>3</v>
      </c>
      <c r="E489">
        <v>55</v>
      </c>
      <c r="F489" t="str">
        <f t="shared" si="7"/>
        <v>Old</v>
      </c>
      <c r="G489" t="s">
        <v>25</v>
      </c>
      <c r="H489" s="3">
        <v>3761</v>
      </c>
      <c r="I489" t="s">
        <v>4</v>
      </c>
      <c r="J489">
        <v>1</v>
      </c>
    </row>
    <row r="490" spans="1:10" x14ac:dyDescent="0.25">
      <c r="A490" t="s">
        <v>307</v>
      </c>
      <c r="B490" t="s">
        <v>158</v>
      </c>
      <c r="C490" t="s">
        <v>823</v>
      </c>
      <c r="D490" t="s">
        <v>3</v>
      </c>
      <c r="E490">
        <v>60</v>
      </c>
      <c r="F490" t="str">
        <f t="shared" si="7"/>
        <v>Old</v>
      </c>
      <c r="G490" t="s">
        <v>59</v>
      </c>
      <c r="H490" s="3">
        <v>8318</v>
      </c>
      <c r="I490" t="s">
        <v>14</v>
      </c>
      <c r="J490">
        <v>2</v>
      </c>
    </row>
    <row r="491" spans="1:10" x14ac:dyDescent="0.25">
      <c r="A491" t="s">
        <v>465</v>
      </c>
      <c r="B491" t="s">
        <v>251</v>
      </c>
      <c r="C491" t="s">
        <v>824</v>
      </c>
      <c r="D491" t="s">
        <v>3</v>
      </c>
      <c r="E491">
        <v>20</v>
      </c>
      <c r="F491" t="str">
        <f t="shared" si="7"/>
        <v>Young</v>
      </c>
      <c r="G491" t="s">
        <v>107</v>
      </c>
      <c r="H491" s="3">
        <v>1004</v>
      </c>
      <c r="I491" t="s">
        <v>14</v>
      </c>
      <c r="J491">
        <v>2</v>
      </c>
    </row>
    <row r="492" spans="1:10" x14ac:dyDescent="0.25">
      <c r="A492" t="s">
        <v>354</v>
      </c>
      <c r="B492" t="s">
        <v>409</v>
      </c>
      <c r="C492" t="s">
        <v>825</v>
      </c>
      <c r="D492" t="s">
        <v>8</v>
      </c>
      <c r="E492">
        <v>54</v>
      </c>
      <c r="F492" t="str">
        <f t="shared" si="7"/>
        <v>Old</v>
      </c>
      <c r="G492" t="s">
        <v>165</v>
      </c>
      <c r="H492" s="3">
        <v>2146</v>
      </c>
      <c r="I492" t="s">
        <v>4</v>
      </c>
      <c r="J492">
        <v>2</v>
      </c>
    </row>
    <row r="493" spans="1:10" x14ac:dyDescent="0.25">
      <c r="A493" t="s">
        <v>60</v>
      </c>
      <c r="B493" t="s">
        <v>261</v>
      </c>
      <c r="C493" t="s">
        <v>826</v>
      </c>
      <c r="D493" t="s">
        <v>3</v>
      </c>
      <c r="E493">
        <v>23</v>
      </c>
      <c r="F493" t="str">
        <f t="shared" si="7"/>
        <v>Young</v>
      </c>
      <c r="G493" t="s">
        <v>270</v>
      </c>
      <c r="H493" s="3">
        <v>9079</v>
      </c>
      <c r="I493" t="s">
        <v>14</v>
      </c>
      <c r="J493">
        <v>0</v>
      </c>
    </row>
    <row r="494" spans="1:10" x14ac:dyDescent="0.25">
      <c r="A494" t="s">
        <v>495</v>
      </c>
      <c r="B494" t="s">
        <v>530</v>
      </c>
      <c r="C494" t="s">
        <v>827</v>
      </c>
      <c r="D494" t="s">
        <v>3</v>
      </c>
      <c r="E494">
        <v>55</v>
      </c>
      <c r="F494" t="str">
        <f t="shared" si="7"/>
        <v>Old</v>
      </c>
      <c r="G494" t="s">
        <v>169</v>
      </c>
      <c r="H494" s="3">
        <v>6753</v>
      </c>
      <c r="I494" t="s">
        <v>14</v>
      </c>
      <c r="J494">
        <v>1</v>
      </c>
    </row>
    <row r="495" spans="1:10" x14ac:dyDescent="0.25">
      <c r="A495" t="s">
        <v>161</v>
      </c>
      <c r="B495" t="s">
        <v>78</v>
      </c>
      <c r="C495" t="s">
        <v>828</v>
      </c>
      <c r="D495" t="s">
        <v>8</v>
      </c>
      <c r="E495">
        <v>32</v>
      </c>
      <c r="F495" t="str">
        <f t="shared" si="7"/>
        <v>Middle Age</v>
      </c>
      <c r="G495" t="s">
        <v>118</v>
      </c>
      <c r="H495" s="3">
        <v>4480</v>
      </c>
      <c r="I495" t="s">
        <v>14</v>
      </c>
      <c r="J495">
        <v>3</v>
      </c>
    </row>
    <row r="496" spans="1:10" x14ac:dyDescent="0.25">
      <c r="A496" t="s">
        <v>271</v>
      </c>
      <c r="B496" t="s">
        <v>114</v>
      </c>
      <c r="C496" t="s">
        <v>829</v>
      </c>
      <c r="D496" t="s">
        <v>3</v>
      </c>
      <c r="E496">
        <v>53</v>
      </c>
      <c r="F496" t="str">
        <f t="shared" si="7"/>
        <v>Old</v>
      </c>
      <c r="G496" t="s">
        <v>382</v>
      </c>
      <c r="H496" s="3">
        <v>4373</v>
      </c>
      <c r="I496" t="s">
        <v>14</v>
      </c>
      <c r="J496">
        <v>4</v>
      </c>
    </row>
    <row r="497" spans="1:10" x14ac:dyDescent="0.25">
      <c r="A497" t="s">
        <v>52</v>
      </c>
      <c r="B497" t="s">
        <v>142</v>
      </c>
      <c r="C497" t="s">
        <v>830</v>
      </c>
      <c r="D497" t="s">
        <v>8</v>
      </c>
      <c r="E497">
        <v>18</v>
      </c>
      <c r="F497" t="str">
        <f t="shared" si="7"/>
        <v>Young</v>
      </c>
      <c r="G497" t="s">
        <v>165</v>
      </c>
      <c r="H497" s="3">
        <v>4106</v>
      </c>
      <c r="I497" t="s">
        <v>4</v>
      </c>
      <c r="J497">
        <v>4</v>
      </c>
    </row>
    <row r="498" spans="1:10" x14ac:dyDescent="0.25">
      <c r="A498" t="s">
        <v>316</v>
      </c>
      <c r="B498" t="s">
        <v>244</v>
      </c>
      <c r="C498" t="s">
        <v>831</v>
      </c>
      <c r="D498" t="s">
        <v>8</v>
      </c>
      <c r="E498">
        <v>33</v>
      </c>
      <c r="F498" t="str">
        <f t="shared" si="7"/>
        <v>Middle Age</v>
      </c>
      <c r="G498" t="s">
        <v>225</v>
      </c>
      <c r="H498" s="3">
        <v>5532</v>
      </c>
      <c r="I498" t="s">
        <v>14</v>
      </c>
      <c r="J498">
        <v>1</v>
      </c>
    </row>
    <row r="499" spans="1:10" x14ac:dyDescent="0.25">
      <c r="A499" t="s">
        <v>698</v>
      </c>
      <c r="B499" t="s">
        <v>105</v>
      </c>
      <c r="C499" t="s">
        <v>832</v>
      </c>
      <c r="D499" t="s">
        <v>8</v>
      </c>
      <c r="E499">
        <v>45</v>
      </c>
      <c r="F499" t="str">
        <f t="shared" si="7"/>
        <v>Middle Age</v>
      </c>
      <c r="G499" t="s">
        <v>43</v>
      </c>
      <c r="H499" s="3">
        <v>8990</v>
      </c>
      <c r="I499" t="s">
        <v>4</v>
      </c>
      <c r="J499">
        <v>0</v>
      </c>
    </row>
    <row r="500" spans="1:10" x14ac:dyDescent="0.25">
      <c r="A500" t="s">
        <v>138</v>
      </c>
      <c r="B500" t="s">
        <v>375</v>
      </c>
      <c r="C500" t="s">
        <v>833</v>
      </c>
      <c r="D500" t="s">
        <v>3</v>
      </c>
      <c r="E500">
        <v>29</v>
      </c>
      <c r="F500" t="str">
        <f t="shared" si="7"/>
        <v>Young</v>
      </c>
      <c r="G500" t="s">
        <v>9</v>
      </c>
      <c r="H500" s="3">
        <v>6744</v>
      </c>
      <c r="I500" t="s">
        <v>4</v>
      </c>
      <c r="J500">
        <v>1</v>
      </c>
    </row>
    <row r="501" spans="1:10" x14ac:dyDescent="0.25">
      <c r="A501" t="s">
        <v>166</v>
      </c>
      <c r="B501" t="s">
        <v>98</v>
      </c>
      <c r="C501" t="s">
        <v>583</v>
      </c>
      <c r="D501" t="s">
        <v>3</v>
      </c>
      <c r="E501">
        <v>19</v>
      </c>
      <c r="F501" t="str">
        <f t="shared" si="7"/>
        <v>Young</v>
      </c>
      <c r="G501" t="s">
        <v>47</v>
      </c>
      <c r="H501" s="3">
        <v>9324</v>
      </c>
      <c r="I501" t="s">
        <v>4</v>
      </c>
      <c r="J501">
        <v>5</v>
      </c>
    </row>
    <row r="502" spans="1:10" x14ac:dyDescent="0.25">
      <c r="A502" t="s">
        <v>195</v>
      </c>
      <c r="B502" t="s">
        <v>744</v>
      </c>
      <c r="C502" t="s">
        <v>834</v>
      </c>
      <c r="D502" t="s">
        <v>3</v>
      </c>
      <c r="E502">
        <v>29</v>
      </c>
      <c r="F502" t="str">
        <f t="shared" si="7"/>
        <v>Young</v>
      </c>
      <c r="G502" t="s">
        <v>197</v>
      </c>
      <c r="H502" s="3">
        <v>8930</v>
      </c>
      <c r="I502" t="s">
        <v>14</v>
      </c>
      <c r="J502">
        <v>4</v>
      </c>
    </row>
    <row r="503" spans="1:10" x14ac:dyDescent="0.25">
      <c r="A503" t="s">
        <v>52</v>
      </c>
      <c r="B503" t="s">
        <v>433</v>
      </c>
      <c r="C503" t="s">
        <v>835</v>
      </c>
      <c r="D503" t="s">
        <v>8</v>
      </c>
      <c r="E503">
        <v>59</v>
      </c>
      <c r="F503" t="str">
        <f t="shared" si="7"/>
        <v>Old</v>
      </c>
      <c r="G503" t="s">
        <v>114</v>
      </c>
      <c r="H503" s="3">
        <v>880</v>
      </c>
      <c r="I503" t="s">
        <v>14</v>
      </c>
      <c r="J503">
        <v>5</v>
      </c>
    </row>
    <row r="504" spans="1:10" x14ac:dyDescent="0.25">
      <c r="A504" t="s">
        <v>18</v>
      </c>
      <c r="B504" t="s">
        <v>38</v>
      </c>
      <c r="C504" t="s">
        <v>836</v>
      </c>
      <c r="D504" t="s">
        <v>3</v>
      </c>
      <c r="E504">
        <v>35</v>
      </c>
      <c r="F504" t="str">
        <f t="shared" si="7"/>
        <v>Middle Age</v>
      </c>
      <c r="G504" t="s">
        <v>150</v>
      </c>
      <c r="H504" s="3">
        <v>6097</v>
      </c>
      <c r="I504" t="s">
        <v>14</v>
      </c>
      <c r="J504">
        <v>3</v>
      </c>
    </row>
    <row r="505" spans="1:10" x14ac:dyDescent="0.25">
      <c r="A505" t="s">
        <v>52</v>
      </c>
      <c r="B505" t="s">
        <v>326</v>
      </c>
      <c r="C505" t="s">
        <v>837</v>
      </c>
      <c r="D505" t="s">
        <v>8</v>
      </c>
      <c r="E505">
        <v>19</v>
      </c>
      <c r="F505" t="str">
        <f t="shared" si="7"/>
        <v>Young</v>
      </c>
      <c r="G505" t="s">
        <v>217</v>
      </c>
      <c r="H505" s="3">
        <v>3627</v>
      </c>
      <c r="I505" t="s">
        <v>4</v>
      </c>
      <c r="J505">
        <v>4</v>
      </c>
    </row>
    <row r="506" spans="1:10" x14ac:dyDescent="0.25">
      <c r="A506" t="s">
        <v>108</v>
      </c>
      <c r="B506" t="s">
        <v>57</v>
      </c>
      <c r="C506" t="s">
        <v>838</v>
      </c>
      <c r="D506" t="s">
        <v>3</v>
      </c>
      <c r="E506">
        <v>46</v>
      </c>
      <c r="F506" t="str">
        <f t="shared" si="7"/>
        <v>Middle Age</v>
      </c>
      <c r="G506" t="s">
        <v>160</v>
      </c>
      <c r="H506" s="3">
        <v>8508</v>
      </c>
      <c r="I506" t="s">
        <v>4</v>
      </c>
      <c r="J506">
        <v>3</v>
      </c>
    </row>
    <row r="507" spans="1:10" x14ac:dyDescent="0.25">
      <c r="A507" t="s">
        <v>40</v>
      </c>
      <c r="B507" t="s">
        <v>530</v>
      </c>
      <c r="C507" t="s">
        <v>839</v>
      </c>
      <c r="D507" t="s">
        <v>8</v>
      </c>
      <c r="E507">
        <v>24</v>
      </c>
      <c r="F507" t="str">
        <f t="shared" si="7"/>
        <v>Young</v>
      </c>
      <c r="G507" t="s">
        <v>187</v>
      </c>
      <c r="H507" s="3">
        <v>3794</v>
      </c>
      <c r="I507" t="s">
        <v>4</v>
      </c>
      <c r="J507">
        <v>2</v>
      </c>
    </row>
    <row r="508" spans="1:10" x14ac:dyDescent="0.25">
      <c r="A508" t="s">
        <v>637</v>
      </c>
      <c r="B508" t="s">
        <v>561</v>
      </c>
      <c r="C508" t="s">
        <v>840</v>
      </c>
      <c r="D508" t="s">
        <v>3</v>
      </c>
      <c r="E508">
        <v>44</v>
      </c>
      <c r="F508" t="str">
        <f t="shared" si="7"/>
        <v>Middle Age</v>
      </c>
      <c r="G508" t="s">
        <v>197</v>
      </c>
      <c r="H508" s="3">
        <v>1602</v>
      </c>
      <c r="I508" t="s">
        <v>14</v>
      </c>
      <c r="J508">
        <v>0</v>
      </c>
    </row>
    <row r="509" spans="1:10" x14ac:dyDescent="0.25">
      <c r="A509" t="s">
        <v>276</v>
      </c>
      <c r="B509" t="s">
        <v>41</v>
      </c>
      <c r="C509" t="s">
        <v>841</v>
      </c>
      <c r="D509" t="s">
        <v>3</v>
      </c>
      <c r="E509">
        <v>25</v>
      </c>
      <c r="F509" t="str">
        <f t="shared" si="7"/>
        <v>Young</v>
      </c>
      <c r="G509" t="s">
        <v>76</v>
      </c>
      <c r="H509" s="3">
        <v>7486</v>
      </c>
      <c r="I509" t="s">
        <v>4</v>
      </c>
      <c r="J509">
        <v>4</v>
      </c>
    </row>
    <row r="510" spans="1:10" x14ac:dyDescent="0.25">
      <c r="A510" t="s">
        <v>584</v>
      </c>
      <c r="B510" t="s">
        <v>126</v>
      </c>
      <c r="C510" t="s">
        <v>585</v>
      </c>
      <c r="D510" t="s">
        <v>3</v>
      </c>
      <c r="E510">
        <v>35</v>
      </c>
      <c r="F510" t="str">
        <f t="shared" si="7"/>
        <v>Middle Age</v>
      </c>
      <c r="G510" t="s">
        <v>160</v>
      </c>
      <c r="H510" s="3">
        <v>9296</v>
      </c>
      <c r="I510" t="s">
        <v>4</v>
      </c>
      <c r="J510">
        <v>5</v>
      </c>
    </row>
    <row r="511" spans="1:10" x14ac:dyDescent="0.25">
      <c r="A511" t="s">
        <v>842</v>
      </c>
      <c r="B511" t="s">
        <v>1</v>
      </c>
      <c r="C511" t="s">
        <v>843</v>
      </c>
      <c r="D511" t="s">
        <v>3</v>
      </c>
      <c r="E511">
        <v>31</v>
      </c>
      <c r="F511" t="str">
        <f t="shared" si="7"/>
        <v>Middle Age</v>
      </c>
      <c r="G511" t="s">
        <v>248</v>
      </c>
      <c r="H511" s="3">
        <v>2958</v>
      </c>
      <c r="I511" t="s">
        <v>4</v>
      </c>
      <c r="J511">
        <v>1</v>
      </c>
    </row>
    <row r="512" spans="1:10" x14ac:dyDescent="0.25">
      <c r="A512" t="s">
        <v>666</v>
      </c>
      <c r="B512" t="s">
        <v>95</v>
      </c>
      <c r="C512" t="s">
        <v>844</v>
      </c>
      <c r="D512" t="s">
        <v>8</v>
      </c>
      <c r="E512">
        <v>18</v>
      </c>
      <c r="F512" t="str">
        <f t="shared" si="7"/>
        <v>Young</v>
      </c>
      <c r="G512" t="s">
        <v>211</v>
      </c>
      <c r="H512" s="3">
        <v>4318</v>
      </c>
      <c r="I512" t="s">
        <v>4</v>
      </c>
      <c r="J512">
        <v>3</v>
      </c>
    </row>
    <row r="513" spans="1:10" x14ac:dyDescent="0.25">
      <c r="A513" t="s">
        <v>282</v>
      </c>
      <c r="B513" t="s">
        <v>366</v>
      </c>
      <c r="C513" t="s">
        <v>845</v>
      </c>
      <c r="D513" t="s">
        <v>8</v>
      </c>
      <c r="E513">
        <v>35</v>
      </c>
      <c r="F513" t="str">
        <f t="shared" si="7"/>
        <v>Middle Age</v>
      </c>
      <c r="G513" t="s">
        <v>128</v>
      </c>
      <c r="H513" s="3">
        <v>1305</v>
      </c>
      <c r="I513" t="s">
        <v>14</v>
      </c>
      <c r="J513">
        <v>2</v>
      </c>
    </row>
    <row r="514" spans="1:10" x14ac:dyDescent="0.25">
      <c r="A514" t="s">
        <v>129</v>
      </c>
      <c r="B514" t="s">
        <v>139</v>
      </c>
      <c r="C514" t="s">
        <v>846</v>
      </c>
      <c r="D514" t="s">
        <v>3</v>
      </c>
      <c r="E514">
        <v>59</v>
      </c>
      <c r="F514" t="str">
        <f t="shared" si="7"/>
        <v>Old</v>
      </c>
      <c r="G514" t="s">
        <v>63</v>
      </c>
      <c r="H514" s="3">
        <v>4486</v>
      </c>
      <c r="I514" t="s">
        <v>4</v>
      </c>
      <c r="J514">
        <v>1</v>
      </c>
    </row>
    <row r="515" spans="1:10" x14ac:dyDescent="0.25">
      <c r="A515" t="s">
        <v>847</v>
      </c>
      <c r="B515" t="s">
        <v>392</v>
      </c>
      <c r="C515" t="s">
        <v>848</v>
      </c>
      <c r="D515" t="s">
        <v>8</v>
      </c>
      <c r="E515">
        <v>19</v>
      </c>
      <c r="F515" t="str">
        <f t="shared" ref="F515:F578" si="8">IF(E515&gt;50,"Old",IF(E515&gt;=31,"Middle Age",IF(E515&lt;31,"Young","Invalid")))</f>
        <v>Young</v>
      </c>
      <c r="G515" t="s">
        <v>86</v>
      </c>
      <c r="H515" s="3">
        <v>3881</v>
      </c>
      <c r="I515" t="s">
        <v>4</v>
      </c>
      <c r="J515">
        <v>2</v>
      </c>
    </row>
    <row r="516" spans="1:10" x14ac:dyDescent="0.25">
      <c r="A516" t="s">
        <v>77</v>
      </c>
      <c r="B516" t="s">
        <v>162</v>
      </c>
      <c r="C516" t="s">
        <v>849</v>
      </c>
      <c r="D516" t="s">
        <v>3</v>
      </c>
      <c r="E516">
        <v>59</v>
      </c>
      <c r="F516" t="str">
        <f t="shared" si="8"/>
        <v>Old</v>
      </c>
      <c r="G516" t="s">
        <v>47</v>
      </c>
      <c r="H516" s="3">
        <v>7464</v>
      </c>
      <c r="I516" t="s">
        <v>4</v>
      </c>
      <c r="J516">
        <v>5</v>
      </c>
    </row>
    <row r="517" spans="1:10" x14ac:dyDescent="0.25">
      <c r="A517" t="s">
        <v>30</v>
      </c>
      <c r="B517" t="s">
        <v>41</v>
      </c>
      <c r="C517" t="s">
        <v>850</v>
      </c>
      <c r="D517" t="s">
        <v>3</v>
      </c>
      <c r="E517">
        <v>35</v>
      </c>
      <c r="F517" t="str">
        <f t="shared" si="8"/>
        <v>Middle Age</v>
      </c>
      <c r="G517" t="s">
        <v>124</v>
      </c>
      <c r="H517" s="3">
        <v>3682</v>
      </c>
      <c r="I517" t="s">
        <v>14</v>
      </c>
      <c r="J517">
        <v>4</v>
      </c>
    </row>
    <row r="518" spans="1:10" x14ac:dyDescent="0.25">
      <c r="A518" t="s">
        <v>512</v>
      </c>
      <c r="B518" t="s">
        <v>98</v>
      </c>
      <c r="C518" t="s">
        <v>851</v>
      </c>
      <c r="D518" t="s">
        <v>3</v>
      </c>
      <c r="E518">
        <v>42</v>
      </c>
      <c r="F518" t="str">
        <f t="shared" si="8"/>
        <v>Middle Age</v>
      </c>
      <c r="G518" t="s">
        <v>280</v>
      </c>
      <c r="H518" s="3">
        <v>9544</v>
      </c>
      <c r="I518" t="s">
        <v>4</v>
      </c>
      <c r="J518">
        <v>4</v>
      </c>
    </row>
    <row r="519" spans="1:10" x14ac:dyDescent="0.25">
      <c r="A519" t="s">
        <v>397</v>
      </c>
      <c r="B519" t="s">
        <v>114</v>
      </c>
      <c r="C519" t="s">
        <v>852</v>
      </c>
      <c r="D519" t="s">
        <v>3</v>
      </c>
      <c r="E519">
        <v>52</v>
      </c>
      <c r="F519" t="str">
        <f t="shared" si="8"/>
        <v>Old</v>
      </c>
      <c r="G519" t="s">
        <v>165</v>
      </c>
      <c r="H519" s="3">
        <v>2516</v>
      </c>
      <c r="I519" t="s">
        <v>4</v>
      </c>
      <c r="J519">
        <v>2</v>
      </c>
    </row>
    <row r="520" spans="1:10" x14ac:dyDescent="0.25">
      <c r="A520" t="s">
        <v>97</v>
      </c>
      <c r="B520" t="s">
        <v>122</v>
      </c>
      <c r="C520" t="s">
        <v>853</v>
      </c>
      <c r="D520" t="s">
        <v>8</v>
      </c>
      <c r="E520">
        <v>50</v>
      </c>
      <c r="F520" t="str">
        <f t="shared" si="8"/>
        <v>Middle Age</v>
      </c>
      <c r="G520" t="s">
        <v>59</v>
      </c>
      <c r="H520" s="3">
        <v>2901</v>
      </c>
      <c r="I520" t="s">
        <v>14</v>
      </c>
      <c r="J520">
        <v>3</v>
      </c>
    </row>
    <row r="521" spans="1:10" x14ac:dyDescent="0.25">
      <c r="A521" t="s">
        <v>195</v>
      </c>
      <c r="B521" t="s">
        <v>88</v>
      </c>
      <c r="C521" t="s">
        <v>854</v>
      </c>
      <c r="D521" t="s">
        <v>3</v>
      </c>
      <c r="E521">
        <v>51</v>
      </c>
      <c r="F521" t="str">
        <f t="shared" si="8"/>
        <v>Old</v>
      </c>
      <c r="G521" t="s">
        <v>86</v>
      </c>
      <c r="H521" s="3">
        <v>8701</v>
      </c>
      <c r="I521" t="s">
        <v>14</v>
      </c>
      <c r="J521">
        <v>2</v>
      </c>
    </row>
    <row r="522" spans="1:10" x14ac:dyDescent="0.25">
      <c r="A522" t="s">
        <v>477</v>
      </c>
      <c r="B522" t="s">
        <v>498</v>
      </c>
      <c r="C522" t="s">
        <v>855</v>
      </c>
      <c r="D522" t="s">
        <v>8</v>
      </c>
      <c r="E522">
        <v>37</v>
      </c>
      <c r="F522" t="str">
        <f t="shared" si="8"/>
        <v>Middle Age</v>
      </c>
      <c r="G522" t="s">
        <v>382</v>
      </c>
      <c r="H522" s="3">
        <v>9689</v>
      </c>
      <c r="I522" t="s">
        <v>4</v>
      </c>
      <c r="J522">
        <v>0</v>
      </c>
    </row>
    <row r="523" spans="1:10" x14ac:dyDescent="0.25">
      <c r="A523" t="s">
        <v>456</v>
      </c>
      <c r="B523" t="s">
        <v>580</v>
      </c>
      <c r="C523" t="s">
        <v>856</v>
      </c>
      <c r="D523" t="s">
        <v>3</v>
      </c>
      <c r="E523">
        <v>28</v>
      </c>
      <c r="F523" t="str">
        <f t="shared" si="8"/>
        <v>Young</v>
      </c>
      <c r="G523" t="s">
        <v>303</v>
      </c>
      <c r="H523" s="3">
        <v>4269</v>
      </c>
      <c r="I523" t="s">
        <v>14</v>
      </c>
      <c r="J523">
        <v>5</v>
      </c>
    </row>
    <row r="524" spans="1:10" x14ac:dyDescent="0.25">
      <c r="A524" t="s">
        <v>456</v>
      </c>
      <c r="B524" t="s">
        <v>351</v>
      </c>
      <c r="C524" t="s">
        <v>857</v>
      </c>
      <c r="D524" t="s">
        <v>3</v>
      </c>
      <c r="E524">
        <v>40</v>
      </c>
      <c r="F524" t="str">
        <f t="shared" si="8"/>
        <v>Middle Age</v>
      </c>
      <c r="G524" t="s">
        <v>76</v>
      </c>
      <c r="H524" s="3">
        <v>1962</v>
      </c>
      <c r="I524" t="s">
        <v>4</v>
      </c>
      <c r="J524">
        <v>2</v>
      </c>
    </row>
    <row r="525" spans="1:10" x14ac:dyDescent="0.25">
      <c r="A525" t="s">
        <v>493</v>
      </c>
      <c r="B525" t="s">
        <v>6</v>
      </c>
      <c r="C525" t="s">
        <v>858</v>
      </c>
      <c r="D525" t="s">
        <v>3</v>
      </c>
      <c r="E525">
        <v>23</v>
      </c>
      <c r="F525" t="str">
        <f t="shared" si="8"/>
        <v>Young</v>
      </c>
      <c r="G525" t="s">
        <v>248</v>
      </c>
      <c r="H525" s="3">
        <v>4880</v>
      </c>
      <c r="I525" t="s">
        <v>4</v>
      </c>
      <c r="J525">
        <v>1</v>
      </c>
    </row>
    <row r="526" spans="1:10" x14ac:dyDescent="0.25">
      <c r="A526" t="s">
        <v>232</v>
      </c>
      <c r="B526" t="s">
        <v>177</v>
      </c>
      <c r="C526" t="s">
        <v>859</v>
      </c>
      <c r="D526" t="s">
        <v>8</v>
      </c>
      <c r="E526">
        <v>55</v>
      </c>
      <c r="F526" t="str">
        <f t="shared" si="8"/>
        <v>Old</v>
      </c>
      <c r="G526" t="s">
        <v>1364</v>
      </c>
      <c r="H526" s="3">
        <v>7239</v>
      </c>
      <c r="I526" t="s">
        <v>14</v>
      </c>
      <c r="J526">
        <v>0</v>
      </c>
    </row>
    <row r="527" spans="1:10" x14ac:dyDescent="0.25">
      <c r="A527" t="s">
        <v>125</v>
      </c>
      <c r="B527" t="s">
        <v>478</v>
      </c>
      <c r="C527" t="s">
        <v>860</v>
      </c>
      <c r="D527" t="s">
        <v>8</v>
      </c>
      <c r="E527">
        <v>20</v>
      </c>
      <c r="F527" t="str">
        <f t="shared" si="8"/>
        <v>Young</v>
      </c>
      <c r="G527" t="s">
        <v>165</v>
      </c>
      <c r="H527" s="3">
        <v>6358</v>
      </c>
      <c r="I527" t="s">
        <v>4</v>
      </c>
      <c r="J527">
        <v>2</v>
      </c>
    </row>
    <row r="528" spans="1:10" x14ac:dyDescent="0.25">
      <c r="A528" t="s">
        <v>408</v>
      </c>
      <c r="B528" t="s">
        <v>392</v>
      </c>
      <c r="C528" t="s">
        <v>861</v>
      </c>
      <c r="D528" t="s">
        <v>3</v>
      </c>
      <c r="E528">
        <v>44</v>
      </c>
      <c r="F528" t="str">
        <f t="shared" si="8"/>
        <v>Middle Age</v>
      </c>
      <c r="G528" t="s">
        <v>9</v>
      </c>
      <c r="H528" s="3">
        <v>5798</v>
      </c>
      <c r="I528" t="s">
        <v>4</v>
      </c>
      <c r="J528">
        <v>4</v>
      </c>
    </row>
    <row r="529" spans="1:10" x14ac:dyDescent="0.25">
      <c r="A529" t="s">
        <v>304</v>
      </c>
      <c r="B529" t="s">
        <v>116</v>
      </c>
      <c r="C529" t="s">
        <v>427</v>
      </c>
      <c r="D529" t="s">
        <v>3</v>
      </c>
      <c r="E529">
        <v>53</v>
      </c>
      <c r="F529" t="str">
        <f t="shared" si="8"/>
        <v>Old</v>
      </c>
      <c r="G529" t="s">
        <v>107</v>
      </c>
      <c r="H529" s="3">
        <v>8258</v>
      </c>
      <c r="I529" t="s">
        <v>14</v>
      </c>
      <c r="J529">
        <v>2</v>
      </c>
    </row>
    <row r="530" spans="1:10" x14ac:dyDescent="0.25">
      <c r="A530" t="s">
        <v>862</v>
      </c>
      <c r="B530" t="s">
        <v>204</v>
      </c>
      <c r="C530" t="s">
        <v>863</v>
      </c>
      <c r="D530" t="s">
        <v>3</v>
      </c>
      <c r="E530">
        <v>34</v>
      </c>
      <c r="F530" t="str">
        <f t="shared" si="8"/>
        <v>Middle Age</v>
      </c>
      <c r="G530" t="s">
        <v>160</v>
      </c>
      <c r="H530" s="3">
        <v>4312</v>
      </c>
      <c r="I530" t="s">
        <v>14</v>
      </c>
      <c r="J530">
        <v>2</v>
      </c>
    </row>
    <row r="531" spans="1:10" x14ac:dyDescent="0.25">
      <c r="A531" t="s">
        <v>458</v>
      </c>
      <c r="B531" t="s">
        <v>11</v>
      </c>
      <c r="C531" t="s">
        <v>864</v>
      </c>
      <c r="D531" t="s">
        <v>8</v>
      </c>
      <c r="E531">
        <v>52</v>
      </c>
      <c r="F531" t="str">
        <f t="shared" si="8"/>
        <v>Old</v>
      </c>
      <c r="G531" t="s">
        <v>29</v>
      </c>
      <c r="H531" s="3">
        <v>5938</v>
      </c>
      <c r="I531" t="s">
        <v>4</v>
      </c>
      <c r="J531">
        <v>2</v>
      </c>
    </row>
    <row r="532" spans="1:10" x14ac:dyDescent="0.25">
      <c r="A532" t="s">
        <v>298</v>
      </c>
      <c r="B532" t="s">
        <v>78</v>
      </c>
      <c r="C532" t="s">
        <v>865</v>
      </c>
      <c r="D532" t="s">
        <v>3</v>
      </c>
      <c r="E532">
        <v>38</v>
      </c>
      <c r="F532" t="str">
        <f t="shared" si="8"/>
        <v>Middle Age</v>
      </c>
      <c r="G532" t="s">
        <v>373</v>
      </c>
      <c r="H532" s="3">
        <v>2537</v>
      </c>
      <c r="I532" t="s">
        <v>14</v>
      </c>
      <c r="J532">
        <v>5</v>
      </c>
    </row>
    <row r="533" spans="1:10" x14ac:dyDescent="0.25">
      <c r="A533" t="s">
        <v>342</v>
      </c>
      <c r="B533" t="s">
        <v>324</v>
      </c>
      <c r="C533" t="s">
        <v>866</v>
      </c>
      <c r="D533" t="s">
        <v>3</v>
      </c>
      <c r="E533">
        <v>38</v>
      </c>
      <c r="F533" t="str">
        <f t="shared" si="8"/>
        <v>Middle Age</v>
      </c>
      <c r="G533" t="s">
        <v>103</v>
      </c>
      <c r="H533" s="3">
        <v>2547</v>
      </c>
      <c r="I533" t="s">
        <v>4</v>
      </c>
      <c r="J533">
        <v>1</v>
      </c>
    </row>
    <row r="534" spans="1:10" x14ac:dyDescent="0.25">
      <c r="A534" t="s">
        <v>484</v>
      </c>
      <c r="B534" t="s">
        <v>264</v>
      </c>
      <c r="C534" t="s">
        <v>867</v>
      </c>
      <c r="D534" t="s">
        <v>3</v>
      </c>
      <c r="E534">
        <v>50</v>
      </c>
      <c r="F534" t="str">
        <f t="shared" si="8"/>
        <v>Middle Age</v>
      </c>
      <c r="G534" t="s">
        <v>160</v>
      </c>
      <c r="H534" s="3">
        <v>9443</v>
      </c>
      <c r="I534" t="s">
        <v>4</v>
      </c>
      <c r="J534">
        <v>5</v>
      </c>
    </row>
    <row r="535" spans="1:10" x14ac:dyDescent="0.25">
      <c r="A535" t="s">
        <v>238</v>
      </c>
      <c r="B535" t="s">
        <v>223</v>
      </c>
      <c r="C535" t="s">
        <v>868</v>
      </c>
      <c r="D535" t="s">
        <v>8</v>
      </c>
      <c r="E535">
        <v>53</v>
      </c>
      <c r="F535" t="str">
        <f t="shared" si="8"/>
        <v>Old</v>
      </c>
      <c r="G535" t="s">
        <v>1364</v>
      </c>
      <c r="H535" s="3">
        <v>4250</v>
      </c>
      <c r="I535" t="s">
        <v>4</v>
      </c>
      <c r="J535">
        <v>1</v>
      </c>
    </row>
    <row r="536" spans="1:10" x14ac:dyDescent="0.25">
      <c r="A536" t="s">
        <v>254</v>
      </c>
      <c r="B536" t="s">
        <v>78</v>
      </c>
      <c r="C536" t="s">
        <v>869</v>
      </c>
      <c r="D536" t="s">
        <v>3</v>
      </c>
      <c r="E536">
        <v>44</v>
      </c>
      <c r="F536" t="str">
        <f t="shared" si="8"/>
        <v>Middle Age</v>
      </c>
      <c r="G536" t="s">
        <v>227</v>
      </c>
      <c r="H536" s="3">
        <v>3001</v>
      </c>
      <c r="I536" t="s">
        <v>14</v>
      </c>
      <c r="J536">
        <v>3</v>
      </c>
    </row>
    <row r="537" spans="1:10" x14ac:dyDescent="0.25">
      <c r="A537" t="s">
        <v>97</v>
      </c>
      <c r="B537" t="s">
        <v>84</v>
      </c>
      <c r="C537" t="s">
        <v>870</v>
      </c>
      <c r="D537" t="s">
        <v>8</v>
      </c>
      <c r="E537">
        <v>56</v>
      </c>
      <c r="F537" t="str">
        <f t="shared" si="8"/>
        <v>Old</v>
      </c>
      <c r="G537" t="s">
        <v>197</v>
      </c>
      <c r="H537" s="3">
        <v>1509</v>
      </c>
      <c r="I537" t="s">
        <v>4</v>
      </c>
      <c r="J537">
        <v>4</v>
      </c>
    </row>
    <row r="538" spans="1:10" x14ac:dyDescent="0.25">
      <c r="A538" t="s">
        <v>263</v>
      </c>
      <c r="B538" t="s">
        <v>251</v>
      </c>
      <c r="C538" t="s">
        <v>871</v>
      </c>
      <c r="D538" t="s">
        <v>3</v>
      </c>
      <c r="E538">
        <v>43</v>
      </c>
      <c r="F538" t="str">
        <f t="shared" si="8"/>
        <v>Middle Age</v>
      </c>
      <c r="G538" t="s">
        <v>36</v>
      </c>
      <c r="H538" s="3">
        <v>8386</v>
      </c>
      <c r="I538" t="s">
        <v>4</v>
      </c>
      <c r="J538">
        <v>3</v>
      </c>
    </row>
    <row r="539" spans="1:10" x14ac:dyDescent="0.25">
      <c r="A539" t="s">
        <v>97</v>
      </c>
      <c r="B539" t="s">
        <v>136</v>
      </c>
      <c r="C539" t="s">
        <v>872</v>
      </c>
      <c r="D539" t="s">
        <v>8</v>
      </c>
      <c r="E539">
        <v>36</v>
      </c>
      <c r="F539" t="str">
        <f t="shared" si="8"/>
        <v>Middle Age</v>
      </c>
      <c r="G539" t="s">
        <v>1364</v>
      </c>
      <c r="H539" s="3">
        <v>8794</v>
      </c>
      <c r="I539" t="s">
        <v>14</v>
      </c>
      <c r="J539">
        <v>2</v>
      </c>
    </row>
    <row r="540" spans="1:10" x14ac:dyDescent="0.25">
      <c r="A540" t="s">
        <v>209</v>
      </c>
      <c r="B540" t="s">
        <v>635</v>
      </c>
      <c r="C540" t="s">
        <v>873</v>
      </c>
      <c r="D540" t="s">
        <v>8</v>
      </c>
      <c r="E540">
        <v>23</v>
      </c>
      <c r="F540" t="str">
        <f t="shared" si="8"/>
        <v>Young</v>
      </c>
      <c r="G540" t="s">
        <v>293</v>
      </c>
      <c r="H540" s="3">
        <v>7717</v>
      </c>
      <c r="I540" t="s">
        <v>14</v>
      </c>
      <c r="J540">
        <v>0</v>
      </c>
    </row>
    <row r="541" spans="1:10" x14ac:dyDescent="0.25">
      <c r="A541" t="s">
        <v>403</v>
      </c>
      <c r="B541" t="s">
        <v>368</v>
      </c>
      <c r="C541" t="s">
        <v>874</v>
      </c>
      <c r="D541" t="s">
        <v>8</v>
      </c>
      <c r="E541">
        <v>46</v>
      </c>
      <c r="F541" t="str">
        <f t="shared" si="8"/>
        <v>Middle Age</v>
      </c>
      <c r="G541" t="s">
        <v>227</v>
      </c>
      <c r="H541" s="3">
        <v>3436</v>
      </c>
      <c r="I541" t="s">
        <v>4</v>
      </c>
      <c r="J541">
        <v>1</v>
      </c>
    </row>
    <row r="542" spans="1:10" x14ac:dyDescent="0.25">
      <c r="A542" t="s">
        <v>671</v>
      </c>
      <c r="B542" t="s">
        <v>251</v>
      </c>
      <c r="C542" t="s">
        <v>875</v>
      </c>
      <c r="D542" t="s">
        <v>8</v>
      </c>
      <c r="E542">
        <v>47</v>
      </c>
      <c r="F542" t="str">
        <f t="shared" si="8"/>
        <v>Middle Age</v>
      </c>
      <c r="G542" t="s">
        <v>124</v>
      </c>
      <c r="H542" s="3">
        <v>5859</v>
      </c>
      <c r="I542" t="s">
        <v>14</v>
      </c>
      <c r="J542">
        <v>3</v>
      </c>
    </row>
    <row r="543" spans="1:10" x14ac:dyDescent="0.25">
      <c r="A543" t="s">
        <v>254</v>
      </c>
      <c r="B543" t="s">
        <v>655</v>
      </c>
      <c r="C543" t="s">
        <v>876</v>
      </c>
      <c r="D543" t="s">
        <v>3</v>
      </c>
      <c r="E543">
        <v>49</v>
      </c>
      <c r="F543" t="str">
        <f t="shared" si="8"/>
        <v>Middle Age</v>
      </c>
      <c r="G543" t="s">
        <v>86</v>
      </c>
      <c r="H543" s="3">
        <v>1719</v>
      </c>
      <c r="I543" t="s">
        <v>4</v>
      </c>
      <c r="J543">
        <v>1</v>
      </c>
    </row>
    <row r="544" spans="1:10" x14ac:dyDescent="0.25">
      <c r="A544" t="s">
        <v>423</v>
      </c>
      <c r="B544" t="s">
        <v>308</v>
      </c>
      <c r="C544" t="s">
        <v>877</v>
      </c>
      <c r="D544" t="s">
        <v>8</v>
      </c>
      <c r="E544">
        <v>23</v>
      </c>
      <c r="F544" t="str">
        <f t="shared" si="8"/>
        <v>Young</v>
      </c>
      <c r="G544" t="s">
        <v>160</v>
      </c>
      <c r="H544" s="3">
        <v>8766</v>
      </c>
      <c r="I544" t="s">
        <v>4</v>
      </c>
      <c r="J544">
        <v>2</v>
      </c>
    </row>
    <row r="545" spans="1:10" x14ac:dyDescent="0.25">
      <c r="A545" t="s">
        <v>314</v>
      </c>
      <c r="B545" t="s">
        <v>45</v>
      </c>
      <c r="C545" t="s">
        <v>878</v>
      </c>
      <c r="D545" t="s">
        <v>8</v>
      </c>
      <c r="E545">
        <v>46</v>
      </c>
      <c r="F545" t="str">
        <f t="shared" si="8"/>
        <v>Middle Age</v>
      </c>
      <c r="G545" t="s">
        <v>134</v>
      </c>
      <c r="H545" s="3">
        <v>3937</v>
      </c>
      <c r="I545" t="s">
        <v>14</v>
      </c>
      <c r="J545">
        <v>4</v>
      </c>
    </row>
    <row r="546" spans="1:10" x14ac:dyDescent="0.25">
      <c r="A546" t="s">
        <v>403</v>
      </c>
      <c r="B546" t="s">
        <v>334</v>
      </c>
      <c r="C546" t="s">
        <v>879</v>
      </c>
      <c r="D546" t="s">
        <v>8</v>
      </c>
      <c r="E546">
        <v>52</v>
      </c>
      <c r="F546" t="str">
        <f t="shared" si="8"/>
        <v>Old</v>
      </c>
      <c r="G546" t="s">
        <v>187</v>
      </c>
      <c r="H546" s="3">
        <v>3407</v>
      </c>
      <c r="I546" t="s">
        <v>4</v>
      </c>
      <c r="J546">
        <v>0</v>
      </c>
    </row>
    <row r="547" spans="1:10" x14ac:dyDescent="0.25">
      <c r="A547" t="s">
        <v>222</v>
      </c>
      <c r="B547" t="s">
        <v>61</v>
      </c>
      <c r="C547" t="s">
        <v>880</v>
      </c>
      <c r="D547" t="s">
        <v>3</v>
      </c>
      <c r="E547">
        <v>51</v>
      </c>
      <c r="F547" t="str">
        <f t="shared" si="8"/>
        <v>Old</v>
      </c>
      <c r="G547" t="s">
        <v>63</v>
      </c>
      <c r="H547" s="3">
        <v>715</v>
      </c>
      <c r="I547" t="s">
        <v>4</v>
      </c>
      <c r="J547">
        <v>2</v>
      </c>
    </row>
    <row r="548" spans="1:10" x14ac:dyDescent="0.25">
      <c r="A548" t="s">
        <v>671</v>
      </c>
      <c r="B548" t="s">
        <v>366</v>
      </c>
      <c r="C548" t="s">
        <v>881</v>
      </c>
      <c r="D548" t="s">
        <v>8</v>
      </c>
      <c r="E548">
        <v>24</v>
      </c>
      <c r="F548" t="str">
        <f t="shared" si="8"/>
        <v>Young</v>
      </c>
      <c r="G548" t="s">
        <v>1364</v>
      </c>
      <c r="H548" s="3">
        <v>1140</v>
      </c>
      <c r="I548" t="s">
        <v>4</v>
      </c>
      <c r="J548">
        <v>3</v>
      </c>
    </row>
    <row r="549" spans="1:10" x14ac:dyDescent="0.25">
      <c r="A549" t="s">
        <v>296</v>
      </c>
      <c r="B549" t="s">
        <v>158</v>
      </c>
      <c r="C549" t="s">
        <v>882</v>
      </c>
      <c r="D549" t="s">
        <v>8</v>
      </c>
      <c r="E549">
        <v>30</v>
      </c>
      <c r="F549" t="str">
        <f t="shared" si="8"/>
        <v>Young</v>
      </c>
      <c r="G549" t="s">
        <v>266</v>
      </c>
      <c r="H549" s="3">
        <v>8874</v>
      </c>
      <c r="I549" t="s">
        <v>14</v>
      </c>
      <c r="J549">
        <v>5</v>
      </c>
    </row>
    <row r="550" spans="1:10" x14ac:dyDescent="0.25">
      <c r="A550" t="s">
        <v>356</v>
      </c>
      <c r="B550" t="s">
        <v>114</v>
      </c>
      <c r="C550" t="s">
        <v>883</v>
      </c>
      <c r="D550" t="s">
        <v>8</v>
      </c>
      <c r="E550">
        <v>27</v>
      </c>
      <c r="F550" t="str">
        <f t="shared" si="8"/>
        <v>Young</v>
      </c>
      <c r="G550" t="s">
        <v>63</v>
      </c>
      <c r="H550" s="3">
        <v>4334</v>
      </c>
      <c r="I550" t="s">
        <v>4</v>
      </c>
      <c r="J550">
        <v>2</v>
      </c>
    </row>
    <row r="551" spans="1:10" x14ac:dyDescent="0.25">
      <c r="A551" t="s">
        <v>456</v>
      </c>
      <c r="B551" t="s">
        <v>19</v>
      </c>
      <c r="C551" t="s">
        <v>884</v>
      </c>
      <c r="D551" t="s">
        <v>3</v>
      </c>
      <c r="E551">
        <v>39</v>
      </c>
      <c r="F551" t="str">
        <f t="shared" si="8"/>
        <v>Middle Age</v>
      </c>
      <c r="G551" t="s">
        <v>134</v>
      </c>
      <c r="H551" s="3">
        <v>6877</v>
      </c>
      <c r="I551" t="s">
        <v>14</v>
      </c>
      <c r="J551">
        <v>0</v>
      </c>
    </row>
    <row r="552" spans="1:10" x14ac:dyDescent="0.25">
      <c r="A552" t="s">
        <v>203</v>
      </c>
      <c r="B552" t="s">
        <v>11</v>
      </c>
      <c r="C552" t="s">
        <v>885</v>
      </c>
      <c r="D552" t="s">
        <v>8</v>
      </c>
      <c r="E552">
        <v>58</v>
      </c>
      <c r="F552" t="str">
        <f t="shared" si="8"/>
        <v>Old</v>
      </c>
      <c r="G552" t="s">
        <v>32</v>
      </c>
      <c r="H552" s="3">
        <v>6203</v>
      </c>
      <c r="I552" t="s">
        <v>4</v>
      </c>
      <c r="J552">
        <v>4</v>
      </c>
    </row>
    <row r="553" spans="1:10" x14ac:dyDescent="0.25">
      <c r="A553" t="s">
        <v>170</v>
      </c>
      <c r="B553" t="s">
        <v>284</v>
      </c>
      <c r="C553" t="s">
        <v>886</v>
      </c>
      <c r="D553" t="s">
        <v>8</v>
      </c>
      <c r="E553">
        <v>54</v>
      </c>
      <c r="F553" t="str">
        <f t="shared" si="8"/>
        <v>Old</v>
      </c>
      <c r="G553" t="s">
        <v>169</v>
      </c>
      <c r="H553" s="3">
        <v>7440</v>
      </c>
      <c r="I553" t="s">
        <v>14</v>
      </c>
      <c r="J553">
        <v>5</v>
      </c>
    </row>
    <row r="554" spans="1:10" x14ac:dyDescent="0.25">
      <c r="A554" t="s">
        <v>48</v>
      </c>
      <c r="B554" t="s">
        <v>112</v>
      </c>
      <c r="C554" t="s">
        <v>887</v>
      </c>
      <c r="D554" t="s">
        <v>8</v>
      </c>
      <c r="E554">
        <v>21</v>
      </c>
      <c r="F554" t="str">
        <f t="shared" si="8"/>
        <v>Young</v>
      </c>
      <c r="G554" t="s">
        <v>51</v>
      </c>
      <c r="H554" s="3">
        <v>8010</v>
      </c>
      <c r="I554" t="s">
        <v>14</v>
      </c>
      <c r="J554">
        <v>1</v>
      </c>
    </row>
    <row r="555" spans="1:10" x14ac:dyDescent="0.25">
      <c r="A555" t="s">
        <v>515</v>
      </c>
      <c r="B555" t="s">
        <v>371</v>
      </c>
      <c r="C555" t="s">
        <v>888</v>
      </c>
      <c r="D555" t="s">
        <v>3</v>
      </c>
      <c r="E555">
        <v>60</v>
      </c>
      <c r="F555" t="str">
        <f t="shared" si="8"/>
        <v>Old</v>
      </c>
      <c r="G555" t="s">
        <v>248</v>
      </c>
      <c r="H555" s="3">
        <v>4981</v>
      </c>
      <c r="I555" t="s">
        <v>4</v>
      </c>
      <c r="J555">
        <v>1</v>
      </c>
    </row>
    <row r="556" spans="1:10" x14ac:dyDescent="0.25">
      <c r="A556" t="s">
        <v>374</v>
      </c>
      <c r="B556" t="s">
        <v>112</v>
      </c>
      <c r="C556" t="s">
        <v>889</v>
      </c>
      <c r="D556" t="s">
        <v>8</v>
      </c>
      <c r="E556">
        <v>21</v>
      </c>
      <c r="F556" t="str">
        <f t="shared" si="8"/>
        <v>Young</v>
      </c>
      <c r="G556" t="s">
        <v>134</v>
      </c>
      <c r="H556" s="3">
        <v>5362</v>
      </c>
      <c r="I556" t="s">
        <v>4</v>
      </c>
      <c r="J556">
        <v>1</v>
      </c>
    </row>
    <row r="557" spans="1:10" x14ac:dyDescent="0.25">
      <c r="A557" t="s">
        <v>155</v>
      </c>
      <c r="B557" t="s">
        <v>340</v>
      </c>
      <c r="C557" t="s">
        <v>890</v>
      </c>
      <c r="D557" t="s">
        <v>3</v>
      </c>
      <c r="E557">
        <v>44</v>
      </c>
      <c r="F557" t="str">
        <f t="shared" si="8"/>
        <v>Middle Age</v>
      </c>
      <c r="G557" t="s">
        <v>9</v>
      </c>
      <c r="H557" s="3">
        <v>599</v>
      </c>
      <c r="I557" t="s">
        <v>14</v>
      </c>
      <c r="J557">
        <v>2</v>
      </c>
    </row>
    <row r="558" spans="1:10" x14ac:dyDescent="0.25">
      <c r="A558" t="s">
        <v>493</v>
      </c>
      <c r="B558" t="s">
        <v>504</v>
      </c>
      <c r="C558" t="s">
        <v>891</v>
      </c>
      <c r="D558" t="s">
        <v>3</v>
      </c>
      <c r="E558">
        <v>51</v>
      </c>
      <c r="F558" t="str">
        <f t="shared" si="8"/>
        <v>Old</v>
      </c>
      <c r="G558" t="s">
        <v>217</v>
      </c>
      <c r="H558" s="3">
        <v>9792</v>
      </c>
      <c r="I558" t="s">
        <v>4</v>
      </c>
      <c r="J558">
        <v>4</v>
      </c>
    </row>
    <row r="559" spans="1:10" x14ac:dyDescent="0.25">
      <c r="A559" t="s">
        <v>625</v>
      </c>
      <c r="B559" t="s">
        <v>71</v>
      </c>
      <c r="C559" t="s">
        <v>892</v>
      </c>
      <c r="D559" t="s">
        <v>3</v>
      </c>
      <c r="E559">
        <v>26</v>
      </c>
      <c r="F559" t="str">
        <f t="shared" si="8"/>
        <v>Young</v>
      </c>
      <c r="G559" t="s">
        <v>47</v>
      </c>
      <c r="H559" s="3">
        <v>5807</v>
      </c>
      <c r="I559" t="s">
        <v>14</v>
      </c>
      <c r="J559">
        <v>5</v>
      </c>
    </row>
    <row r="560" spans="1:10" x14ac:dyDescent="0.25">
      <c r="A560" t="s">
        <v>238</v>
      </c>
      <c r="B560" t="s">
        <v>61</v>
      </c>
      <c r="C560" t="s">
        <v>893</v>
      </c>
      <c r="D560" t="s">
        <v>8</v>
      </c>
      <c r="E560">
        <v>28</v>
      </c>
      <c r="F560" t="str">
        <f t="shared" si="8"/>
        <v>Young</v>
      </c>
      <c r="G560" t="s">
        <v>280</v>
      </c>
      <c r="H560" s="3">
        <v>3017</v>
      </c>
      <c r="I560" t="s">
        <v>4</v>
      </c>
      <c r="J560">
        <v>2</v>
      </c>
    </row>
    <row r="561" spans="1:10" x14ac:dyDescent="0.25">
      <c r="A561" t="s">
        <v>894</v>
      </c>
      <c r="B561" t="s">
        <v>6</v>
      </c>
      <c r="C561" t="s">
        <v>895</v>
      </c>
      <c r="D561" t="s">
        <v>8</v>
      </c>
      <c r="E561">
        <v>30</v>
      </c>
      <c r="F561" t="str">
        <f t="shared" si="8"/>
        <v>Young</v>
      </c>
      <c r="G561" t="s">
        <v>382</v>
      </c>
      <c r="H561" s="3">
        <v>7240</v>
      </c>
      <c r="I561" t="s">
        <v>14</v>
      </c>
      <c r="J561">
        <v>3</v>
      </c>
    </row>
    <row r="562" spans="1:10" x14ac:dyDescent="0.25">
      <c r="A562" t="s">
        <v>155</v>
      </c>
      <c r="B562" t="s">
        <v>420</v>
      </c>
      <c r="C562" t="s">
        <v>896</v>
      </c>
      <c r="D562" t="s">
        <v>3</v>
      </c>
      <c r="E562">
        <v>55</v>
      </c>
      <c r="F562" t="str">
        <f t="shared" si="8"/>
        <v>Old</v>
      </c>
      <c r="G562" t="s">
        <v>194</v>
      </c>
      <c r="H562" s="3">
        <v>721</v>
      </c>
      <c r="I562" t="s">
        <v>4</v>
      </c>
      <c r="J562">
        <v>0</v>
      </c>
    </row>
    <row r="563" spans="1:10" x14ac:dyDescent="0.25">
      <c r="A563" t="s">
        <v>183</v>
      </c>
      <c r="B563" t="s">
        <v>513</v>
      </c>
      <c r="C563" t="s">
        <v>897</v>
      </c>
      <c r="D563" t="s">
        <v>3</v>
      </c>
      <c r="E563">
        <v>27</v>
      </c>
      <c r="F563" t="str">
        <f t="shared" si="8"/>
        <v>Young</v>
      </c>
      <c r="G563" t="s">
        <v>63</v>
      </c>
      <c r="H563" s="3">
        <v>7431</v>
      </c>
      <c r="I563" t="s">
        <v>14</v>
      </c>
      <c r="J563">
        <v>2</v>
      </c>
    </row>
    <row r="564" spans="1:10" x14ac:dyDescent="0.25">
      <c r="A564" t="s">
        <v>360</v>
      </c>
      <c r="B564" t="s">
        <v>136</v>
      </c>
      <c r="C564" t="s">
        <v>898</v>
      </c>
      <c r="D564" t="s">
        <v>3</v>
      </c>
      <c r="E564">
        <v>54</v>
      </c>
      <c r="F564" t="str">
        <f t="shared" si="8"/>
        <v>Old</v>
      </c>
      <c r="G564" t="s">
        <v>256</v>
      </c>
      <c r="H564" s="3">
        <v>2988</v>
      </c>
      <c r="I564" t="s">
        <v>14</v>
      </c>
      <c r="J564">
        <v>0</v>
      </c>
    </row>
    <row r="565" spans="1:10" x14ac:dyDescent="0.25">
      <c r="A565" t="s">
        <v>166</v>
      </c>
      <c r="B565" t="s">
        <v>34</v>
      </c>
      <c r="C565" t="s">
        <v>899</v>
      </c>
      <c r="D565" t="s">
        <v>3</v>
      </c>
      <c r="E565">
        <v>27</v>
      </c>
      <c r="F565" t="str">
        <f t="shared" si="8"/>
        <v>Young</v>
      </c>
      <c r="G565" t="s">
        <v>248</v>
      </c>
      <c r="H565" s="3">
        <v>5177</v>
      </c>
      <c r="I565" t="s">
        <v>4</v>
      </c>
      <c r="J565">
        <v>3</v>
      </c>
    </row>
    <row r="566" spans="1:10" x14ac:dyDescent="0.25">
      <c r="A566" t="s">
        <v>188</v>
      </c>
      <c r="B566" t="s">
        <v>361</v>
      </c>
      <c r="C566" t="s">
        <v>900</v>
      </c>
      <c r="D566" t="s">
        <v>8</v>
      </c>
      <c r="E566">
        <v>53</v>
      </c>
      <c r="F566" t="str">
        <f t="shared" si="8"/>
        <v>Old</v>
      </c>
      <c r="G566" t="s">
        <v>103</v>
      </c>
      <c r="H566" s="3">
        <v>7303</v>
      </c>
      <c r="I566" t="s">
        <v>4</v>
      </c>
      <c r="J566">
        <v>2</v>
      </c>
    </row>
    <row r="567" spans="1:10" x14ac:dyDescent="0.25">
      <c r="A567" t="s">
        <v>229</v>
      </c>
      <c r="B567" t="s">
        <v>650</v>
      </c>
      <c r="C567" t="s">
        <v>901</v>
      </c>
      <c r="D567" t="s">
        <v>3</v>
      </c>
      <c r="E567">
        <v>27</v>
      </c>
      <c r="F567" t="str">
        <f t="shared" si="8"/>
        <v>Young</v>
      </c>
      <c r="G567" t="s">
        <v>69</v>
      </c>
      <c r="H567" s="3">
        <v>5272</v>
      </c>
      <c r="I567" t="s">
        <v>14</v>
      </c>
      <c r="J567">
        <v>3</v>
      </c>
    </row>
    <row r="568" spans="1:10" x14ac:dyDescent="0.25">
      <c r="A568" t="s">
        <v>200</v>
      </c>
      <c r="B568" t="s">
        <v>261</v>
      </c>
      <c r="C568" t="s">
        <v>902</v>
      </c>
      <c r="D568" t="s">
        <v>3</v>
      </c>
      <c r="E568">
        <v>45</v>
      </c>
      <c r="F568" t="str">
        <f t="shared" si="8"/>
        <v>Middle Age</v>
      </c>
      <c r="G568" t="s">
        <v>373</v>
      </c>
      <c r="H568" s="3">
        <v>675</v>
      </c>
      <c r="I568" t="s">
        <v>4</v>
      </c>
      <c r="J568">
        <v>4</v>
      </c>
    </row>
    <row r="569" spans="1:10" x14ac:dyDescent="0.25">
      <c r="A569" t="s">
        <v>119</v>
      </c>
      <c r="B569" t="s">
        <v>249</v>
      </c>
      <c r="C569" t="s">
        <v>903</v>
      </c>
      <c r="D569" t="s">
        <v>8</v>
      </c>
      <c r="E569">
        <v>57</v>
      </c>
      <c r="F569" t="str">
        <f t="shared" si="8"/>
        <v>Old</v>
      </c>
      <c r="G569" t="s">
        <v>199</v>
      </c>
      <c r="H569" s="3">
        <v>8379</v>
      </c>
      <c r="I569" t="s">
        <v>4</v>
      </c>
      <c r="J569">
        <v>5</v>
      </c>
    </row>
    <row r="570" spans="1:10" x14ac:dyDescent="0.25">
      <c r="A570" t="s">
        <v>423</v>
      </c>
      <c r="B570" t="s">
        <v>220</v>
      </c>
      <c r="C570" t="s">
        <v>904</v>
      </c>
      <c r="D570" t="s">
        <v>8</v>
      </c>
      <c r="E570">
        <v>36</v>
      </c>
      <c r="F570" t="str">
        <f t="shared" si="8"/>
        <v>Middle Age</v>
      </c>
      <c r="G570" t="s">
        <v>266</v>
      </c>
      <c r="H570" s="3">
        <v>899</v>
      </c>
      <c r="I570" t="s">
        <v>4</v>
      </c>
      <c r="J570">
        <v>4</v>
      </c>
    </row>
    <row r="571" spans="1:10" x14ac:dyDescent="0.25">
      <c r="A571" t="s">
        <v>77</v>
      </c>
      <c r="B571" t="s">
        <v>67</v>
      </c>
      <c r="C571" t="s">
        <v>905</v>
      </c>
      <c r="D571" t="s">
        <v>3</v>
      </c>
      <c r="E571">
        <v>50</v>
      </c>
      <c r="F571" t="str">
        <f t="shared" si="8"/>
        <v>Middle Age</v>
      </c>
      <c r="G571" t="s">
        <v>86</v>
      </c>
      <c r="H571" s="3">
        <v>4774</v>
      </c>
      <c r="I571" t="s">
        <v>14</v>
      </c>
      <c r="J571">
        <v>4</v>
      </c>
    </row>
    <row r="572" spans="1:10" x14ac:dyDescent="0.25">
      <c r="A572" t="s">
        <v>537</v>
      </c>
      <c r="B572" t="s">
        <v>504</v>
      </c>
      <c r="C572" t="s">
        <v>906</v>
      </c>
      <c r="D572" t="s">
        <v>3</v>
      </c>
      <c r="E572">
        <v>46</v>
      </c>
      <c r="F572" t="str">
        <f t="shared" si="8"/>
        <v>Middle Age</v>
      </c>
      <c r="G572" t="s">
        <v>69</v>
      </c>
      <c r="H572" s="3">
        <v>3647</v>
      </c>
      <c r="I572" t="s">
        <v>14</v>
      </c>
      <c r="J572">
        <v>3</v>
      </c>
    </row>
    <row r="573" spans="1:10" x14ac:dyDescent="0.25">
      <c r="A573" t="s">
        <v>507</v>
      </c>
      <c r="B573" t="s">
        <v>334</v>
      </c>
      <c r="C573" t="s">
        <v>907</v>
      </c>
      <c r="D573" t="s">
        <v>8</v>
      </c>
      <c r="E573">
        <v>47</v>
      </c>
      <c r="F573" t="str">
        <f t="shared" si="8"/>
        <v>Middle Age</v>
      </c>
      <c r="G573" t="s">
        <v>211</v>
      </c>
      <c r="H573" s="3">
        <v>1644</v>
      </c>
      <c r="I573" t="s">
        <v>4</v>
      </c>
      <c r="J573">
        <v>2</v>
      </c>
    </row>
    <row r="574" spans="1:10" x14ac:dyDescent="0.25">
      <c r="A574" t="s">
        <v>484</v>
      </c>
      <c r="B574" t="s">
        <v>561</v>
      </c>
      <c r="C574" t="s">
        <v>908</v>
      </c>
      <c r="D574" t="s">
        <v>3</v>
      </c>
      <c r="E574">
        <v>37</v>
      </c>
      <c r="F574" t="str">
        <f t="shared" si="8"/>
        <v>Middle Age</v>
      </c>
      <c r="G574" t="s">
        <v>82</v>
      </c>
      <c r="H574" s="3">
        <v>3381</v>
      </c>
      <c r="I574" t="s">
        <v>14</v>
      </c>
      <c r="J574">
        <v>5</v>
      </c>
    </row>
    <row r="575" spans="1:10" x14ac:dyDescent="0.25">
      <c r="A575" t="s">
        <v>312</v>
      </c>
      <c r="B575" t="s">
        <v>162</v>
      </c>
      <c r="C575" t="s">
        <v>909</v>
      </c>
      <c r="D575" t="s">
        <v>3</v>
      </c>
      <c r="E575">
        <v>37</v>
      </c>
      <c r="F575" t="str">
        <f t="shared" si="8"/>
        <v>Middle Age</v>
      </c>
      <c r="G575" t="s">
        <v>134</v>
      </c>
      <c r="H575" s="3">
        <v>7376</v>
      </c>
      <c r="I575" t="s">
        <v>14</v>
      </c>
      <c r="J575">
        <v>0</v>
      </c>
    </row>
    <row r="576" spans="1:10" x14ac:dyDescent="0.25">
      <c r="A576" t="s">
        <v>493</v>
      </c>
      <c r="B576" t="s">
        <v>167</v>
      </c>
      <c r="C576" t="s">
        <v>910</v>
      </c>
      <c r="D576" t="s">
        <v>3</v>
      </c>
      <c r="E576">
        <v>23</v>
      </c>
      <c r="F576" t="str">
        <f t="shared" si="8"/>
        <v>Young</v>
      </c>
      <c r="G576" t="s">
        <v>103</v>
      </c>
      <c r="H576" s="3">
        <v>1441</v>
      </c>
      <c r="I576" t="s">
        <v>14</v>
      </c>
      <c r="J576">
        <v>3</v>
      </c>
    </row>
    <row r="577" spans="1:10" x14ac:dyDescent="0.25">
      <c r="A577" t="s">
        <v>473</v>
      </c>
      <c r="B577" t="s">
        <v>552</v>
      </c>
      <c r="C577" t="s">
        <v>911</v>
      </c>
      <c r="D577" t="s">
        <v>8</v>
      </c>
      <c r="E577">
        <v>55</v>
      </c>
      <c r="F577" t="str">
        <f t="shared" si="8"/>
        <v>Old</v>
      </c>
      <c r="G577" t="s">
        <v>197</v>
      </c>
      <c r="H577" s="3">
        <v>1738</v>
      </c>
      <c r="I577" t="s">
        <v>14</v>
      </c>
      <c r="J577">
        <v>1</v>
      </c>
    </row>
    <row r="578" spans="1:10" x14ac:dyDescent="0.25">
      <c r="A578" t="s">
        <v>166</v>
      </c>
      <c r="B578" t="s">
        <v>57</v>
      </c>
      <c r="C578" t="s">
        <v>912</v>
      </c>
      <c r="D578" t="s">
        <v>3</v>
      </c>
      <c r="E578">
        <v>42</v>
      </c>
      <c r="F578" t="str">
        <f t="shared" si="8"/>
        <v>Middle Age</v>
      </c>
      <c r="G578" t="s">
        <v>199</v>
      </c>
      <c r="H578" s="3">
        <v>2770</v>
      </c>
      <c r="I578" t="s">
        <v>4</v>
      </c>
      <c r="J578">
        <v>4</v>
      </c>
    </row>
    <row r="579" spans="1:10" x14ac:dyDescent="0.25">
      <c r="A579" t="s">
        <v>330</v>
      </c>
      <c r="B579" t="s">
        <v>498</v>
      </c>
      <c r="C579" t="s">
        <v>913</v>
      </c>
      <c r="D579" t="s">
        <v>8</v>
      </c>
      <c r="E579">
        <v>44</v>
      </c>
      <c r="F579" t="str">
        <f t="shared" ref="F579:F642" si="9">IF(E579&gt;50,"Old",IF(E579&gt;=31,"Middle Age",IF(E579&lt;31,"Young","Invalid")))</f>
        <v>Middle Age</v>
      </c>
      <c r="G579" t="s">
        <v>124</v>
      </c>
      <c r="H579" s="3">
        <v>5345</v>
      </c>
      <c r="I579" t="s">
        <v>14</v>
      </c>
      <c r="J579">
        <v>2</v>
      </c>
    </row>
    <row r="580" spans="1:10" x14ac:dyDescent="0.25">
      <c r="A580" t="s">
        <v>111</v>
      </c>
      <c r="B580" t="s">
        <v>91</v>
      </c>
      <c r="C580" t="s">
        <v>914</v>
      </c>
      <c r="D580" t="s">
        <v>8</v>
      </c>
      <c r="E580">
        <v>26</v>
      </c>
      <c r="F580" t="str">
        <f t="shared" si="9"/>
        <v>Young</v>
      </c>
      <c r="G580" t="s">
        <v>280</v>
      </c>
      <c r="H580" s="3">
        <v>6240</v>
      </c>
      <c r="I580" t="s">
        <v>14</v>
      </c>
      <c r="J580">
        <v>1</v>
      </c>
    </row>
    <row r="581" spans="1:10" x14ac:dyDescent="0.25">
      <c r="A581" t="s">
        <v>725</v>
      </c>
      <c r="B581" t="s">
        <v>148</v>
      </c>
      <c r="C581" t="s">
        <v>915</v>
      </c>
      <c r="D581" t="s">
        <v>8</v>
      </c>
      <c r="E581">
        <v>49</v>
      </c>
      <c r="F581" t="str">
        <f t="shared" si="9"/>
        <v>Middle Age</v>
      </c>
      <c r="G581" t="s">
        <v>103</v>
      </c>
      <c r="H581" s="3">
        <v>1028</v>
      </c>
      <c r="I581" t="s">
        <v>14</v>
      </c>
      <c r="J581">
        <v>4</v>
      </c>
    </row>
    <row r="582" spans="1:10" x14ac:dyDescent="0.25">
      <c r="A582" t="s">
        <v>108</v>
      </c>
      <c r="B582" t="s">
        <v>11</v>
      </c>
      <c r="C582" t="s">
        <v>916</v>
      </c>
      <c r="D582" t="s">
        <v>3</v>
      </c>
      <c r="E582">
        <v>59</v>
      </c>
      <c r="F582" t="str">
        <f t="shared" si="9"/>
        <v>Old</v>
      </c>
      <c r="G582" t="s">
        <v>134</v>
      </c>
      <c r="H582" s="3">
        <v>4035</v>
      </c>
      <c r="I582" t="s">
        <v>14</v>
      </c>
      <c r="J582">
        <v>2</v>
      </c>
    </row>
    <row r="583" spans="1:10" x14ac:dyDescent="0.25">
      <c r="A583" t="s">
        <v>190</v>
      </c>
      <c r="B583" t="s">
        <v>358</v>
      </c>
      <c r="C583" t="s">
        <v>917</v>
      </c>
      <c r="D583" t="s">
        <v>8</v>
      </c>
      <c r="E583">
        <v>45</v>
      </c>
      <c r="F583" t="str">
        <f t="shared" si="9"/>
        <v>Middle Age</v>
      </c>
      <c r="G583" t="s">
        <v>266</v>
      </c>
      <c r="H583" s="3">
        <v>2561</v>
      </c>
      <c r="I583" t="s">
        <v>4</v>
      </c>
      <c r="J583">
        <v>4</v>
      </c>
    </row>
    <row r="584" spans="1:10" x14ac:dyDescent="0.25">
      <c r="A584" t="s">
        <v>356</v>
      </c>
      <c r="B584" t="s">
        <v>655</v>
      </c>
      <c r="C584" t="s">
        <v>918</v>
      </c>
      <c r="D584" t="s">
        <v>8</v>
      </c>
      <c r="E584">
        <v>55</v>
      </c>
      <c r="F584" t="str">
        <f t="shared" si="9"/>
        <v>Old</v>
      </c>
      <c r="G584" t="s">
        <v>124</v>
      </c>
      <c r="H584" s="3">
        <v>1195</v>
      </c>
      <c r="I584" t="s">
        <v>14</v>
      </c>
      <c r="J584">
        <v>5</v>
      </c>
    </row>
    <row r="585" spans="1:10" x14ac:dyDescent="0.25">
      <c r="A585" t="s">
        <v>203</v>
      </c>
      <c r="B585" t="s">
        <v>49</v>
      </c>
      <c r="C585" t="s">
        <v>919</v>
      </c>
      <c r="D585" t="s">
        <v>8</v>
      </c>
      <c r="E585">
        <v>47</v>
      </c>
      <c r="F585" t="str">
        <f t="shared" si="9"/>
        <v>Middle Age</v>
      </c>
      <c r="G585" t="s">
        <v>172</v>
      </c>
      <c r="H585" s="3">
        <v>557</v>
      </c>
      <c r="I585" t="s">
        <v>14</v>
      </c>
      <c r="J585">
        <v>4</v>
      </c>
    </row>
    <row r="586" spans="1:10" x14ac:dyDescent="0.25">
      <c r="A586" t="s">
        <v>664</v>
      </c>
      <c r="B586" t="s">
        <v>650</v>
      </c>
      <c r="C586" t="s">
        <v>920</v>
      </c>
      <c r="D586" t="s">
        <v>8</v>
      </c>
      <c r="E586">
        <v>20</v>
      </c>
      <c r="F586" t="str">
        <f t="shared" si="9"/>
        <v>Young</v>
      </c>
      <c r="G586" t="s">
        <v>59</v>
      </c>
      <c r="H586" s="3">
        <v>1961</v>
      </c>
      <c r="I586" t="s">
        <v>14</v>
      </c>
      <c r="J586">
        <v>0</v>
      </c>
    </row>
    <row r="587" spans="1:10" x14ac:dyDescent="0.25">
      <c r="A587" t="s">
        <v>48</v>
      </c>
      <c r="B587" t="s">
        <v>420</v>
      </c>
      <c r="C587" t="s">
        <v>921</v>
      </c>
      <c r="D587" t="s">
        <v>8</v>
      </c>
      <c r="E587">
        <v>34</v>
      </c>
      <c r="F587" t="str">
        <f t="shared" si="9"/>
        <v>Middle Age</v>
      </c>
      <c r="G587" t="s">
        <v>290</v>
      </c>
      <c r="H587" s="3">
        <v>3131</v>
      </c>
      <c r="I587" t="s">
        <v>14</v>
      </c>
      <c r="J587">
        <v>3</v>
      </c>
    </row>
    <row r="588" spans="1:10" x14ac:dyDescent="0.25">
      <c r="A588" t="s">
        <v>922</v>
      </c>
      <c r="B588" t="s">
        <v>604</v>
      </c>
      <c r="C588" t="s">
        <v>923</v>
      </c>
      <c r="D588" t="s">
        <v>3</v>
      </c>
      <c r="E588">
        <v>23</v>
      </c>
      <c r="F588" t="str">
        <f t="shared" si="9"/>
        <v>Young</v>
      </c>
      <c r="G588" t="s">
        <v>134</v>
      </c>
      <c r="H588" s="3">
        <v>7336</v>
      </c>
      <c r="I588" t="s">
        <v>14</v>
      </c>
      <c r="J588">
        <v>3</v>
      </c>
    </row>
    <row r="589" spans="1:10" x14ac:dyDescent="0.25">
      <c r="A589" t="s">
        <v>323</v>
      </c>
      <c r="B589" t="s">
        <v>530</v>
      </c>
      <c r="C589" t="s">
        <v>924</v>
      </c>
      <c r="D589" t="s">
        <v>8</v>
      </c>
      <c r="E589">
        <v>27</v>
      </c>
      <c r="F589" t="str">
        <f t="shared" si="9"/>
        <v>Young</v>
      </c>
      <c r="G589" t="s">
        <v>80</v>
      </c>
      <c r="H589" s="3">
        <v>1721</v>
      </c>
      <c r="I589" t="s">
        <v>4</v>
      </c>
      <c r="J589">
        <v>3</v>
      </c>
    </row>
    <row r="590" spans="1:10" x14ac:dyDescent="0.25">
      <c r="A590" t="s">
        <v>419</v>
      </c>
      <c r="B590" t="s">
        <v>122</v>
      </c>
      <c r="C590" t="s">
        <v>925</v>
      </c>
      <c r="D590" t="s">
        <v>8</v>
      </c>
      <c r="E590">
        <v>57</v>
      </c>
      <c r="F590" t="str">
        <f t="shared" si="9"/>
        <v>Old</v>
      </c>
      <c r="G590" t="s">
        <v>373</v>
      </c>
      <c r="H590" s="3">
        <v>8474</v>
      </c>
      <c r="I590" t="s">
        <v>4</v>
      </c>
      <c r="J590">
        <v>2</v>
      </c>
    </row>
    <row r="591" spans="1:10" x14ac:dyDescent="0.25">
      <c r="A591" t="s">
        <v>591</v>
      </c>
      <c r="B591" t="s">
        <v>114</v>
      </c>
      <c r="C591" t="s">
        <v>926</v>
      </c>
      <c r="D591" t="s">
        <v>8</v>
      </c>
      <c r="E591">
        <v>23</v>
      </c>
      <c r="F591" t="str">
        <f t="shared" si="9"/>
        <v>Young</v>
      </c>
      <c r="G591" t="s">
        <v>266</v>
      </c>
      <c r="H591" s="3">
        <v>844</v>
      </c>
      <c r="I591" t="s">
        <v>14</v>
      </c>
      <c r="J591">
        <v>3</v>
      </c>
    </row>
    <row r="592" spans="1:10" x14ac:dyDescent="0.25">
      <c r="A592" t="s">
        <v>419</v>
      </c>
      <c r="B592" t="s">
        <v>301</v>
      </c>
      <c r="C592" t="s">
        <v>927</v>
      </c>
      <c r="D592" t="s">
        <v>8</v>
      </c>
      <c r="E592">
        <v>22</v>
      </c>
      <c r="F592" t="str">
        <f t="shared" si="9"/>
        <v>Young</v>
      </c>
      <c r="G592" t="s">
        <v>225</v>
      </c>
      <c r="H592" s="3">
        <v>7558</v>
      </c>
      <c r="I592" t="s">
        <v>14</v>
      </c>
      <c r="J592">
        <v>3</v>
      </c>
    </row>
    <row r="593" spans="1:10" x14ac:dyDescent="0.25">
      <c r="A593" t="s">
        <v>928</v>
      </c>
      <c r="B593" t="s">
        <v>305</v>
      </c>
      <c r="C593" t="s">
        <v>929</v>
      </c>
      <c r="D593" t="s">
        <v>8</v>
      </c>
      <c r="E593">
        <v>57</v>
      </c>
      <c r="F593" t="str">
        <f t="shared" si="9"/>
        <v>Old</v>
      </c>
      <c r="G593" t="s">
        <v>225</v>
      </c>
      <c r="H593" s="3">
        <v>6601</v>
      </c>
      <c r="I593" t="s">
        <v>4</v>
      </c>
      <c r="J593">
        <v>2</v>
      </c>
    </row>
    <row r="594" spans="1:10" x14ac:dyDescent="0.25">
      <c r="A594" t="s">
        <v>637</v>
      </c>
      <c r="B594" t="s">
        <v>415</v>
      </c>
      <c r="C594" t="s">
        <v>930</v>
      </c>
      <c r="D594" t="s">
        <v>3</v>
      </c>
      <c r="E594">
        <v>35</v>
      </c>
      <c r="F594" t="str">
        <f t="shared" si="9"/>
        <v>Middle Age</v>
      </c>
      <c r="G594" t="s">
        <v>13</v>
      </c>
      <c r="H594" s="3">
        <v>586</v>
      </c>
      <c r="I594" t="s">
        <v>4</v>
      </c>
      <c r="J594">
        <v>5</v>
      </c>
    </row>
    <row r="595" spans="1:10" x14ac:dyDescent="0.25">
      <c r="A595" t="s">
        <v>614</v>
      </c>
      <c r="B595" t="s">
        <v>88</v>
      </c>
      <c r="C595" t="s">
        <v>931</v>
      </c>
      <c r="D595" t="s">
        <v>8</v>
      </c>
      <c r="E595">
        <v>28</v>
      </c>
      <c r="F595" t="str">
        <f t="shared" si="9"/>
        <v>Young</v>
      </c>
      <c r="G595" t="s">
        <v>303</v>
      </c>
      <c r="H595" s="3">
        <v>2993</v>
      </c>
      <c r="I595" t="s">
        <v>14</v>
      </c>
      <c r="J595">
        <v>5</v>
      </c>
    </row>
    <row r="596" spans="1:10" x14ac:dyDescent="0.25">
      <c r="A596" t="s">
        <v>932</v>
      </c>
      <c r="B596" t="s">
        <v>223</v>
      </c>
      <c r="C596" t="s">
        <v>933</v>
      </c>
      <c r="D596" t="s">
        <v>8</v>
      </c>
      <c r="E596">
        <v>42</v>
      </c>
      <c r="F596" t="str">
        <f t="shared" si="9"/>
        <v>Middle Age</v>
      </c>
      <c r="G596" t="s">
        <v>51</v>
      </c>
      <c r="H596" s="3">
        <v>1782</v>
      </c>
      <c r="I596" t="s">
        <v>14</v>
      </c>
      <c r="J596">
        <v>5</v>
      </c>
    </row>
    <row r="597" spans="1:10" x14ac:dyDescent="0.25">
      <c r="A597" t="s">
        <v>129</v>
      </c>
      <c r="B597" t="s">
        <v>294</v>
      </c>
      <c r="C597" t="s">
        <v>934</v>
      </c>
      <c r="D597" t="s">
        <v>3</v>
      </c>
      <c r="E597">
        <v>41</v>
      </c>
      <c r="F597" t="str">
        <f t="shared" si="9"/>
        <v>Middle Age</v>
      </c>
      <c r="G597" t="s">
        <v>43</v>
      </c>
      <c r="H597" s="3">
        <v>9431</v>
      </c>
      <c r="I597" t="s">
        <v>4</v>
      </c>
      <c r="J597">
        <v>1</v>
      </c>
    </row>
    <row r="598" spans="1:10" x14ac:dyDescent="0.25">
      <c r="A598" t="s">
        <v>342</v>
      </c>
      <c r="B598" t="s">
        <v>122</v>
      </c>
      <c r="C598" t="s">
        <v>935</v>
      </c>
      <c r="D598" t="s">
        <v>3</v>
      </c>
      <c r="E598">
        <v>28</v>
      </c>
      <c r="F598" t="str">
        <f t="shared" si="9"/>
        <v>Young</v>
      </c>
      <c r="G598" t="s">
        <v>25</v>
      </c>
      <c r="H598" s="3">
        <v>2305</v>
      </c>
      <c r="I598" t="s">
        <v>14</v>
      </c>
      <c r="J598">
        <v>3</v>
      </c>
    </row>
    <row r="599" spans="1:10" x14ac:dyDescent="0.25">
      <c r="A599" t="s">
        <v>500</v>
      </c>
      <c r="B599" t="s">
        <v>84</v>
      </c>
      <c r="C599" t="s">
        <v>936</v>
      </c>
      <c r="D599" t="s">
        <v>8</v>
      </c>
      <c r="E599">
        <v>29</v>
      </c>
      <c r="F599" t="str">
        <f t="shared" si="9"/>
        <v>Young</v>
      </c>
      <c r="G599" t="s">
        <v>373</v>
      </c>
      <c r="H599" s="3">
        <v>8059</v>
      </c>
      <c r="I599" t="s">
        <v>4</v>
      </c>
      <c r="J599">
        <v>2</v>
      </c>
    </row>
    <row r="600" spans="1:10" x14ac:dyDescent="0.25">
      <c r="A600" t="s">
        <v>489</v>
      </c>
      <c r="B600" t="s">
        <v>155</v>
      </c>
      <c r="C600" t="s">
        <v>937</v>
      </c>
      <c r="D600" t="s">
        <v>3</v>
      </c>
      <c r="E600">
        <v>29</v>
      </c>
      <c r="F600" t="str">
        <f t="shared" si="9"/>
        <v>Young</v>
      </c>
      <c r="G600" t="s">
        <v>80</v>
      </c>
      <c r="H600" s="3">
        <v>8338</v>
      </c>
      <c r="I600" t="s">
        <v>14</v>
      </c>
      <c r="J600">
        <v>1</v>
      </c>
    </row>
    <row r="601" spans="1:10" x14ac:dyDescent="0.25">
      <c r="A601" t="s">
        <v>731</v>
      </c>
      <c r="B601" t="s">
        <v>158</v>
      </c>
      <c r="C601" t="s">
        <v>938</v>
      </c>
      <c r="D601" t="s">
        <v>8</v>
      </c>
      <c r="E601">
        <v>33</v>
      </c>
      <c r="F601" t="str">
        <f t="shared" si="9"/>
        <v>Middle Age</v>
      </c>
      <c r="G601" t="s">
        <v>55</v>
      </c>
      <c r="H601" s="3">
        <v>3709</v>
      </c>
      <c r="I601" t="s">
        <v>14</v>
      </c>
      <c r="J601">
        <v>3</v>
      </c>
    </row>
    <row r="602" spans="1:10" x14ac:dyDescent="0.25">
      <c r="A602" t="s">
        <v>480</v>
      </c>
      <c r="B602" t="s">
        <v>274</v>
      </c>
      <c r="C602" t="s">
        <v>939</v>
      </c>
      <c r="D602" t="s">
        <v>8</v>
      </c>
      <c r="E602">
        <v>22</v>
      </c>
      <c r="F602" t="str">
        <f t="shared" si="9"/>
        <v>Young</v>
      </c>
      <c r="G602" t="s">
        <v>187</v>
      </c>
      <c r="H602" s="3">
        <v>3733</v>
      </c>
      <c r="I602" t="s">
        <v>14</v>
      </c>
      <c r="J602">
        <v>4</v>
      </c>
    </row>
    <row r="603" spans="1:10" x14ac:dyDescent="0.25">
      <c r="A603" t="s">
        <v>482</v>
      </c>
      <c r="B603" t="s">
        <v>41</v>
      </c>
      <c r="C603" t="s">
        <v>940</v>
      </c>
      <c r="D603" t="s">
        <v>8</v>
      </c>
      <c r="E603">
        <v>39</v>
      </c>
      <c r="F603" t="str">
        <f t="shared" si="9"/>
        <v>Middle Age</v>
      </c>
      <c r="G603" t="s">
        <v>47</v>
      </c>
      <c r="H603" s="3">
        <v>2443</v>
      </c>
      <c r="I603" t="s">
        <v>4</v>
      </c>
      <c r="J603">
        <v>2</v>
      </c>
    </row>
    <row r="604" spans="1:10" x14ac:dyDescent="0.25">
      <c r="A604" t="s">
        <v>190</v>
      </c>
      <c r="B604" t="s">
        <v>185</v>
      </c>
      <c r="C604" t="s">
        <v>941</v>
      </c>
      <c r="D604" t="s">
        <v>8</v>
      </c>
      <c r="E604">
        <v>33</v>
      </c>
      <c r="F604" t="str">
        <f t="shared" si="9"/>
        <v>Middle Age</v>
      </c>
      <c r="G604" t="s">
        <v>76</v>
      </c>
      <c r="H604" s="3">
        <v>6670</v>
      </c>
      <c r="I604" t="s">
        <v>4</v>
      </c>
      <c r="J604">
        <v>0</v>
      </c>
    </row>
    <row r="605" spans="1:10" x14ac:dyDescent="0.25">
      <c r="A605" t="s">
        <v>507</v>
      </c>
      <c r="B605" t="s">
        <v>655</v>
      </c>
      <c r="C605" t="s">
        <v>942</v>
      </c>
      <c r="D605" t="s">
        <v>8</v>
      </c>
      <c r="E605">
        <v>33</v>
      </c>
      <c r="F605" t="str">
        <f t="shared" si="9"/>
        <v>Middle Age</v>
      </c>
      <c r="G605" t="s">
        <v>290</v>
      </c>
      <c r="H605" s="3">
        <v>5114</v>
      </c>
      <c r="I605" t="s">
        <v>4</v>
      </c>
      <c r="J605">
        <v>4</v>
      </c>
    </row>
    <row r="606" spans="1:10" x14ac:dyDescent="0.25">
      <c r="A606" t="s">
        <v>40</v>
      </c>
      <c r="B606" t="s">
        <v>261</v>
      </c>
      <c r="C606" t="s">
        <v>943</v>
      </c>
      <c r="D606" t="s">
        <v>8</v>
      </c>
      <c r="E606">
        <v>60</v>
      </c>
      <c r="F606" t="str">
        <f t="shared" si="9"/>
        <v>Old</v>
      </c>
      <c r="G606" t="s">
        <v>1364</v>
      </c>
      <c r="H606" s="3">
        <v>7447</v>
      </c>
      <c r="I606" t="s">
        <v>4</v>
      </c>
      <c r="J606">
        <v>0</v>
      </c>
    </row>
    <row r="607" spans="1:10" x14ac:dyDescent="0.25">
      <c r="A607" t="s">
        <v>286</v>
      </c>
      <c r="B607" t="s">
        <v>67</v>
      </c>
      <c r="C607" t="s">
        <v>944</v>
      </c>
      <c r="D607" t="s">
        <v>8</v>
      </c>
      <c r="E607">
        <v>44</v>
      </c>
      <c r="F607" t="str">
        <f t="shared" si="9"/>
        <v>Middle Age</v>
      </c>
      <c r="G607" t="s">
        <v>124</v>
      </c>
      <c r="H607" s="3">
        <v>9544</v>
      </c>
      <c r="I607" t="s">
        <v>4</v>
      </c>
      <c r="J607">
        <v>5</v>
      </c>
    </row>
    <row r="608" spans="1:10" x14ac:dyDescent="0.25">
      <c r="A608" t="s">
        <v>354</v>
      </c>
      <c r="B608" t="s">
        <v>185</v>
      </c>
      <c r="C608" t="s">
        <v>945</v>
      </c>
      <c r="D608" t="s">
        <v>8</v>
      </c>
      <c r="E608">
        <v>47</v>
      </c>
      <c r="F608" t="str">
        <f t="shared" si="9"/>
        <v>Middle Age</v>
      </c>
      <c r="G608" t="s">
        <v>103</v>
      </c>
      <c r="H608" s="3">
        <v>7719</v>
      </c>
      <c r="I608" t="s">
        <v>14</v>
      </c>
      <c r="J608">
        <v>4</v>
      </c>
    </row>
    <row r="609" spans="1:10" x14ac:dyDescent="0.25">
      <c r="A609" t="s">
        <v>346</v>
      </c>
      <c r="B609" t="s">
        <v>84</v>
      </c>
      <c r="C609" t="s">
        <v>946</v>
      </c>
      <c r="D609" t="s">
        <v>3</v>
      </c>
      <c r="E609">
        <v>37</v>
      </c>
      <c r="F609" t="str">
        <f t="shared" si="9"/>
        <v>Middle Age</v>
      </c>
      <c r="G609" t="s">
        <v>234</v>
      </c>
      <c r="H609" s="3">
        <v>3844</v>
      </c>
      <c r="I609" t="s">
        <v>4</v>
      </c>
      <c r="J609">
        <v>0</v>
      </c>
    </row>
    <row r="610" spans="1:10" x14ac:dyDescent="0.25">
      <c r="A610" t="s">
        <v>704</v>
      </c>
      <c r="B610" t="s">
        <v>116</v>
      </c>
      <c r="C610" t="s">
        <v>947</v>
      </c>
      <c r="D610" t="s">
        <v>8</v>
      </c>
      <c r="E610">
        <v>18</v>
      </c>
      <c r="F610" t="str">
        <f t="shared" si="9"/>
        <v>Young</v>
      </c>
      <c r="G610" t="s">
        <v>280</v>
      </c>
      <c r="H610" s="3">
        <v>4185</v>
      </c>
      <c r="I610" t="s">
        <v>4</v>
      </c>
      <c r="J610">
        <v>2</v>
      </c>
    </row>
    <row r="611" spans="1:10" x14ac:dyDescent="0.25">
      <c r="A611" t="s">
        <v>568</v>
      </c>
      <c r="B611" t="s">
        <v>142</v>
      </c>
      <c r="C611" t="s">
        <v>948</v>
      </c>
      <c r="D611" t="s">
        <v>3</v>
      </c>
      <c r="E611">
        <v>30</v>
      </c>
      <c r="F611" t="str">
        <f t="shared" si="9"/>
        <v>Young</v>
      </c>
      <c r="G611" t="s">
        <v>76</v>
      </c>
      <c r="H611" s="3">
        <v>9225</v>
      </c>
      <c r="I611" t="s">
        <v>14</v>
      </c>
      <c r="J611">
        <v>4</v>
      </c>
    </row>
    <row r="612" spans="1:10" x14ac:dyDescent="0.25">
      <c r="A612" t="s">
        <v>664</v>
      </c>
      <c r="B612" t="s">
        <v>142</v>
      </c>
      <c r="C612" t="s">
        <v>949</v>
      </c>
      <c r="D612" t="s">
        <v>8</v>
      </c>
      <c r="E612">
        <v>21</v>
      </c>
      <c r="F612" t="str">
        <f t="shared" si="9"/>
        <v>Young</v>
      </c>
      <c r="G612" t="s">
        <v>182</v>
      </c>
      <c r="H612" s="3">
        <v>9643</v>
      </c>
      <c r="I612" t="s">
        <v>4</v>
      </c>
      <c r="J612">
        <v>3</v>
      </c>
    </row>
    <row r="613" spans="1:10" x14ac:dyDescent="0.25">
      <c r="A613" t="s">
        <v>60</v>
      </c>
      <c r="B613" t="s">
        <v>78</v>
      </c>
      <c r="C613" t="s">
        <v>950</v>
      </c>
      <c r="D613" t="s">
        <v>3</v>
      </c>
      <c r="E613">
        <v>44</v>
      </c>
      <c r="F613" t="str">
        <f t="shared" si="9"/>
        <v>Middle Age</v>
      </c>
      <c r="G613" t="s">
        <v>82</v>
      </c>
      <c r="H613" s="3">
        <v>5623</v>
      </c>
      <c r="I613" t="s">
        <v>14</v>
      </c>
      <c r="J613">
        <v>4</v>
      </c>
    </row>
    <row r="614" spans="1:10" x14ac:dyDescent="0.25">
      <c r="A614" t="s">
        <v>951</v>
      </c>
      <c r="B614" t="s">
        <v>142</v>
      </c>
      <c r="C614" t="s">
        <v>952</v>
      </c>
      <c r="D614" t="s">
        <v>3</v>
      </c>
      <c r="E614">
        <v>40</v>
      </c>
      <c r="F614" t="str">
        <f t="shared" si="9"/>
        <v>Middle Age</v>
      </c>
      <c r="G614" t="s">
        <v>373</v>
      </c>
      <c r="H614" s="3">
        <v>6540</v>
      </c>
      <c r="I614" t="s">
        <v>4</v>
      </c>
      <c r="J614">
        <v>3</v>
      </c>
    </row>
    <row r="615" spans="1:10" x14ac:dyDescent="0.25">
      <c r="A615" t="s">
        <v>11</v>
      </c>
      <c r="B615" t="s">
        <v>478</v>
      </c>
      <c r="C615" t="s">
        <v>953</v>
      </c>
      <c r="D615" t="s">
        <v>3</v>
      </c>
      <c r="E615">
        <v>42</v>
      </c>
      <c r="F615" t="str">
        <f t="shared" si="9"/>
        <v>Middle Age</v>
      </c>
      <c r="G615" t="s">
        <v>32</v>
      </c>
      <c r="H615" s="3">
        <v>4006</v>
      </c>
      <c r="I615" t="s">
        <v>4</v>
      </c>
      <c r="J615">
        <v>3</v>
      </c>
    </row>
    <row r="616" spans="1:10" x14ac:dyDescent="0.25">
      <c r="A616" t="s">
        <v>141</v>
      </c>
      <c r="B616" t="s">
        <v>324</v>
      </c>
      <c r="C616" t="s">
        <v>954</v>
      </c>
      <c r="D616" t="s">
        <v>8</v>
      </c>
      <c r="E616">
        <v>49</v>
      </c>
      <c r="F616" t="str">
        <f t="shared" si="9"/>
        <v>Middle Age</v>
      </c>
      <c r="G616" t="s">
        <v>172</v>
      </c>
      <c r="H616" s="3">
        <v>1029</v>
      </c>
      <c r="I616" t="s">
        <v>4</v>
      </c>
      <c r="J616">
        <v>0</v>
      </c>
    </row>
    <row r="617" spans="1:10" x14ac:dyDescent="0.25">
      <c r="A617" t="s">
        <v>257</v>
      </c>
      <c r="B617" t="s">
        <v>251</v>
      </c>
      <c r="C617" t="s">
        <v>955</v>
      </c>
      <c r="D617" t="s">
        <v>3</v>
      </c>
      <c r="E617">
        <v>58</v>
      </c>
      <c r="F617" t="str">
        <f t="shared" si="9"/>
        <v>Old</v>
      </c>
      <c r="G617" t="s">
        <v>373</v>
      </c>
      <c r="H617" s="3">
        <v>8863</v>
      </c>
      <c r="I617" t="s">
        <v>4</v>
      </c>
      <c r="J617">
        <v>2</v>
      </c>
    </row>
    <row r="618" spans="1:10" x14ac:dyDescent="0.25">
      <c r="A618" t="s">
        <v>195</v>
      </c>
      <c r="B618" t="s">
        <v>67</v>
      </c>
      <c r="C618" t="s">
        <v>956</v>
      </c>
      <c r="D618" t="s">
        <v>3</v>
      </c>
      <c r="E618">
        <v>58</v>
      </c>
      <c r="F618" t="str">
        <f t="shared" si="9"/>
        <v>Old</v>
      </c>
      <c r="G618" t="s">
        <v>103</v>
      </c>
      <c r="H618" s="3">
        <v>8625</v>
      </c>
      <c r="I618" t="s">
        <v>14</v>
      </c>
      <c r="J618">
        <v>3</v>
      </c>
    </row>
    <row r="619" spans="1:10" x14ac:dyDescent="0.25">
      <c r="A619" t="s">
        <v>125</v>
      </c>
      <c r="B619" t="s">
        <v>67</v>
      </c>
      <c r="C619" t="s">
        <v>957</v>
      </c>
      <c r="D619" t="s">
        <v>8</v>
      </c>
      <c r="E619">
        <v>30</v>
      </c>
      <c r="F619" t="str">
        <f t="shared" si="9"/>
        <v>Young</v>
      </c>
      <c r="G619" t="s">
        <v>266</v>
      </c>
      <c r="H619" s="3">
        <v>651</v>
      </c>
      <c r="I619" t="s">
        <v>4</v>
      </c>
      <c r="J619">
        <v>1</v>
      </c>
    </row>
    <row r="620" spans="1:10" x14ac:dyDescent="0.25">
      <c r="A620" t="s">
        <v>537</v>
      </c>
      <c r="B620" t="s">
        <v>368</v>
      </c>
      <c r="C620" t="s">
        <v>958</v>
      </c>
      <c r="D620" t="s">
        <v>3</v>
      </c>
      <c r="E620">
        <v>40</v>
      </c>
      <c r="F620" t="str">
        <f t="shared" si="9"/>
        <v>Middle Age</v>
      </c>
      <c r="G620" t="s">
        <v>382</v>
      </c>
      <c r="H620" s="3">
        <v>6422</v>
      </c>
      <c r="I620" t="s">
        <v>14</v>
      </c>
      <c r="J620">
        <v>5</v>
      </c>
    </row>
    <row r="621" spans="1:10" x14ac:dyDescent="0.25">
      <c r="A621" t="s">
        <v>310</v>
      </c>
      <c r="B621" t="s">
        <v>324</v>
      </c>
      <c r="C621" t="s">
        <v>959</v>
      </c>
      <c r="D621" t="s">
        <v>8</v>
      </c>
      <c r="E621">
        <v>26</v>
      </c>
      <c r="F621" t="str">
        <f t="shared" si="9"/>
        <v>Young</v>
      </c>
      <c r="G621" t="s">
        <v>165</v>
      </c>
      <c r="H621" s="3">
        <v>560</v>
      </c>
      <c r="I621" t="s">
        <v>14</v>
      </c>
      <c r="J621">
        <v>1</v>
      </c>
    </row>
    <row r="622" spans="1:10" x14ac:dyDescent="0.25">
      <c r="A622" t="s">
        <v>960</v>
      </c>
      <c r="B622" t="s">
        <v>122</v>
      </c>
      <c r="C622" t="s">
        <v>961</v>
      </c>
      <c r="D622" t="s">
        <v>8</v>
      </c>
      <c r="E622">
        <v>32</v>
      </c>
      <c r="F622" t="str">
        <f t="shared" si="9"/>
        <v>Middle Age</v>
      </c>
      <c r="G622" t="s">
        <v>29</v>
      </c>
      <c r="H622" s="3">
        <v>9474</v>
      </c>
      <c r="I622" t="s">
        <v>4</v>
      </c>
      <c r="J622">
        <v>3</v>
      </c>
    </row>
    <row r="623" spans="1:10" x14ac:dyDescent="0.25">
      <c r="A623" t="s">
        <v>11</v>
      </c>
      <c r="B623" t="s">
        <v>105</v>
      </c>
      <c r="C623" t="s">
        <v>962</v>
      </c>
      <c r="D623" t="s">
        <v>3</v>
      </c>
      <c r="E623">
        <v>50</v>
      </c>
      <c r="F623" t="str">
        <f t="shared" si="9"/>
        <v>Middle Age</v>
      </c>
      <c r="G623" t="s">
        <v>234</v>
      </c>
      <c r="H623" s="3">
        <v>7680</v>
      </c>
      <c r="I623" t="s">
        <v>14</v>
      </c>
      <c r="J623">
        <v>1</v>
      </c>
    </row>
    <row r="624" spans="1:10" x14ac:dyDescent="0.25">
      <c r="A624" t="s">
        <v>963</v>
      </c>
      <c r="B624" t="s">
        <v>268</v>
      </c>
      <c r="C624" t="s">
        <v>964</v>
      </c>
      <c r="D624" t="s">
        <v>3</v>
      </c>
      <c r="E624">
        <v>43</v>
      </c>
      <c r="F624" t="str">
        <f t="shared" si="9"/>
        <v>Middle Age</v>
      </c>
      <c r="G624" t="s">
        <v>131</v>
      </c>
      <c r="H624" s="3">
        <v>3582</v>
      </c>
      <c r="I624" t="s">
        <v>14</v>
      </c>
      <c r="J624">
        <v>2</v>
      </c>
    </row>
    <row r="625" spans="1:10" x14ac:dyDescent="0.25">
      <c r="A625" t="s">
        <v>739</v>
      </c>
      <c r="B625" t="s">
        <v>139</v>
      </c>
      <c r="C625" t="s">
        <v>965</v>
      </c>
      <c r="D625" t="s">
        <v>8</v>
      </c>
      <c r="E625">
        <v>31</v>
      </c>
      <c r="F625" t="str">
        <f t="shared" si="9"/>
        <v>Middle Age</v>
      </c>
      <c r="G625" t="s">
        <v>234</v>
      </c>
      <c r="H625" s="3">
        <v>3263</v>
      </c>
      <c r="I625" t="s">
        <v>4</v>
      </c>
      <c r="J625">
        <v>5</v>
      </c>
    </row>
    <row r="626" spans="1:10" x14ac:dyDescent="0.25">
      <c r="A626" t="s">
        <v>296</v>
      </c>
      <c r="B626" t="s">
        <v>294</v>
      </c>
      <c r="C626" t="s">
        <v>966</v>
      </c>
      <c r="D626" t="s">
        <v>8</v>
      </c>
      <c r="E626">
        <v>40</v>
      </c>
      <c r="F626" t="str">
        <f t="shared" si="9"/>
        <v>Middle Age</v>
      </c>
      <c r="G626" t="s">
        <v>290</v>
      </c>
      <c r="H626" s="3">
        <v>7059</v>
      </c>
      <c r="I626" t="s">
        <v>14</v>
      </c>
      <c r="J626">
        <v>3</v>
      </c>
    </row>
    <row r="627" spans="1:10" x14ac:dyDescent="0.25">
      <c r="A627" t="s">
        <v>473</v>
      </c>
      <c r="B627" t="s">
        <v>78</v>
      </c>
      <c r="C627" t="s">
        <v>967</v>
      </c>
      <c r="D627" t="s">
        <v>8</v>
      </c>
      <c r="E627">
        <v>26</v>
      </c>
      <c r="F627" t="str">
        <f t="shared" si="9"/>
        <v>Young</v>
      </c>
      <c r="G627" t="s">
        <v>197</v>
      </c>
      <c r="H627" s="3">
        <v>7247</v>
      </c>
      <c r="I627" t="s">
        <v>4</v>
      </c>
      <c r="J627">
        <v>1</v>
      </c>
    </row>
    <row r="628" spans="1:10" x14ac:dyDescent="0.25">
      <c r="A628" t="s">
        <v>87</v>
      </c>
      <c r="B628" t="s">
        <v>556</v>
      </c>
      <c r="C628" t="s">
        <v>968</v>
      </c>
      <c r="D628" t="s">
        <v>3</v>
      </c>
      <c r="E628">
        <v>19</v>
      </c>
      <c r="F628" t="str">
        <f t="shared" si="9"/>
        <v>Young</v>
      </c>
      <c r="G628" t="s">
        <v>63</v>
      </c>
      <c r="H628" s="3">
        <v>9027</v>
      </c>
      <c r="I628" t="s">
        <v>14</v>
      </c>
      <c r="J628">
        <v>4</v>
      </c>
    </row>
    <row r="629" spans="1:10" x14ac:dyDescent="0.25">
      <c r="A629" t="s">
        <v>671</v>
      </c>
      <c r="B629" t="s">
        <v>368</v>
      </c>
      <c r="C629" t="s">
        <v>969</v>
      </c>
      <c r="D629" t="s">
        <v>8</v>
      </c>
      <c r="E629">
        <v>18</v>
      </c>
      <c r="F629" t="str">
        <f t="shared" si="9"/>
        <v>Young</v>
      </c>
      <c r="G629" t="s">
        <v>107</v>
      </c>
      <c r="H629" s="3">
        <v>1244</v>
      </c>
      <c r="I629" t="s">
        <v>4</v>
      </c>
      <c r="J629">
        <v>1</v>
      </c>
    </row>
    <row r="630" spans="1:10" x14ac:dyDescent="0.25">
      <c r="A630" t="s">
        <v>77</v>
      </c>
      <c r="B630" t="s">
        <v>41</v>
      </c>
      <c r="C630" t="s">
        <v>970</v>
      </c>
      <c r="D630" t="s">
        <v>3</v>
      </c>
      <c r="E630">
        <v>38</v>
      </c>
      <c r="F630" t="str">
        <f t="shared" si="9"/>
        <v>Middle Age</v>
      </c>
      <c r="G630" t="s">
        <v>165</v>
      </c>
      <c r="H630" s="3">
        <v>6459</v>
      </c>
      <c r="I630" t="s">
        <v>14</v>
      </c>
      <c r="J630">
        <v>4</v>
      </c>
    </row>
    <row r="631" spans="1:10" x14ac:dyDescent="0.25">
      <c r="A631" t="s">
        <v>11</v>
      </c>
      <c r="B631" t="s">
        <v>23</v>
      </c>
      <c r="C631" t="s">
        <v>971</v>
      </c>
      <c r="D631" t="s">
        <v>3</v>
      </c>
      <c r="E631">
        <v>55</v>
      </c>
      <c r="F631" t="str">
        <f t="shared" si="9"/>
        <v>Old</v>
      </c>
      <c r="G631" t="s">
        <v>290</v>
      </c>
      <c r="H631" s="3">
        <v>3270</v>
      </c>
      <c r="I631" t="s">
        <v>14</v>
      </c>
      <c r="J631">
        <v>0</v>
      </c>
    </row>
    <row r="632" spans="1:10" x14ac:dyDescent="0.25">
      <c r="A632" t="s">
        <v>83</v>
      </c>
      <c r="B632" t="s">
        <v>45</v>
      </c>
      <c r="C632" t="s">
        <v>670</v>
      </c>
      <c r="D632" t="s">
        <v>3</v>
      </c>
      <c r="E632">
        <v>51</v>
      </c>
      <c r="F632" t="str">
        <f t="shared" si="9"/>
        <v>Old</v>
      </c>
      <c r="G632" t="s">
        <v>69</v>
      </c>
      <c r="H632" s="3">
        <v>2671</v>
      </c>
      <c r="I632" t="s">
        <v>14</v>
      </c>
      <c r="J632">
        <v>4</v>
      </c>
    </row>
    <row r="633" spans="1:10" x14ac:dyDescent="0.25">
      <c r="A633" t="s">
        <v>432</v>
      </c>
      <c r="B633" t="s">
        <v>433</v>
      </c>
      <c r="C633" t="s">
        <v>434</v>
      </c>
      <c r="D633" t="s">
        <v>3</v>
      </c>
      <c r="E633">
        <v>50</v>
      </c>
      <c r="F633" t="str">
        <f t="shared" si="9"/>
        <v>Middle Age</v>
      </c>
      <c r="G633" t="s">
        <v>47</v>
      </c>
      <c r="H633" s="3">
        <v>7468</v>
      </c>
      <c r="I633" t="s">
        <v>14</v>
      </c>
      <c r="J633">
        <v>2</v>
      </c>
    </row>
    <row r="634" spans="1:10" x14ac:dyDescent="0.25">
      <c r="A634" t="s">
        <v>83</v>
      </c>
      <c r="B634" t="s">
        <v>229</v>
      </c>
      <c r="C634" t="s">
        <v>972</v>
      </c>
      <c r="D634" t="s">
        <v>3</v>
      </c>
      <c r="E634">
        <v>25</v>
      </c>
      <c r="F634" t="str">
        <f t="shared" si="9"/>
        <v>Young</v>
      </c>
      <c r="G634" t="s">
        <v>86</v>
      </c>
      <c r="H634" s="3">
        <v>6459</v>
      </c>
      <c r="I634" t="s">
        <v>14</v>
      </c>
      <c r="J634">
        <v>5</v>
      </c>
    </row>
    <row r="635" spans="1:10" x14ac:dyDescent="0.25">
      <c r="A635" t="s">
        <v>692</v>
      </c>
      <c r="B635" t="s">
        <v>317</v>
      </c>
      <c r="C635" t="s">
        <v>973</v>
      </c>
      <c r="D635" t="s">
        <v>3</v>
      </c>
      <c r="E635">
        <v>59</v>
      </c>
      <c r="F635" t="str">
        <f t="shared" si="9"/>
        <v>Old</v>
      </c>
      <c r="G635" t="s">
        <v>160</v>
      </c>
      <c r="H635" s="3">
        <v>8541</v>
      </c>
      <c r="I635" t="s">
        <v>14</v>
      </c>
      <c r="J635">
        <v>0</v>
      </c>
    </row>
    <row r="636" spans="1:10" x14ac:dyDescent="0.25">
      <c r="A636" t="s">
        <v>11</v>
      </c>
      <c r="B636" t="s">
        <v>38</v>
      </c>
      <c r="C636" t="s">
        <v>974</v>
      </c>
      <c r="D636" t="s">
        <v>3</v>
      </c>
      <c r="E636">
        <v>47</v>
      </c>
      <c r="F636" t="str">
        <f t="shared" si="9"/>
        <v>Middle Age</v>
      </c>
      <c r="G636" t="s">
        <v>36</v>
      </c>
      <c r="H636" s="3">
        <v>9297</v>
      </c>
      <c r="I636" t="s">
        <v>4</v>
      </c>
      <c r="J636">
        <v>2</v>
      </c>
    </row>
    <row r="637" spans="1:10" x14ac:dyDescent="0.25">
      <c r="A637" t="s">
        <v>419</v>
      </c>
      <c r="B637" t="s">
        <v>425</v>
      </c>
      <c r="C637" t="s">
        <v>975</v>
      </c>
      <c r="D637" t="s">
        <v>8</v>
      </c>
      <c r="E637">
        <v>50</v>
      </c>
      <c r="F637" t="str">
        <f t="shared" si="9"/>
        <v>Middle Age</v>
      </c>
      <c r="G637" t="s">
        <v>9</v>
      </c>
      <c r="H637" s="3">
        <v>1418</v>
      </c>
      <c r="I637" t="s">
        <v>4</v>
      </c>
      <c r="J637">
        <v>0</v>
      </c>
    </row>
    <row r="638" spans="1:10" x14ac:dyDescent="0.25">
      <c r="A638" t="s">
        <v>157</v>
      </c>
      <c r="B638" t="s">
        <v>53</v>
      </c>
      <c r="C638" t="s">
        <v>976</v>
      </c>
      <c r="D638" t="s">
        <v>3</v>
      </c>
      <c r="E638">
        <v>33</v>
      </c>
      <c r="F638" t="str">
        <f t="shared" si="9"/>
        <v>Middle Age</v>
      </c>
      <c r="G638" t="s">
        <v>248</v>
      </c>
      <c r="H638" s="3">
        <v>9717</v>
      </c>
      <c r="I638" t="s">
        <v>14</v>
      </c>
      <c r="J638">
        <v>2</v>
      </c>
    </row>
    <row r="639" spans="1:10" x14ac:dyDescent="0.25">
      <c r="A639" t="s">
        <v>480</v>
      </c>
      <c r="B639" t="s">
        <v>41</v>
      </c>
      <c r="C639" t="s">
        <v>977</v>
      </c>
      <c r="D639" t="s">
        <v>8</v>
      </c>
      <c r="E639">
        <v>23</v>
      </c>
      <c r="F639" t="str">
        <f t="shared" si="9"/>
        <v>Young</v>
      </c>
      <c r="G639" t="s">
        <v>128</v>
      </c>
      <c r="H639" s="3">
        <v>1858</v>
      </c>
      <c r="I639" t="s">
        <v>4</v>
      </c>
      <c r="J639">
        <v>1</v>
      </c>
    </row>
    <row r="640" spans="1:10" x14ac:dyDescent="0.25">
      <c r="A640" t="s">
        <v>642</v>
      </c>
      <c r="B640" t="s">
        <v>744</v>
      </c>
      <c r="C640" t="s">
        <v>978</v>
      </c>
      <c r="D640" t="s">
        <v>3</v>
      </c>
      <c r="E640">
        <v>40</v>
      </c>
      <c r="F640" t="str">
        <f t="shared" si="9"/>
        <v>Middle Age</v>
      </c>
      <c r="G640" t="s">
        <v>131</v>
      </c>
      <c r="H640" s="3">
        <v>7298</v>
      </c>
      <c r="I640" t="s">
        <v>4</v>
      </c>
      <c r="J640">
        <v>1</v>
      </c>
    </row>
    <row r="641" spans="1:10" x14ac:dyDescent="0.25">
      <c r="A641" t="s">
        <v>26</v>
      </c>
      <c r="B641" t="s">
        <v>301</v>
      </c>
      <c r="C641" t="s">
        <v>979</v>
      </c>
      <c r="D641" t="s">
        <v>8</v>
      </c>
      <c r="E641">
        <v>24</v>
      </c>
      <c r="F641" t="str">
        <f t="shared" si="9"/>
        <v>Young</v>
      </c>
      <c r="G641" t="s">
        <v>165</v>
      </c>
      <c r="H641" s="3">
        <v>9925</v>
      </c>
      <c r="I641" t="s">
        <v>14</v>
      </c>
      <c r="J641">
        <v>1</v>
      </c>
    </row>
    <row r="642" spans="1:10" x14ac:dyDescent="0.25">
      <c r="A642" t="s">
        <v>70</v>
      </c>
      <c r="B642" t="s">
        <v>78</v>
      </c>
      <c r="C642" t="s">
        <v>980</v>
      </c>
      <c r="D642" t="s">
        <v>3</v>
      </c>
      <c r="E642">
        <v>58</v>
      </c>
      <c r="F642" t="str">
        <f t="shared" si="9"/>
        <v>Old</v>
      </c>
      <c r="G642" t="s">
        <v>197</v>
      </c>
      <c r="H642" s="3">
        <v>1844</v>
      </c>
      <c r="I642" t="s">
        <v>14</v>
      </c>
      <c r="J642">
        <v>3</v>
      </c>
    </row>
    <row r="643" spans="1:10" x14ac:dyDescent="0.25">
      <c r="A643" t="s">
        <v>495</v>
      </c>
      <c r="B643" t="s">
        <v>600</v>
      </c>
      <c r="C643" t="s">
        <v>981</v>
      </c>
      <c r="D643" t="s">
        <v>3</v>
      </c>
      <c r="E643">
        <v>43</v>
      </c>
      <c r="F643" t="str">
        <f t="shared" ref="F643:F706" si="10">IF(E643&gt;50,"Old",IF(E643&gt;=31,"Middle Age",IF(E643&lt;31,"Young","Invalid")))</f>
        <v>Middle Age</v>
      </c>
      <c r="G643" t="s">
        <v>29</v>
      </c>
      <c r="H643" s="3">
        <v>8271</v>
      </c>
      <c r="I643" t="s">
        <v>4</v>
      </c>
      <c r="J643">
        <v>3</v>
      </c>
    </row>
    <row r="644" spans="1:10" x14ac:dyDescent="0.25">
      <c r="A644" t="s">
        <v>894</v>
      </c>
      <c r="B644" t="s">
        <v>580</v>
      </c>
      <c r="C644" t="s">
        <v>982</v>
      </c>
      <c r="D644" t="s">
        <v>8</v>
      </c>
      <c r="E644">
        <v>40</v>
      </c>
      <c r="F644" t="str">
        <f t="shared" si="10"/>
        <v>Middle Age</v>
      </c>
      <c r="G644" t="s">
        <v>118</v>
      </c>
      <c r="H644" s="3">
        <v>8053</v>
      </c>
      <c r="I644" t="s">
        <v>14</v>
      </c>
      <c r="J644">
        <v>1</v>
      </c>
    </row>
    <row r="645" spans="1:10" x14ac:dyDescent="0.25">
      <c r="A645" t="s">
        <v>18</v>
      </c>
      <c r="B645" t="s">
        <v>34</v>
      </c>
      <c r="C645" t="s">
        <v>983</v>
      </c>
      <c r="D645" t="s">
        <v>3</v>
      </c>
      <c r="E645">
        <v>47</v>
      </c>
      <c r="F645" t="str">
        <f t="shared" si="10"/>
        <v>Middle Age</v>
      </c>
      <c r="G645" t="s">
        <v>303</v>
      </c>
      <c r="H645" s="3">
        <v>5949</v>
      </c>
      <c r="I645" t="s">
        <v>14</v>
      </c>
      <c r="J645">
        <v>0</v>
      </c>
    </row>
    <row r="646" spans="1:10" x14ac:dyDescent="0.25">
      <c r="A646" t="s">
        <v>642</v>
      </c>
      <c r="B646" t="s">
        <v>268</v>
      </c>
      <c r="C646" t="s">
        <v>984</v>
      </c>
      <c r="D646" t="s">
        <v>3</v>
      </c>
      <c r="E646">
        <v>46</v>
      </c>
      <c r="F646" t="str">
        <f t="shared" si="10"/>
        <v>Middle Age</v>
      </c>
      <c r="G646" t="s">
        <v>169</v>
      </c>
      <c r="H646" s="3">
        <v>1822</v>
      </c>
      <c r="I646" t="s">
        <v>4</v>
      </c>
      <c r="J646">
        <v>2</v>
      </c>
    </row>
    <row r="647" spans="1:10" x14ac:dyDescent="0.25">
      <c r="A647" t="s">
        <v>932</v>
      </c>
      <c r="B647" t="s">
        <v>61</v>
      </c>
      <c r="C647" t="s">
        <v>985</v>
      </c>
      <c r="D647" t="s">
        <v>8</v>
      </c>
      <c r="E647">
        <v>49</v>
      </c>
      <c r="F647" t="str">
        <f t="shared" si="10"/>
        <v>Middle Age</v>
      </c>
      <c r="G647" t="s">
        <v>118</v>
      </c>
      <c r="H647" s="3">
        <v>729</v>
      </c>
      <c r="I647" t="s">
        <v>14</v>
      </c>
      <c r="J647">
        <v>2</v>
      </c>
    </row>
    <row r="648" spans="1:10" x14ac:dyDescent="0.25">
      <c r="A648" t="s">
        <v>229</v>
      </c>
      <c r="B648" t="s">
        <v>478</v>
      </c>
      <c r="C648" t="s">
        <v>986</v>
      </c>
      <c r="D648" t="s">
        <v>3</v>
      </c>
      <c r="E648">
        <v>50</v>
      </c>
      <c r="F648" t="str">
        <f t="shared" si="10"/>
        <v>Middle Age</v>
      </c>
      <c r="G648" t="s">
        <v>303</v>
      </c>
      <c r="H648" s="3">
        <v>4124</v>
      </c>
      <c r="I648" t="s">
        <v>4</v>
      </c>
      <c r="J648">
        <v>3</v>
      </c>
    </row>
    <row r="649" spans="1:10" x14ac:dyDescent="0.25">
      <c r="A649" t="s">
        <v>473</v>
      </c>
      <c r="B649" t="s">
        <v>126</v>
      </c>
      <c r="C649" t="s">
        <v>987</v>
      </c>
      <c r="D649" t="s">
        <v>8</v>
      </c>
      <c r="E649">
        <v>49</v>
      </c>
      <c r="F649" t="str">
        <f t="shared" si="10"/>
        <v>Middle Age</v>
      </c>
      <c r="G649" t="s">
        <v>290</v>
      </c>
      <c r="H649" s="3">
        <v>1458</v>
      </c>
      <c r="I649" t="s">
        <v>14</v>
      </c>
      <c r="J649">
        <v>1</v>
      </c>
    </row>
    <row r="650" spans="1:10" x14ac:dyDescent="0.25">
      <c r="A650" t="s">
        <v>465</v>
      </c>
      <c r="B650" t="s">
        <v>34</v>
      </c>
      <c r="C650" t="s">
        <v>988</v>
      </c>
      <c r="D650" t="s">
        <v>3</v>
      </c>
      <c r="E650">
        <v>31</v>
      </c>
      <c r="F650" t="str">
        <f t="shared" si="10"/>
        <v>Middle Age</v>
      </c>
      <c r="G650" t="s">
        <v>32</v>
      </c>
      <c r="H650" s="3">
        <v>1114</v>
      </c>
      <c r="I650" t="s">
        <v>14</v>
      </c>
      <c r="J650">
        <v>0</v>
      </c>
    </row>
    <row r="651" spans="1:10" x14ac:dyDescent="0.25">
      <c r="A651" t="s">
        <v>206</v>
      </c>
      <c r="B651" t="s">
        <v>277</v>
      </c>
      <c r="C651" t="s">
        <v>989</v>
      </c>
      <c r="D651" t="s">
        <v>3</v>
      </c>
      <c r="E651">
        <v>46</v>
      </c>
      <c r="F651" t="str">
        <f t="shared" si="10"/>
        <v>Middle Age</v>
      </c>
      <c r="G651" t="s">
        <v>165</v>
      </c>
      <c r="H651" s="3">
        <v>5984</v>
      </c>
      <c r="I651" t="s">
        <v>14</v>
      </c>
      <c r="J651">
        <v>0</v>
      </c>
    </row>
    <row r="652" spans="1:10" x14ac:dyDescent="0.25">
      <c r="A652" t="s">
        <v>482</v>
      </c>
      <c r="B652" t="s">
        <v>132</v>
      </c>
      <c r="C652" t="s">
        <v>990</v>
      </c>
      <c r="D652" t="s">
        <v>8</v>
      </c>
      <c r="E652">
        <v>36</v>
      </c>
      <c r="F652" t="str">
        <f t="shared" si="10"/>
        <v>Middle Age</v>
      </c>
      <c r="G652" t="s">
        <v>76</v>
      </c>
      <c r="H652" s="3">
        <v>3746</v>
      </c>
      <c r="I652" t="s">
        <v>4</v>
      </c>
      <c r="J652">
        <v>5</v>
      </c>
    </row>
    <row r="653" spans="1:10" x14ac:dyDescent="0.25">
      <c r="A653" t="s">
        <v>154</v>
      </c>
      <c r="B653" t="s">
        <v>294</v>
      </c>
      <c r="C653" t="s">
        <v>991</v>
      </c>
      <c r="D653" t="s">
        <v>8</v>
      </c>
      <c r="E653">
        <v>60</v>
      </c>
      <c r="F653" t="str">
        <f t="shared" si="10"/>
        <v>Old</v>
      </c>
      <c r="G653" t="s">
        <v>187</v>
      </c>
      <c r="H653" s="3">
        <v>1926</v>
      </c>
      <c r="I653" t="s">
        <v>14</v>
      </c>
      <c r="J653">
        <v>0</v>
      </c>
    </row>
    <row r="654" spans="1:10" x14ac:dyDescent="0.25">
      <c r="A654" t="s">
        <v>992</v>
      </c>
      <c r="B654" t="s">
        <v>556</v>
      </c>
      <c r="C654" t="s">
        <v>993</v>
      </c>
      <c r="D654" t="s">
        <v>8</v>
      </c>
      <c r="E654">
        <v>47</v>
      </c>
      <c r="F654" t="str">
        <f t="shared" si="10"/>
        <v>Middle Age</v>
      </c>
      <c r="G654" t="s">
        <v>217</v>
      </c>
      <c r="H654" s="3">
        <v>6219</v>
      </c>
      <c r="I654" t="s">
        <v>14</v>
      </c>
      <c r="J654">
        <v>4</v>
      </c>
    </row>
    <row r="655" spans="1:10" x14ac:dyDescent="0.25">
      <c r="A655" t="s">
        <v>560</v>
      </c>
      <c r="B655" t="s">
        <v>95</v>
      </c>
      <c r="C655" t="s">
        <v>994</v>
      </c>
      <c r="D655" t="s">
        <v>8</v>
      </c>
      <c r="E655">
        <v>56</v>
      </c>
      <c r="F655" t="str">
        <f t="shared" si="10"/>
        <v>Old</v>
      </c>
      <c r="G655" t="s">
        <v>134</v>
      </c>
      <c r="H655" s="3">
        <v>9502</v>
      </c>
      <c r="I655" t="s">
        <v>4</v>
      </c>
      <c r="J655">
        <v>0</v>
      </c>
    </row>
    <row r="656" spans="1:10" x14ac:dyDescent="0.25">
      <c r="A656" t="s">
        <v>138</v>
      </c>
      <c r="B656" t="s">
        <v>305</v>
      </c>
      <c r="C656" t="s">
        <v>995</v>
      </c>
      <c r="D656" t="s">
        <v>3</v>
      </c>
      <c r="E656">
        <v>29</v>
      </c>
      <c r="F656" t="str">
        <f t="shared" si="10"/>
        <v>Young</v>
      </c>
      <c r="G656" t="s">
        <v>124</v>
      </c>
      <c r="H656" s="3">
        <v>7812</v>
      </c>
      <c r="I656" t="s">
        <v>14</v>
      </c>
      <c r="J656">
        <v>3</v>
      </c>
    </row>
    <row r="657" spans="1:10" x14ac:dyDescent="0.25">
      <c r="A657" t="s">
        <v>93</v>
      </c>
      <c r="B657" t="s">
        <v>155</v>
      </c>
      <c r="C657" t="s">
        <v>996</v>
      </c>
      <c r="D657" t="s">
        <v>3</v>
      </c>
      <c r="E657">
        <v>36</v>
      </c>
      <c r="F657" t="str">
        <f t="shared" si="10"/>
        <v>Middle Age</v>
      </c>
      <c r="G657" t="s">
        <v>43</v>
      </c>
      <c r="H657" s="3">
        <v>6355</v>
      </c>
      <c r="I657" t="s">
        <v>14</v>
      </c>
      <c r="J657">
        <v>1</v>
      </c>
    </row>
    <row r="658" spans="1:10" x14ac:dyDescent="0.25">
      <c r="A658" t="s">
        <v>997</v>
      </c>
      <c r="B658" t="s">
        <v>45</v>
      </c>
      <c r="C658" t="s">
        <v>998</v>
      </c>
      <c r="D658" t="s">
        <v>8</v>
      </c>
      <c r="E658">
        <v>47</v>
      </c>
      <c r="F658" t="str">
        <f t="shared" si="10"/>
        <v>Middle Age</v>
      </c>
      <c r="G658" t="s">
        <v>80</v>
      </c>
      <c r="H658" s="3">
        <v>6624</v>
      </c>
      <c r="I658" t="s">
        <v>14</v>
      </c>
      <c r="J658">
        <v>4</v>
      </c>
    </row>
    <row r="659" spans="1:10" x14ac:dyDescent="0.25">
      <c r="A659" t="s">
        <v>170</v>
      </c>
      <c r="B659" t="s">
        <v>71</v>
      </c>
      <c r="C659" t="s">
        <v>999</v>
      </c>
      <c r="D659" t="s">
        <v>8</v>
      </c>
      <c r="E659">
        <v>55</v>
      </c>
      <c r="F659" t="str">
        <f t="shared" si="10"/>
        <v>Old</v>
      </c>
      <c r="G659" t="s">
        <v>199</v>
      </c>
      <c r="H659" s="3">
        <v>3401</v>
      </c>
      <c r="I659" t="s">
        <v>4</v>
      </c>
      <c r="J659">
        <v>2</v>
      </c>
    </row>
    <row r="660" spans="1:10" x14ac:dyDescent="0.25">
      <c r="A660" t="s">
        <v>1000</v>
      </c>
      <c r="B660" t="s">
        <v>249</v>
      </c>
      <c r="C660" t="s">
        <v>1001</v>
      </c>
      <c r="D660" t="s">
        <v>8</v>
      </c>
      <c r="E660">
        <v>56</v>
      </c>
      <c r="F660" t="str">
        <f t="shared" si="10"/>
        <v>Old</v>
      </c>
      <c r="G660" t="s">
        <v>293</v>
      </c>
      <c r="H660" s="3">
        <v>5869</v>
      </c>
      <c r="I660" t="s">
        <v>4</v>
      </c>
      <c r="J660">
        <v>1</v>
      </c>
    </row>
    <row r="661" spans="1:10" x14ac:dyDescent="0.25">
      <c r="A661" t="s">
        <v>138</v>
      </c>
      <c r="B661" t="s">
        <v>16</v>
      </c>
      <c r="C661" t="s">
        <v>1002</v>
      </c>
      <c r="D661" t="s">
        <v>3</v>
      </c>
      <c r="E661">
        <v>39</v>
      </c>
      <c r="F661" t="str">
        <f t="shared" si="10"/>
        <v>Middle Age</v>
      </c>
      <c r="G661" t="s">
        <v>21</v>
      </c>
      <c r="H661" s="3">
        <v>7506</v>
      </c>
      <c r="I661" t="s">
        <v>14</v>
      </c>
      <c r="J661">
        <v>1</v>
      </c>
    </row>
    <row r="662" spans="1:10" x14ac:dyDescent="0.25">
      <c r="A662" t="s">
        <v>166</v>
      </c>
      <c r="B662" t="s">
        <v>368</v>
      </c>
      <c r="C662" t="s">
        <v>1003</v>
      </c>
      <c r="D662" t="s">
        <v>3</v>
      </c>
      <c r="E662">
        <v>53</v>
      </c>
      <c r="F662" t="str">
        <f t="shared" si="10"/>
        <v>Old</v>
      </c>
      <c r="G662" t="s">
        <v>59</v>
      </c>
      <c r="H662" s="3">
        <v>3217</v>
      </c>
      <c r="I662" t="s">
        <v>4</v>
      </c>
      <c r="J662">
        <v>0</v>
      </c>
    </row>
    <row r="663" spans="1:10" x14ac:dyDescent="0.25">
      <c r="A663" t="s">
        <v>161</v>
      </c>
      <c r="B663" t="s">
        <v>351</v>
      </c>
      <c r="C663" t="s">
        <v>1004</v>
      </c>
      <c r="D663" t="s">
        <v>8</v>
      </c>
      <c r="E663">
        <v>23</v>
      </c>
      <c r="F663" t="str">
        <f t="shared" si="10"/>
        <v>Young</v>
      </c>
      <c r="G663" t="s">
        <v>76</v>
      </c>
      <c r="H663" s="3">
        <v>8111</v>
      </c>
      <c r="I663" t="s">
        <v>4</v>
      </c>
      <c r="J663">
        <v>1</v>
      </c>
    </row>
    <row r="664" spans="1:10" x14ac:dyDescent="0.25">
      <c r="A664" t="s">
        <v>288</v>
      </c>
      <c r="B664" t="s">
        <v>371</v>
      </c>
      <c r="C664" t="s">
        <v>1005</v>
      </c>
      <c r="D664" t="s">
        <v>8</v>
      </c>
      <c r="E664">
        <v>31</v>
      </c>
      <c r="F664" t="str">
        <f t="shared" si="10"/>
        <v>Middle Age</v>
      </c>
      <c r="G664" t="s">
        <v>234</v>
      </c>
      <c r="H664" s="3">
        <v>8921</v>
      </c>
      <c r="I664" t="s">
        <v>14</v>
      </c>
      <c r="J664">
        <v>5</v>
      </c>
    </row>
    <row r="665" spans="1:10" x14ac:dyDescent="0.25">
      <c r="A665" t="s">
        <v>73</v>
      </c>
      <c r="B665" t="s">
        <v>392</v>
      </c>
      <c r="C665" t="s">
        <v>1006</v>
      </c>
      <c r="D665" t="s">
        <v>3</v>
      </c>
      <c r="E665">
        <v>23</v>
      </c>
      <c r="F665" t="str">
        <f t="shared" si="10"/>
        <v>Young</v>
      </c>
      <c r="G665" t="s">
        <v>182</v>
      </c>
      <c r="H665" s="3">
        <v>9620</v>
      </c>
      <c r="I665" t="s">
        <v>14</v>
      </c>
      <c r="J665">
        <v>4</v>
      </c>
    </row>
    <row r="666" spans="1:10" x14ac:dyDescent="0.25">
      <c r="A666" t="s">
        <v>170</v>
      </c>
      <c r="B666" t="s">
        <v>112</v>
      </c>
      <c r="C666" t="s">
        <v>1007</v>
      </c>
      <c r="D666" t="s">
        <v>8</v>
      </c>
      <c r="E666">
        <v>36</v>
      </c>
      <c r="F666" t="str">
        <f t="shared" si="10"/>
        <v>Middle Age</v>
      </c>
      <c r="G666" t="s">
        <v>150</v>
      </c>
      <c r="H666" s="3">
        <v>9027</v>
      </c>
      <c r="I666" t="s">
        <v>4</v>
      </c>
      <c r="J666">
        <v>2</v>
      </c>
    </row>
    <row r="667" spans="1:10" x14ac:dyDescent="0.25">
      <c r="A667" t="s">
        <v>439</v>
      </c>
      <c r="B667" t="s">
        <v>101</v>
      </c>
      <c r="C667" t="s">
        <v>1008</v>
      </c>
      <c r="D667" t="s">
        <v>3</v>
      </c>
      <c r="E667">
        <v>27</v>
      </c>
      <c r="F667" t="str">
        <f t="shared" si="10"/>
        <v>Young</v>
      </c>
      <c r="G667" t="s">
        <v>182</v>
      </c>
      <c r="H667" s="3">
        <v>9409</v>
      </c>
      <c r="I667" t="s">
        <v>14</v>
      </c>
      <c r="J667">
        <v>4</v>
      </c>
    </row>
    <row r="668" spans="1:10" x14ac:dyDescent="0.25">
      <c r="A668" t="s">
        <v>330</v>
      </c>
      <c r="B668" t="s">
        <v>223</v>
      </c>
      <c r="C668" t="s">
        <v>1009</v>
      </c>
      <c r="D668" t="s">
        <v>8</v>
      </c>
      <c r="E668">
        <v>19</v>
      </c>
      <c r="F668" t="str">
        <f t="shared" si="10"/>
        <v>Young</v>
      </c>
      <c r="G668" t="s">
        <v>55</v>
      </c>
      <c r="H668" s="3">
        <v>3144</v>
      </c>
      <c r="I668" t="s">
        <v>4</v>
      </c>
      <c r="J668">
        <v>4</v>
      </c>
    </row>
    <row r="669" spans="1:10" x14ac:dyDescent="0.25">
      <c r="A669" t="s">
        <v>500</v>
      </c>
      <c r="B669" t="s">
        <v>49</v>
      </c>
      <c r="C669" t="s">
        <v>1010</v>
      </c>
      <c r="D669" t="s">
        <v>8</v>
      </c>
      <c r="E669">
        <v>21</v>
      </c>
      <c r="F669" t="str">
        <f t="shared" si="10"/>
        <v>Young</v>
      </c>
      <c r="G669" t="s">
        <v>36</v>
      </c>
      <c r="H669" s="3">
        <v>4624</v>
      </c>
      <c r="I669" t="s">
        <v>4</v>
      </c>
      <c r="J669">
        <v>3</v>
      </c>
    </row>
    <row r="670" spans="1:10" x14ac:dyDescent="0.25">
      <c r="A670" t="s">
        <v>512</v>
      </c>
      <c r="B670" t="s">
        <v>61</v>
      </c>
      <c r="C670" t="s">
        <v>1011</v>
      </c>
      <c r="D670" t="s">
        <v>3</v>
      </c>
      <c r="E670">
        <v>45</v>
      </c>
      <c r="F670" t="str">
        <f t="shared" si="10"/>
        <v>Middle Age</v>
      </c>
      <c r="G670" t="s">
        <v>303</v>
      </c>
      <c r="H670" s="3">
        <v>8088</v>
      </c>
      <c r="I670" t="s">
        <v>14</v>
      </c>
      <c r="J670">
        <v>4</v>
      </c>
    </row>
    <row r="671" spans="1:10" x14ac:dyDescent="0.25">
      <c r="A671" t="s">
        <v>60</v>
      </c>
      <c r="B671" t="s">
        <v>249</v>
      </c>
      <c r="C671" t="s">
        <v>1012</v>
      </c>
      <c r="D671" t="s">
        <v>3</v>
      </c>
      <c r="E671">
        <v>25</v>
      </c>
      <c r="F671" t="str">
        <f t="shared" si="10"/>
        <v>Young</v>
      </c>
      <c r="G671" t="s">
        <v>131</v>
      </c>
      <c r="H671" s="3">
        <v>6699</v>
      </c>
      <c r="I671" t="s">
        <v>4</v>
      </c>
      <c r="J671">
        <v>2</v>
      </c>
    </row>
    <row r="672" spans="1:10" x14ac:dyDescent="0.25">
      <c r="A672" t="s">
        <v>1013</v>
      </c>
      <c r="B672" t="s">
        <v>57</v>
      </c>
      <c r="C672" t="s">
        <v>1014</v>
      </c>
      <c r="D672" t="s">
        <v>8</v>
      </c>
      <c r="E672">
        <v>31</v>
      </c>
      <c r="F672" t="str">
        <f t="shared" si="10"/>
        <v>Middle Age</v>
      </c>
      <c r="G672" t="s">
        <v>182</v>
      </c>
      <c r="H672" s="3">
        <v>7918</v>
      </c>
      <c r="I672" t="s">
        <v>4</v>
      </c>
      <c r="J672">
        <v>2</v>
      </c>
    </row>
    <row r="673" spans="1:10" x14ac:dyDescent="0.25">
      <c r="A673" t="s">
        <v>125</v>
      </c>
      <c r="B673" t="s">
        <v>366</v>
      </c>
      <c r="C673" t="s">
        <v>1015</v>
      </c>
      <c r="D673" t="s">
        <v>8</v>
      </c>
      <c r="E673">
        <v>23</v>
      </c>
      <c r="F673" t="str">
        <f t="shared" si="10"/>
        <v>Young</v>
      </c>
      <c r="G673" t="s">
        <v>51</v>
      </c>
      <c r="H673" s="3">
        <v>2080</v>
      </c>
      <c r="I673" t="s">
        <v>4</v>
      </c>
      <c r="J673">
        <v>0</v>
      </c>
    </row>
    <row r="674" spans="1:10" x14ac:dyDescent="0.25">
      <c r="A674" t="s">
        <v>482</v>
      </c>
      <c r="B674" t="s">
        <v>552</v>
      </c>
      <c r="C674" t="s">
        <v>1016</v>
      </c>
      <c r="D674" t="s">
        <v>8</v>
      </c>
      <c r="E674">
        <v>29</v>
      </c>
      <c r="F674" t="str">
        <f t="shared" si="10"/>
        <v>Young</v>
      </c>
      <c r="G674" t="s">
        <v>59</v>
      </c>
      <c r="H674" s="3">
        <v>9741</v>
      </c>
      <c r="I674" t="s">
        <v>4</v>
      </c>
      <c r="J674">
        <v>3</v>
      </c>
    </row>
    <row r="675" spans="1:10" x14ac:dyDescent="0.25">
      <c r="A675" t="s">
        <v>992</v>
      </c>
      <c r="B675" t="s">
        <v>200</v>
      </c>
      <c r="C675" t="s">
        <v>1017</v>
      </c>
      <c r="D675" t="s">
        <v>8</v>
      </c>
      <c r="E675">
        <v>22</v>
      </c>
      <c r="F675" t="str">
        <f t="shared" si="10"/>
        <v>Young</v>
      </c>
      <c r="G675" t="s">
        <v>234</v>
      </c>
      <c r="H675" s="3">
        <v>6125</v>
      </c>
      <c r="I675" t="s">
        <v>14</v>
      </c>
      <c r="J675">
        <v>2</v>
      </c>
    </row>
    <row r="676" spans="1:10" x14ac:dyDescent="0.25">
      <c r="A676" t="s">
        <v>608</v>
      </c>
      <c r="B676" t="s">
        <v>409</v>
      </c>
      <c r="C676" t="s">
        <v>1018</v>
      </c>
      <c r="D676" t="s">
        <v>3</v>
      </c>
      <c r="E676">
        <v>48</v>
      </c>
      <c r="F676" t="str">
        <f t="shared" si="10"/>
        <v>Middle Age</v>
      </c>
      <c r="G676" t="s">
        <v>234</v>
      </c>
      <c r="H676" s="3">
        <v>5530</v>
      </c>
      <c r="I676" t="s">
        <v>4</v>
      </c>
      <c r="J676">
        <v>5</v>
      </c>
    </row>
    <row r="677" spans="1:10" x14ac:dyDescent="0.25">
      <c r="A677" t="s">
        <v>286</v>
      </c>
      <c r="B677" t="s">
        <v>635</v>
      </c>
      <c r="C677" t="s">
        <v>1019</v>
      </c>
      <c r="D677" t="s">
        <v>8</v>
      </c>
      <c r="E677">
        <v>40</v>
      </c>
      <c r="F677" t="str">
        <f t="shared" si="10"/>
        <v>Middle Age</v>
      </c>
      <c r="G677" t="s">
        <v>373</v>
      </c>
      <c r="H677" s="3">
        <v>8613</v>
      </c>
      <c r="I677" t="s">
        <v>14</v>
      </c>
      <c r="J677">
        <v>1</v>
      </c>
    </row>
    <row r="678" spans="1:10" x14ac:dyDescent="0.25">
      <c r="A678" t="s">
        <v>356</v>
      </c>
      <c r="B678" t="s">
        <v>152</v>
      </c>
      <c r="C678" t="s">
        <v>1020</v>
      </c>
      <c r="D678" t="s">
        <v>8</v>
      </c>
      <c r="E678">
        <v>41</v>
      </c>
      <c r="F678" t="str">
        <f t="shared" si="10"/>
        <v>Middle Age</v>
      </c>
      <c r="G678" t="s">
        <v>124</v>
      </c>
      <c r="H678" s="3">
        <v>5842</v>
      </c>
      <c r="I678" t="s">
        <v>14</v>
      </c>
      <c r="J678">
        <v>0</v>
      </c>
    </row>
    <row r="679" spans="1:10" x14ac:dyDescent="0.25">
      <c r="A679" t="s">
        <v>263</v>
      </c>
      <c r="B679" t="s">
        <v>420</v>
      </c>
      <c r="C679" t="s">
        <v>1021</v>
      </c>
      <c r="D679" t="s">
        <v>3</v>
      </c>
      <c r="E679">
        <v>56</v>
      </c>
      <c r="F679" t="str">
        <f t="shared" si="10"/>
        <v>Old</v>
      </c>
      <c r="G679" t="s">
        <v>194</v>
      </c>
      <c r="H679" s="3">
        <v>1955</v>
      </c>
      <c r="I679" t="s">
        <v>4</v>
      </c>
      <c r="J679">
        <v>3</v>
      </c>
    </row>
    <row r="680" spans="1:10" x14ac:dyDescent="0.25">
      <c r="A680" t="s">
        <v>625</v>
      </c>
      <c r="B680" t="s">
        <v>604</v>
      </c>
      <c r="C680" t="s">
        <v>1022</v>
      </c>
      <c r="D680" t="s">
        <v>3</v>
      </c>
      <c r="E680">
        <v>51</v>
      </c>
      <c r="F680" t="str">
        <f t="shared" si="10"/>
        <v>Old</v>
      </c>
      <c r="G680" t="s">
        <v>118</v>
      </c>
      <c r="H680" s="3">
        <v>834</v>
      </c>
      <c r="I680" t="s">
        <v>14</v>
      </c>
      <c r="J680">
        <v>3</v>
      </c>
    </row>
    <row r="681" spans="1:10" x14ac:dyDescent="0.25">
      <c r="A681" t="s">
        <v>757</v>
      </c>
      <c r="B681" t="s">
        <v>6</v>
      </c>
      <c r="C681" t="s">
        <v>1023</v>
      </c>
      <c r="D681" t="s">
        <v>3</v>
      </c>
      <c r="E681">
        <v>41</v>
      </c>
      <c r="F681" t="str">
        <f t="shared" si="10"/>
        <v>Middle Age</v>
      </c>
      <c r="G681" t="s">
        <v>234</v>
      </c>
      <c r="H681" s="3">
        <v>695</v>
      </c>
      <c r="I681" t="s">
        <v>14</v>
      </c>
      <c r="J681">
        <v>1</v>
      </c>
    </row>
    <row r="682" spans="1:10" x14ac:dyDescent="0.25">
      <c r="A682" t="s">
        <v>243</v>
      </c>
      <c r="B682" t="s">
        <v>635</v>
      </c>
      <c r="C682" t="s">
        <v>1024</v>
      </c>
      <c r="D682" t="s">
        <v>3</v>
      </c>
      <c r="E682">
        <v>55</v>
      </c>
      <c r="F682" t="str">
        <f t="shared" si="10"/>
        <v>Old</v>
      </c>
      <c r="G682" t="s">
        <v>234</v>
      </c>
      <c r="H682" s="3">
        <v>2322</v>
      </c>
      <c r="I682" t="s">
        <v>4</v>
      </c>
      <c r="J682">
        <v>1</v>
      </c>
    </row>
    <row r="683" spans="1:10" x14ac:dyDescent="0.25">
      <c r="A683" t="s">
        <v>458</v>
      </c>
      <c r="B683" t="s">
        <v>34</v>
      </c>
      <c r="C683" t="s">
        <v>1025</v>
      </c>
      <c r="D683" t="s">
        <v>8</v>
      </c>
      <c r="E683">
        <v>22</v>
      </c>
      <c r="F683" t="str">
        <f t="shared" si="10"/>
        <v>Young</v>
      </c>
      <c r="G683" t="s">
        <v>80</v>
      </c>
      <c r="H683" s="3">
        <v>6667</v>
      </c>
      <c r="I683" t="s">
        <v>4</v>
      </c>
      <c r="J683">
        <v>0</v>
      </c>
    </row>
    <row r="684" spans="1:10" x14ac:dyDescent="0.25">
      <c r="A684" t="s">
        <v>803</v>
      </c>
      <c r="B684" t="s">
        <v>41</v>
      </c>
      <c r="C684" t="s">
        <v>1026</v>
      </c>
      <c r="D684" t="s">
        <v>8</v>
      </c>
      <c r="E684">
        <v>50</v>
      </c>
      <c r="F684" t="str">
        <f t="shared" si="10"/>
        <v>Middle Age</v>
      </c>
      <c r="G684" t="s">
        <v>150</v>
      </c>
      <c r="H684" s="3">
        <v>9507</v>
      </c>
      <c r="I684" t="s">
        <v>14</v>
      </c>
      <c r="J684">
        <v>1</v>
      </c>
    </row>
    <row r="685" spans="1:10" x14ac:dyDescent="0.25">
      <c r="A685" t="s">
        <v>257</v>
      </c>
      <c r="B685" t="s">
        <v>223</v>
      </c>
      <c r="C685" t="s">
        <v>1027</v>
      </c>
      <c r="D685" t="s">
        <v>3</v>
      </c>
      <c r="E685">
        <v>23</v>
      </c>
      <c r="F685" t="str">
        <f t="shared" si="10"/>
        <v>Young</v>
      </c>
      <c r="G685" t="s">
        <v>86</v>
      </c>
      <c r="H685" s="3">
        <v>7929</v>
      </c>
      <c r="I685" t="s">
        <v>14</v>
      </c>
      <c r="J685">
        <v>4</v>
      </c>
    </row>
    <row r="686" spans="1:10" x14ac:dyDescent="0.25">
      <c r="A686" t="s">
        <v>203</v>
      </c>
      <c r="B686" t="s">
        <v>78</v>
      </c>
      <c r="C686" t="s">
        <v>1028</v>
      </c>
      <c r="D686" t="s">
        <v>8</v>
      </c>
      <c r="E686">
        <v>32</v>
      </c>
      <c r="F686" t="str">
        <f t="shared" si="10"/>
        <v>Middle Age</v>
      </c>
      <c r="G686" t="s">
        <v>217</v>
      </c>
      <c r="H686" s="3">
        <v>4898</v>
      </c>
      <c r="I686" t="s">
        <v>14</v>
      </c>
      <c r="J686">
        <v>2</v>
      </c>
    </row>
    <row r="687" spans="1:10" x14ac:dyDescent="0.25">
      <c r="A687" t="s">
        <v>432</v>
      </c>
      <c r="B687" t="s">
        <v>334</v>
      </c>
      <c r="C687" t="s">
        <v>1029</v>
      </c>
      <c r="D687" t="s">
        <v>3</v>
      </c>
      <c r="E687">
        <v>59</v>
      </c>
      <c r="F687" t="str">
        <f t="shared" si="10"/>
        <v>Old</v>
      </c>
      <c r="G687" t="s">
        <v>118</v>
      </c>
      <c r="H687" s="3">
        <v>1739</v>
      </c>
      <c r="I687" t="s">
        <v>4</v>
      </c>
      <c r="J687">
        <v>1</v>
      </c>
    </row>
    <row r="688" spans="1:10" x14ac:dyDescent="0.25">
      <c r="A688" t="s">
        <v>125</v>
      </c>
      <c r="B688" t="s">
        <v>261</v>
      </c>
      <c r="C688" t="s">
        <v>1030</v>
      </c>
      <c r="D688" t="s">
        <v>8</v>
      </c>
      <c r="E688">
        <v>55</v>
      </c>
      <c r="F688" t="str">
        <f t="shared" si="10"/>
        <v>Old</v>
      </c>
      <c r="G688" t="s">
        <v>160</v>
      </c>
      <c r="H688" s="3">
        <v>1528</v>
      </c>
      <c r="I688" t="s">
        <v>4</v>
      </c>
      <c r="J688">
        <v>3</v>
      </c>
    </row>
    <row r="689" spans="1:10" x14ac:dyDescent="0.25">
      <c r="A689" t="s">
        <v>584</v>
      </c>
      <c r="B689" t="s">
        <v>16</v>
      </c>
      <c r="C689" t="s">
        <v>1031</v>
      </c>
      <c r="D689" t="s">
        <v>3</v>
      </c>
      <c r="E689">
        <v>52</v>
      </c>
      <c r="F689" t="str">
        <f t="shared" si="10"/>
        <v>Old</v>
      </c>
      <c r="G689" t="s">
        <v>217</v>
      </c>
      <c r="H689" s="3">
        <v>2828</v>
      </c>
      <c r="I689" t="s">
        <v>4</v>
      </c>
      <c r="J689">
        <v>0</v>
      </c>
    </row>
    <row r="690" spans="1:10" x14ac:dyDescent="0.25">
      <c r="A690" t="s">
        <v>757</v>
      </c>
      <c r="B690" t="s">
        <v>463</v>
      </c>
      <c r="C690" t="s">
        <v>1032</v>
      </c>
      <c r="D690" t="s">
        <v>3</v>
      </c>
      <c r="E690">
        <v>57</v>
      </c>
      <c r="F690" t="str">
        <f t="shared" si="10"/>
        <v>Old</v>
      </c>
      <c r="G690" t="s">
        <v>43</v>
      </c>
      <c r="H690" s="3">
        <v>2065</v>
      </c>
      <c r="I690" t="s">
        <v>14</v>
      </c>
      <c r="J690">
        <v>0</v>
      </c>
    </row>
    <row r="691" spans="1:10" x14ac:dyDescent="0.25">
      <c r="A691" t="s">
        <v>603</v>
      </c>
      <c r="B691" t="s">
        <v>152</v>
      </c>
      <c r="C691" t="s">
        <v>1033</v>
      </c>
      <c r="D691" t="s">
        <v>8</v>
      </c>
      <c r="E691">
        <v>32</v>
      </c>
      <c r="F691" t="str">
        <f t="shared" si="10"/>
        <v>Middle Age</v>
      </c>
      <c r="G691" t="s">
        <v>51</v>
      </c>
      <c r="H691" s="3">
        <v>3752</v>
      </c>
      <c r="I691" t="s">
        <v>14</v>
      </c>
      <c r="J691">
        <v>1</v>
      </c>
    </row>
    <row r="692" spans="1:10" x14ac:dyDescent="0.25">
      <c r="A692" t="s">
        <v>545</v>
      </c>
      <c r="B692" t="s">
        <v>251</v>
      </c>
      <c r="C692" t="s">
        <v>1034</v>
      </c>
      <c r="D692" t="s">
        <v>8</v>
      </c>
      <c r="E692">
        <v>55</v>
      </c>
      <c r="F692" t="str">
        <f t="shared" si="10"/>
        <v>Old</v>
      </c>
      <c r="G692" t="s">
        <v>63</v>
      </c>
      <c r="H692" s="3">
        <v>4449</v>
      </c>
      <c r="I692" t="s">
        <v>14</v>
      </c>
      <c r="J692">
        <v>5</v>
      </c>
    </row>
    <row r="693" spans="1:10" x14ac:dyDescent="0.25">
      <c r="A693" t="s">
        <v>390</v>
      </c>
      <c r="B693" t="s">
        <v>317</v>
      </c>
      <c r="C693" t="s">
        <v>1035</v>
      </c>
      <c r="D693" t="s">
        <v>8</v>
      </c>
      <c r="E693">
        <v>43</v>
      </c>
      <c r="F693" t="str">
        <f t="shared" si="10"/>
        <v>Middle Age</v>
      </c>
      <c r="G693" t="s">
        <v>63</v>
      </c>
      <c r="H693" s="3">
        <v>9624</v>
      </c>
      <c r="I693" t="s">
        <v>14</v>
      </c>
      <c r="J693">
        <v>2</v>
      </c>
    </row>
    <row r="694" spans="1:10" x14ac:dyDescent="0.25">
      <c r="A694" t="s">
        <v>229</v>
      </c>
      <c r="B694" t="s">
        <v>277</v>
      </c>
      <c r="C694" t="s">
        <v>1036</v>
      </c>
      <c r="D694" t="s">
        <v>3</v>
      </c>
      <c r="E694">
        <v>53</v>
      </c>
      <c r="F694" t="str">
        <f t="shared" si="10"/>
        <v>Old</v>
      </c>
      <c r="G694" t="s">
        <v>21</v>
      </c>
      <c r="H694" s="3">
        <v>2915</v>
      </c>
      <c r="I694" t="s">
        <v>4</v>
      </c>
      <c r="J694">
        <v>2</v>
      </c>
    </row>
    <row r="695" spans="1:10" x14ac:dyDescent="0.25">
      <c r="A695" t="s">
        <v>812</v>
      </c>
      <c r="B695" t="s">
        <v>177</v>
      </c>
      <c r="C695" t="s">
        <v>1037</v>
      </c>
      <c r="D695" t="s">
        <v>3</v>
      </c>
      <c r="E695">
        <v>48</v>
      </c>
      <c r="F695" t="str">
        <f t="shared" si="10"/>
        <v>Middle Age</v>
      </c>
      <c r="G695" t="s">
        <v>256</v>
      </c>
      <c r="H695" s="3">
        <v>4434</v>
      </c>
      <c r="I695" t="s">
        <v>4</v>
      </c>
      <c r="J695">
        <v>2</v>
      </c>
    </row>
    <row r="696" spans="1:10" x14ac:dyDescent="0.25">
      <c r="A696" t="s">
        <v>465</v>
      </c>
      <c r="B696" t="s">
        <v>361</v>
      </c>
      <c r="C696" t="s">
        <v>774</v>
      </c>
      <c r="D696" t="s">
        <v>3</v>
      </c>
      <c r="E696">
        <v>32</v>
      </c>
      <c r="F696" t="str">
        <f t="shared" si="10"/>
        <v>Middle Age</v>
      </c>
      <c r="G696" t="s">
        <v>47</v>
      </c>
      <c r="H696" s="3">
        <v>8239</v>
      </c>
      <c r="I696" t="s">
        <v>4</v>
      </c>
      <c r="J696">
        <v>4</v>
      </c>
    </row>
    <row r="697" spans="1:10" x14ac:dyDescent="0.25">
      <c r="A697" t="s">
        <v>90</v>
      </c>
      <c r="B697" t="s">
        <v>580</v>
      </c>
      <c r="C697" t="s">
        <v>1038</v>
      </c>
      <c r="D697" t="s">
        <v>8</v>
      </c>
      <c r="E697">
        <v>58</v>
      </c>
      <c r="F697" t="str">
        <f t="shared" si="10"/>
        <v>Old</v>
      </c>
      <c r="G697" t="s">
        <v>69</v>
      </c>
      <c r="H697" s="3">
        <v>5725</v>
      </c>
      <c r="I697" t="s">
        <v>14</v>
      </c>
      <c r="J697">
        <v>1</v>
      </c>
    </row>
    <row r="698" spans="1:10" x14ac:dyDescent="0.25">
      <c r="A698" t="s">
        <v>77</v>
      </c>
      <c r="B698" t="s">
        <v>215</v>
      </c>
      <c r="C698" t="s">
        <v>1039</v>
      </c>
      <c r="D698" t="s">
        <v>3</v>
      </c>
      <c r="E698">
        <v>28</v>
      </c>
      <c r="F698" t="str">
        <f t="shared" si="10"/>
        <v>Young</v>
      </c>
      <c r="G698" t="s">
        <v>169</v>
      </c>
      <c r="H698" s="3">
        <v>8089</v>
      </c>
      <c r="I698" t="s">
        <v>4</v>
      </c>
      <c r="J698">
        <v>2</v>
      </c>
    </row>
    <row r="699" spans="1:10" x14ac:dyDescent="0.25">
      <c r="A699" t="s">
        <v>232</v>
      </c>
      <c r="B699" t="s">
        <v>340</v>
      </c>
      <c r="C699" t="s">
        <v>1040</v>
      </c>
      <c r="D699" t="s">
        <v>8</v>
      </c>
      <c r="E699">
        <v>35</v>
      </c>
      <c r="F699" t="str">
        <f t="shared" si="10"/>
        <v>Middle Age</v>
      </c>
      <c r="G699" t="s">
        <v>63</v>
      </c>
      <c r="H699" s="3">
        <v>6127</v>
      </c>
      <c r="I699" t="s">
        <v>14</v>
      </c>
      <c r="J699">
        <v>4</v>
      </c>
    </row>
    <row r="700" spans="1:10" x14ac:dyDescent="0.25">
      <c r="A700" t="s">
        <v>238</v>
      </c>
      <c r="B700" t="s">
        <v>38</v>
      </c>
      <c r="C700" t="s">
        <v>1041</v>
      </c>
      <c r="D700" t="s">
        <v>8</v>
      </c>
      <c r="E700">
        <v>19</v>
      </c>
      <c r="F700" t="str">
        <f t="shared" si="10"/>
        <v>Young</v>
      </c>
      <c r="G700" t="s">
        <v>107</v>
      </c>
      <c r="H700" s="3">
        <v>6729</v>
      </c>
      <c r="I700" t="s">
        <v>14</v>
      </c>
      <c r="J700">
        <v>3</v>
      </c>
    </row>
    <row r="701" spans="1:10" x14ac:dyDescent="0.25">
      <c r="A701" t="s">
        <v>271</v>
      </c>
      <c r="B701" t="s">
        <v>561</v>
      </c>
      <c r="C701" t="s">
        <v>1042</v>
      </c>
      <c r="D701" t="s">
        <v>3</v>
      </c>
      <c r="E701">
        <v>40</v>
      </c>
      <c r="F701" t="str">
        <f t="shared" si="10"/>
        <v>Middle Age</v>
      </c>
      <c r="G701" t="s">
        <v>51</v>
      </c>
      <c r="H701" s="3">
        <v>1173</v>
      </c>
      <c r="I701" t="s">
        <v>4</v>
      </c>
      <c r="J701">
        <v>5</v>
      </c>
    </row>
    <row r="702" spans="1:10" x14ac:dyDescent="0.25">
      <c r="A702" t="s">
        <v>390</v>
      </c>
      <c r="B702" t="s">
        <v>148</v>
      </c>
      <c r="C702" t="s">
        <v>1043</v>
      </c>
      <c r="D702" t="s">
        <v>8</v>
      </c>
      <c r="E702">
        <v>27</v>
      </c>
      <c r="F702" t="str">
        <f t="shared" si="10"/>
        <v>Young</v>
      </c>
      <c r="G702" t="s">
        <v>231</v>
      </c>
      <c r="H702" s="3">
        <v>8563</v>
      </c>
      <c r="I702" t="s">
        <v>4</v>
      </c>
      <c r="J702">
        <v>3</v>
      </c>
    </row>
    <row r="703" spans="1:10" x14ac:dyDescent="0.25">
      <c r="A703" t="s">
        <v>1044</v>
      </c>
      <c r="B703" t="s">
        <v>65</v>
      </c>
      <c r="C703" t="s">
        <v>1045</v>
      </c>
      <c r="D703" t="s">
        <v>8</v>
      </c>
      <c r="E703">
        <v>31</v>
      </c>
      <c r="F703" t="str">
        <f t="shared" si="10"/>
        <v>Middle Age</v>
      </c>
      <c r="G703" t="s">
        <v>114</v>
      </c>
      <c r="H703" s="3">
        <v>6850</v>
      </c>
      <c r="I703" t="s">
        <v>14</v>
      </c>
      <c r="J703">
        <v>5</v>
      </c>
    </row>
    <row r="704" spans="1:10" x14ac:dyDescent="0.25">
      <c r="A704" t="s">
        <v>323</v>
      </c>
      <c r="B704" t="s">
        <v>284</v>
      </c>
      <c r="C704" t="s">
        <v>1046</v>
      </c>
      <c r="D704" t="s">
        <v>8</v>
      </c>
      <c r="E704">
        <v>54</v>
      </c>
      <c r="F704" t="str">
        <f t="shared" si="10"/>
        <v>Old</v>
      </c>
      <c r="G704" t="s">
        <v>382</v>
      </c>
      <c r="H704" s="3">
        <v>2187</v>
      </c>
      <c r="I704" t="s">
        <v>14</v>
      </c>
      <c r="J704">
        <v>0</v>
      </c>
    </row>
    <row r="705" spans="1:10" x14ac:dyDescent="0.25">
      <c r="A705" t="s">
        <v>963</v>
      </c>
      <c r="B705" t="s">
        <v>478</v>
      </c>
      <c r="C705" t="s">
        <v>1047</v>
      </c>
      <c r="D705" t="s">
        <v>3</v>
      </c>
      <c r="E705">
        <v>53</v>
      </c>
      <c r="F705" t="str">
        <f t="shared" si="10"/>
        <v>Old</v>
      </c>
      <c r="G705" t="s">
        <v>165</v>
      </c>
      <c r="H705" s="3">
        <v>2492</v>
      </c>
      <c r="I705" t="s">
        <v>4</v>
      </c>
      <c r="J705">
        <v>1</v>
      </c>
    </row>
    <row r="706" spans="1:10" x14ac:dyDescent="0.25">
      <c r="A706" t="s">
        <v>354</v>
      </c>
      <c r="B706" t="s">
        <v>229</v>
      </c>
      <c r="C706" t="s">
        <v>1048</v>
      </c>
      <c r="D706" t="s">
        <v>8</v>
      </c>
      <c r="E706">
        <v>57</v>
      </c>
      <c r="F706" t="str">
        <f t="shared" si="10"/>
        <v>Old</v>
      </c>
      <c r="G706" t="s">
        <v>270</v>
      </c>
      <c r="H706" s="3">
        <v>7687</v>
      </c>
      <c r="I706" t="s">
        <v>4</v>
      </c>
      <c r="J706">
        <v>2</v>
      </c>
    </row>
    <row r="707" spans="1:10" x14ac:dyDescent="0.25">
      <c r="A707" t="s">
        <v>762</v>
      </c>
      <c r="B707" t="s">
        <v>67</v>
      </c>
      <c r="C707" t="s">
        <v>1049</v>
      </c>
      <c r="D707" t="s">
        <v>3</v>
      </c>
      <c r="E707">
        <v>58</v>
      </c>
      <c r="F707" t="str">
        <f t="shared" ref="F707:F770" si="11">IF(E707&gt;50,"Old",IF(E707&gt;=31,"Middle Age",IF(E707&lt;31,"Young","Invalid")))</f>
        <v>Old</v>
      </c>
      <c r="G707" t="s">
        <v>150</v>
      </c>
      <c r="H707" s="3">
        <v>5176</v>
      </c>
      <c r="I707" t="s">
        <v>4</v>
      </c>
      <c r="J707">
        <v>1</v>
      </c>
    </row>
    <row r="708" spans="1:10" x14ac:dyDescent="0.25">
      <c r="A708" t="s">
        <v>44</v>
      </c>
      <c r="B708" t="s">
        <v>78</v>
      </c>
      <c r="C708" t="s">
        <v>1050</v>
      </c>
      <c r="D708" t="s">
        <v>8</v>
      </c>
      <c r="E708">
        <v>60</v>
      </c>
      <c r="F708" t="str">
        <f t="shared" si="11"/>
        <v>Old</v>
      </c>
      <c r="G708" t="s">
        <v>1364</v>
      </c>
      <c r="H708" s="3">
        <v>1496</v>
      </c>
      <c r="I708" t="s">
        <v>14</v>
      </c>
      <c r="J708">
        <v>1</v>
      </c>
    </row>
    <row r="709" spans="1:10" x14ac:dyDescent="0.25">
      <c r="A709" t="s">
        <v>419</v>
      </c>
      <c r="B709" t="s">
        <v>294</v>
      </c>
      <c r="C709" t="s">
        <v>1051</v>
      </c>
      <c r="D709" t="s">
        <v>8</v>
      </c>
      <c r="E709">
        <v>30</v>
      </c>
      <c r="F709" t="str">
        <f t="shared" si="11"/>
        <v>Young</v>
      </c>
      <c r="G709" t="s">
        <v>225</v>
      </c>
      <c r="H709" s="3">
        <v>3443</v>
      </c>
      <c r="I709" t="s">
        <v>4</v>
      </c>
      <c r="J709">
        <v>4</v>
      </c>
    </row>
    <row r="710" spans="1:10" x14ac:dyDescent="0.25">
      <c r="A710" t="s">
        <v>1013</v>
      </c>
      <c r="B710" t="s">
        <v>530</v>
      </c>
      <c r="C710" t="s">
        <v>1052</v>
      </c>
      <c r="D710" t="s">
        <v>8</v>
      </c>
      <c r="E710">
        <v>54</v>
      </c>
      <c r="F710" t="str">
        <f t="shared" si="11"/>
        <v>Old</v>
      </c>
      <c r="G710" t="s">
        <v>25</v>
      </c>
      <c r="H710" s="3">
        <v>8879</v>
      </c>
      <c r="I710" t="s">
        <v>14</v>
      </c>
      <c r="J710">
        <v>2</v>
      </c>
    </row>
    <row r="711" spans="1:10" x14ac:dyDescent="0.25">
      <c r="A711" t="s">
        <v>603</v>
      </c>
      <c r="B711" t="s">
        <v>180</v>
      </c>
      <c r="C711" t="s">
        <v>1053</v>
      </c>
      <c r="D711" t="s">
        <v>8</v>
      </c>
      <c r="E711">
        <v>44</v>
      </c>
      <c r="F711" t="str">
        <f t="shared" si="11"/>
        <v>Middle Age</v>
      </c>
      <c r="G711" t="s">
        <v>32</v>
      </c>
      <c r="H711" s="3">
        <v>4973</v>
      </c>
      <c r="I711" t="s">
        <v>4</v>
      </c>
      <c r="J711">
        <v>3</v>
      </c>
    </row>
    <row r="712" spans="1:10" x14ac:dyDescent="0.25">
      <c r="A712" t="s">
        <v>179</v>
      </c>
      <c r="B712" t="s">
        <v>308</v>
      </c>
      <c r="C712" t="s">
        <v>1054</v>
      </c>
      <c r="D712" t="s">
        <v>3</v>
      </c>
      <c r="E712">
        <v>19</v>
      </c>
      <c r="F712" t="str">
        <f t="shared" si="11"/>
        <v>Young</v>
      </c>
      <c r="G712" t="s">
        <v>25</v>
      </c>
      <c r="H712" s="3">
        <v>6610</v>
      </c>
      <c r="I712" t="s">
        <v>4</v>
      </c>
      <c r="J712">
        <v>2</v>
      </c>
    </row>
    <row r="713" spans="1:10" x14ac:dyDescent="0.25">
      <c r="A713" t="s">
        <v>111</v>
      </c>
      <c r="B713" t="s">
        <v>105</v>
      </c>
      <c r="C713" t="s">
        <v>1055</v>
      </c>
      <c r="D713" t="s">
        <v>8</v>
      </c>
      <c r="E713">
        <v>38</v>
      </c>
      <c r="F713" t="str">
        <f t="shared" si="11"/>
        <v>Middle Age</v>
      </c>
      <c r="G713" t="s">
        <v>160</v>
      </c>
      <c r="H713" s="3">
        <v>6347</v>
      </c>
      <c r="I713" t="s">
        <v>14</v>
      </c>
      <c r="J713">
        <v>2</v>
      </c>
    </row>
    <row r="714" spans="1:10" x14ac:dyDescent="0.25">
      <c r="A714" t="s">
        <v>348</v>
      </c>
      <c r="B714" t="s">
        <v>136</v>
      </c>
      <c r="C714" t="s">
        <v>1056</v>
      </c>
      <c r="D714" t="s">
        <v>3</v>
      </c>
      <c r="E714">
        <v>24</v>
      </c>
      <c r="F714" t="str">
        <f t="shared" si="11"/>
        <v>Young</v>
      </c>
      <c r="G714" t="s">
        <v>234</v>
      </c>
      <c r="H714" s="3">
        <v>8002</v>
      </c>
      <c r="I714" t="s">
        <v>14</v>
      </c>
      <c r="J714">
        <v>0</v>
      </c>
    </row>
    <row r="715" spans="1:10" x14ac:dyDescent="0.25">
      <c r="A715" t="s">
        <v>477</v>
      </c>
      <c r="B715" t="s">
        <v>650</v>
      </c>
      <c r="C715" t="s">
        <v>1057</v>
      </c>
      <c r="D715" t="s">
        <v>8</v>
      </c>
      <c r="E715">
        <v>19</v>
      </c>
      <c r="F715" t="str">
        <f t="shared" si="11"/>
        <v>Young</v>
      </c>
      <c r="G715" t="s">
        <v>114</v>
      </c>
      <c r="H715" s="3">
        <v>6123</v>
      </c>
      <c r="I715" t="s">
        <v>14</v>
      </c>
      <c r="J715">
        <v>4</v>
      </c>
    </row>
    <row r="716" spans="1:10" x14ac:dyDescent="0.25">
      <c r="A716" t="s">
        <v>22</v>
      </c>
      <c r="B716" t="s">
        <v>61</v>
      </c>
      <c r="C716" t="s">
        <v>1058</v>
      </c>
      <c r="D716" t="s">
        <v>3</v>
      </c>
      <c r="E716">
        <v>18</v>
      </c>
      <c r="F716" t="str">
        <f t="shared" si="11"/>
        <v>Young</v>
      </c>
      <c r="G716" t="s">
        <v>182</v>
      </c>
      <c r="H716" s="3">
        <v>6577</v>
      </c>
      <c r="I716" t="s">
        <v>4</v>
      </c>
      <c r="J716">
        <v>1</v>
      </c>
    </row>
    <row r="717" spans="1:10" x14ac:dyDescent="0.25">
      <c r="A717" t="s">
        <v>192</v>
      </c>
      <c r="B717" t="s">
        <v>162</v>
      </c>
      <c r="C717" t="s">
        <v>1059</v>
      </c>
      <c r="D717" t="s">
        <v>8</v>
      </c>
      <c r="E717">
        <v>35</v>
      </c>
      <c r="F717" t="str">
        <f t="shared" si="11"/>
        <v>Middle Age</v>
      </c>
      <c r="G717" t="s">
        <v>69</v>
      </c>
      <c r="H717" s="3">
        <v>9970</v>
      </c>
      <c r="I717" t="s">
        <v>14</v>
      </c>
      <c r="J717">
        <v>2</v>
      </c>
    </row>
    <row r="718" spans="1:10" x14ac:dyDescent="0.25">
      <c r="A718" t="s">
        <v>222</v>
      </c>
      <c r="B718" t="s">
        <v>561</v>
      </c>
      <c r="C718" t="s">
        <v>1060</v>
      </c>
      <c r="D718" t="s">
        <v>3</v>
      </c>
      <c r="E718">
        <v>19</v>
      </c>
      <c r="F718" t="str">
        <f t="shared" si="11"/>
        <v>Young</v>
      </c>
      <c r="G718" t="s">
        <v>82</v>
      </c>
      <c r="H718" s="3">
        <v>6050</v>
      </c>
      <c r="I718" t="s">
        <v>14</v>
      </c>
      <c r="J718">
        <v>5</v>
      </c>
    </row>
    <row r="719" spans="1:10" x14ac:dyDescent="0.25">
      <c r="A719" t="s">
        <v>657</v>
      </c>
      <c r="B719" t="s">
        <v>215</v>
      </c>
      <c r="C719" t="s">
        <v>1061</v>
      </c>
      <c r="D719" t="s">
        <v>3</v>
      </c>
      <c r="E719">
        <v>18</v>
      </c>
      <c r="F719" t="str">
        <f t="shared" si="11"/>
        <v>Young</v>
      </c>
      <c r="G719" t="s">
        <v>382</v>
      </c>
      <c r="H719" s="3">
        <v>7494</v>
      </c>
      <c r="I719" t="s">
        <v>4</v>
      </c>
      <c r="J719">
        <v>2</v>
      </c>
    </row>
    <row r="720" spans="1:10" x14ac:dyDescent="0.25">
      <c r="A720" t="s">
        <v>510</v>
      </c>
      <c r="B720" t="s">
        <v>277</v>
      </c>
      <c r="C720" t="s">
        <v>1062</v>
      </c>
      <c r="D720" t="s">
        <v>8</v>
      </c>
      <c r="E720">
        <v>47</v>
      </c>
      <c r="F720" t="str">
        <f t="shared" si="11"/>
        <v>Middle Age</v>
      </c>
      <c r="G720" t="s">
        <v>234</v>
      </c>
      <c r="H720" s="3">
        <v>869</v>
      </c>
      <c r="I720" t="s">
        <v>4</v>
      </c>
      <c r="J720">
        <v>5</v>
      </c>
    </row>
    <row r="721" spans="1:10" x14ac:dyDescent="0.25">
      <c r="A721" t="s">
        <v>458</v>
      </c>
      <c r="B721" t="s">
        <v>45</v>
      </c>
      <c r="C721" t="s">
        <v>1063</v>
      </c>
      <c r="D721" t="s">
        <v>8</v>
      </c>
      <c r="E721">
        <v>20</v>
      </c>
      <c r="F721" t="str">
        <f t="shared" si="11"/>
        <v>Young</v>
      </c>
      <c r="G721" t="s">
        <v>248</v>
      </c>
      <c r="H721" s="3">
        <v>9034</v>
      </c>
      <c r="I721" t="s">
        <v>14</v>
      </c>
      <c r="J721">
        <v>1</v>
      </c>
    </row>
    <row r="722" spans="1:10" x14ac:dyDescent="0.25">
      <c r="A722" t="s">
        <v>77</v>
      </c>
      <c r="B722" t="s">
        <v>552</v>
      </c>
      <c r="C722" t="s">
        <v>1064</v>
      </c>
      <c r="D722" t="s">
        <v>3</v>
      </c>
      <c r="E722">
        <v>54</v>
      </c>
      <c r="F722" t="str">
        <f t="shared" si="11"/>
        <v>Old</v>
      </c>
      <c r="G722" t="s">
        <v>114</v>
      </c>
      <c r="H722" s="3">
        <v>1488</v>
      </c>
      <c r="I722" t="s">
        <v>14</v>
      </c>
      <c r="J722">
        <v>5</v>
      </c>
    </row>
    <row r="723" spans="1:10" x14ac:dyDescent="0.25">
      <c r="A723" t="s">
        <v>379</v>
      </c>
      <c r="B723" t="s">
        <v>415</v>
      </c>
      <c r="C723" t="s">
        <v>1065</v>
      </c>
      <c r="D723" t="s">
        <v>8</v>
      </c>
      <c r="E723">
        <v>60</v>
      </c>
      <c r="F723" t="str">
        <f t="shared" si="11"/>
        <v>Old</v>
      </c>
      <c r="G723" t="s">
        <v>182</v>
      </c>
      <c r="H723" s="3">
        <v>8332</v>
      </c>
      <c r="I723" t="s">
        <v>14</v>
      </c>
      <c r="J723">
        <v>4</v>
      </c>
    </row>
    <row r="724" spans="1:10" x14ac:dyDescent="0.25">
      <c r="A724" t="s">
        <v>379</v>
      </c>
      <c r="B724" t="s">
        <v>122</v>
      </c>
      <c r="C724" t="s">
        <v>1066</v>
      </c>
      <c r="D724" t="s">
        <v>8</v>
      </c>
      <c r="E724">
        <v>26</v>
      </c>
      <c r="F724" t="str">
        <f t="shared" si="11"/>
        <v>Young</v>
      </c>
      <c r="G724" t="s">
        <v>182</v>
      </c>
      <c r="H724" s="3">
        <v>6135</v>
      </c>
      <c r="I724" t="s">
        <v>4</v>
      </c>
      <c r="J724">
        <v>5</v>
      </c>
    </row>
    <row r="725" spans="1:10" x14ac:dyDescent="0.25">
      <c r="A725" t="s">
        <v>1067</v>
      </c>
      <c r="B725" t="s">
        <v>371</v>
      </c>
      <c r="C725" t="s">
        <v>1068</v>
      </c>
      <c r="D725" t="s">
        <v>3</v>
      </c>
      <c r="E725">
        <v>42</v>
      </c>
      <c r="F725" t="str">
        <f t="shared" si="11"/>
        <v>Middle Age</v>
      </c>
      <c r="G725" t="s">
        <v>82</v>
      </c>
      <c r="H725" s="3">
        <v>6569</v>
      </c>
      <c r="I725" t="s">
        <v>4</v>
      </c>
      <c r="J725">
        <v>5</v>
      </c>
    </row>
    <row r="726" spans="1:10" x14ac:dyDescent="0.25">
      <c r="A726" t="s">
        <v>792</v>
      </c>
      <c r="B726" t="s">
        <v>162</v>
      </c>
      <c r="C726" t="s">
        <v>1069</v>
      </c>
      <c r="D726" t="s">
        <v>8</v>
      </c>
      <c r="E726">
        <v>50</v>
      </c>
      <c r="F726" t="str">
        <f t="shared" si="11"/>
        <v>Middle Age</v>
      </c>
      <c r="G726" t="s">
        <v>293</v>
      </c>
      <c r="H726" s="3">
        <v>985</v>
      </c>
      <c r="I726" t="s">
        <v>14</v>
      </c>
      <c r="J726">
        <v>3</v>
      </c>
    </row>
    <row r="727" spans="1:10" x14ac:dyDescent="0.25">
      <c r="A727" t="s">
        <v>812</v>
      </c>
      <c r="B727" t="s">
        <v>459</v>
      </c>
      <c r="C727" t="s">
        <v>1070</v>
      </c>
      <c r="D727" t="s">
        <v>3</v>
      </c>
      <c r="E727">
        <v>47</v>
      </c>
      <c r="F727" t="str">
        <f t="shared" si="11"/>
        <v>Middle Age</v>
      </c>
      <c r="G727" t="s">
        <v>160</v>
      </c>
      <c r="H727" s="3">
        <v>3925</v>
      </c>
      <c r="I727" t="s">
        <v>14</v>
      </c>
      <c r="J727">
        <v>0</v>
      </c>
    </row>
    <row r="728" spans="1:10" x14ac:dyDescent="0.25">
      <c r="A728" t="s">
        <v>423</v>
      </c>
      <c r="B728" t="s">
        <v>552</v>
      </c>
      <c r="C728" t="s">
        <v>1071</v>
      </c>
      <c r="D728" t="s">
        <v>8</v>
      </c>
      <c r="E728">
        <v>49</v>
      </c>
      <c r="F728" t="str">
        <f t="shared" si="11"/>
        <v>Middle Age</v>
      </c>
      <c r="G728" t="s">
        <v>303</v>
      </c>
      <c r="H728" s="3">
        <v>1081</v>
      </c>
      <c r="I728" t="s">
        <v>14</v>
      </c>
      <c r="J728">
        <v>5</v>
      </c>
    </row>
    <row r="729" spans="1:10" x14ac:dyDescent="0.25">
      <c r="A729" t="s">
        <v>155</v>
      </c>
      <c r="B729" t="s">
        <v>375</v>
      </c>
      <c r="C729" t="s">
        <v>1072</v>
      </c>
      <c r="D729" t="s">
        <v>3</v>
      </c>
      <c r="E729">
        <v>32</v>
      </c>
      <c r="F729" t="str">
        <f t="shared" si="11"/>
        <v>Middle Age</v>
      </c>
      <c r="G729" t="s">
        <v>227</v>
      </c>
      <c r="H729" s="3">
        <v>5172</v>
      </c>
      <c r="I729" t="s">
        <v>4</v>
      </c>
      <c r="J729">
        <v>5</v>
      </c>
    </row>
    <row r="730" spans="1:10" x14ac:dyDescent="0.25">
      <c r="A730" t="s">
        <v>625</v>
      </c>
      <c r="B730" t="s">
        <v>204</v>
      </c>
      <c r="C730" t="s">
        <v>1073</v>
      </c>
      <c r="D730" t="s">
        <v>3</v>
      </c>
      <c r="E730">
        <v>42</v>
      </c>
      <c r="F730" t="str">
        <f t="shared" si="11"/>
        <v>Middle Age</v>
      </c>
      <c r="G730" t="s">
        <v>69</v>
      </c>
      <c r="H730" s="3">
        <v>8359</v>
      </c>
      <c r="I730" t="s">
        <v>14</v>
      </c>
      <c r="J730">
        <v>5</v>
      </c>
    </row>
    <row r="731" spans="1:10" x14ac:dyDescent="0.25">
      <c r="A731" t="s">
        <v>473</v>
      </c>
      <c r="B731" t="s">
        <v>433</v>
      </c>
      <c r="C731" t="s">
        <v>1074</v>
      </c>
      <c r="D731" t="s">
        <v>8</v>
      </c>
      <c r="E731">
        <v>59</v>
      </c>
      <c r="F731" t="str">
        <f t="shared" si="11"/>
        <v>Old</v>
      </c>
      <c r="G731" t="s">
        <v>82</v>
      </c>
      <c r="H731" s="3">
        <v>659</v>
      </c>
      <c r="I731" t="s">
        <v>14</v>
      </c>
      <c r="J731">
        <v>4</v>
      </c>
    </row>
    <row r="732" spans="1:10" x14ac:dyDescent="0.25">
      <c r="A732" t="s">
        <v>698</v>
      </c>
      <c r="B732" t="s">
        <v>415</v>
      </c>
      <c r="C732" t="s">
        <v>1075</v>
      </c>
      <c r="D732" t="s">
        <v>8</v>
      </c>
      <c r="E732">
        <v>49</v>
      </c>
      <c r="F732" t="str">
        <f t="shared" si="11"/>
        <v>Middle Age</v>
      </c>
      <c r="G732" t="s">
        <v>25</v>
      </c>
      <c r="H732" s="3">
        <v>9527</v>
      </c>
      <c r="I732" t="s">
        <v>14</v>
      </c>
      <c r="J732">
        <v>5</v>
      </c>
    </row>
    <row r="733" spans="1:10" x14ac:dyDescent="0.25">
      <c r="A733" t="s">
        <v>323</v>
      </c>
      <c r="B733" t="s">
        <v>249</v>
      </c>
      <c r="C733" t="s">
        <v>1076</v>
      </c>
      <c r="D733" t="s">
        <v>8</v>
      </c>
      <c r="E733">
        <v>21</v>
      </c>
      <c r="F733" t="str">
        <f t="shared" si="11"/>
        <v>Young</v>
      </c>
      <c r="G733" t="s">
        <v>290</v>
      </c>
      <c r="H733" s="3">
        <v>983</v>
      </c>
      <c r="I733" t="s">
        <v>14</v>
      </c>
      <c r="J733">
        <v>5</v>
      </c>
    </row>
    <row r="734" spans="1:10" x14ac:dyDescent="0.25">
      <c r="A734" t="s">
        <v>238</v>
      </c>
      <c r="B734" t="s">
        <v>277</v>
      </c>
      <c r="C734" t="s">
        <v>1077</v>
      </c>
      <c r="D734" t="s">
        <v>8</v>
      </c>
      <c r="E734">
        <v>21</v>
      </c>
      <c r="F734" t="str">
        <f t="shared" si="11"/>
        <v>Young</v>
      </c>
      <c r="G734" t="s">
        <v>1364</v>
      </c>
      <c r="H734" s="3">
        <v>5883</v>
      </c>
      <c r="I734" t="s">
        <v>4</v>
      </c>
      <c r="J734">
        <v>3</v>
      </c>
    </row>
    <row r="735" spans="1:10" x14ac:dyDescent="0.25">
      <c r="A735" t="s">
        <v>762</v>
      </c>
      <c r="B735" t="s">
        <v>504</v>
      </c>
      <c r="C735" t="s">
        <v>1078</v>
      </c>
      <c r="D735" t="s">
        <v>3</v>
      </c>
      <c r="E735">
        <v>57</v>
      </c>
      <c r="F735" t="str">
        <f t="shared" si="11"/>
        <v>Old</v>
      </c>
      <c r="G735" t="s">
        <v>25</v>
      </c>
      <c r="H735" s="3">
        <v>1181</v>
      </c>
      <c r="I735" t="s">
        <v>4</v>
      </c>
      <c r="J735">
        <v>0</v>
      </c>
    </row>
    <row r="736" spans="1:10" x14ac:dyDescent="0.25">
      <c r="A736" t="s">
        <v>637</v>
      </c>
      <c r="B736" t="s">
        <v>463</v>
      </c>
      <c r="C736" t="s">
        <v>1079</v>
      </c>
      <c r="D736" t="s">
        <v>3</v>
      </c>
      <c r="E736">
        <v>38</v>
      </c>
      <c r="F736" t="str">
        <f t="shared" si="11"/>
        <v>Middle Age</v>
      </c>
      <c r="G736" t="s">
        <v>160</v>
      </c>
      <c r="H736" s="3">
        <v>4817</v>
      </c>
      <c r="I736" t="s">
        <v>4</v>
      </c>
      <c r="J736">
        <v>0</v>
      </c>
    </row>
    <row r="737" spans="1:10" x14ac:dyDescent="0.25">
      <c r="A737" t="s">
        <v>200</v>
      </c>
      <c r="B737" t="s">
        <v>74</v>
      </c>
      <c r="C737" t="s">
        <v>1080</v>
      </c>
      <c r="D737" t="s">
        <v>3</v>
      </c>
      <c r="E737">
        <v>47</v>
      </c>
      <c r="F737" t="str">
        <f t="shared" si="11"/>
        <v>Middle Age</v>
      </c>
      <c r="G737" t="s">
        <v>231</v>
      </c>
      <c r="H737" s="3">
        <v>4877</v>
      </c>
      <c r="I737" t="s">
        <v>14</v>
      </c>
      <c r="J737">
        <v>3</v>
      </c>
    </row>
    <row r="738" spans="1:10" x14ac:dyDescent="0.25">
      <c r="A738" t="s">
        <v>100</v>
      </c>
      <c r="B738" t="s">
        <v>261</v>
      </c>
      <c r="C738" t="s">
        <v>1081</v>
      </c>
      <c r="D738" t="s">
        <v>8</v>
      </c>
      <c r="E738">
        <v>49</v>
      </c>
      <c r="F738" t="str">
        <f t="shared" si="11"/>
        <v>Middle Age</v>
      </c>
      <c r="G738" t="s">
        <v>290</v>
      </c>
      <c r="H738" s="3">
        <v>3892</v>
      </c>
      <c r="I738" t="s">
        <v>4</v>
      </c>
      <c r="J738">
        <v>2</v>
      </c>
    </row>
    <row r="739" spans="1:10" x14ac:dyDescent="0.25">
      <c r="A739" t="s">
        <v>56</v>
      </c>
      <c r="B739" t="s">
        <v>67</v>
      </c>
      <c r="C739" t="s">
        <v>1082</v>
      </c>
      <c r="D739" t="s">
        <v>8</v>
      </c>
      <c r="E739">
        <v>30</v>
      </c>
      <c r="F739" t="str">
        <f t="shared" si="11"/>
        <v>Young</v>
      </c>
      <c r="G739" t="s">
        <v>256</v>
      </c>
      <c r="H739" s="3">
        <v>5428</v>
      </c>
      <c r="I739" t="s">
        <v>14</v>
      </c>
      <c r="J739">
        <v>4</v>
      </c>
    </row>
    <row r="740" spans="1:10" x14ac:dyDescent="0.25">
      <c r="A740" t="s">
        <v>495</v>
      </c>
      <c r="B740" t="s">
        <v>478</v>
      </c>
      <c r="C740" t="s">
        <v>1083</v>
      </c>
      <c r="D740" t="s">
        <v>3</v>
      </c>
      <c r="E740">
        <v>43</v>
      </c>
      <c r="F740" t="str">
        <f t="shared" si="11"/>
        <v>Middle Age</v>
      </c>
      <c r="G740" t="s">
        <v>134</v>
      </c>
      <c r="H740" s="3">
        <v>6052</v>
      </c>
      <c r="I740" t="s">
        <v>4</v>
      </c>
      <c r="J740">
        <v>5</v>
      </c>
    </row>
    <row r="741" spans="1:10" x14ac:dyDescent="0.25">
      <c r="A741" t="s">
        <v>390</v>
      </c>
      <c r="B741" t="s">
        <v>88</v>
      </c>
      <c r="C741" t="s">
        <v>1084</v>
      </c>
      <c r="D741" t="s">
        <v>8</v>
      </c>
      <c r="E741">
        <v>41</v>
      </c>
      <c r="F741" t="str">
        <f t="shared" si="11"/>
        <v>Middle Age</v>
      </c>
      <c r="G741" t="s">
        <v>270</v>
      </c>
      <c r="H741" s="3">
        <v>8601</v>
      </c>
      <c r="I741" t="s">
        <v>14</v>
      </c>
      <c r="J741">
        <v>2</v>
      </c>
    </row>
    <row r="742" spans="1:10" x14ac:dyDescent="0.25">
      <c r="A742" t="s">
        <v>328</v>
      </c>
      <c r="B742" t="s">
        <v>268</v>
      </c>
      <c r="C742" t="s">
        <v>1085</v>
      </c>
      <c r="D742" t="s">
        <v>3</v>
      </c>
      <c r="E742">
        <v>35</v>
      </c>
      <c r="F742" t="str">
        <f t="shared" si="11"/>
        <v>Middle Age</v>
      </c>
      <c r="G742" t="s">
        <v>211</v>
      </c>
      <c r="H742" s="3">
        <v>9621</v>
      </c>
      <c r="I742" t="s">
        <v>4</v>
      </c>
      <c r="J742">
        <v>0</v>
      </c>
    </row>
    <row r="743" spans="1:10" x14ac:dyDescent="0.25">
      <c r="A743" t="s">
        <v>60</v>
      </c>
      <c r="B743" t="s">
        <v>84</v>
      </c>
      <c r="C743" t="s">
        <v>1086</v>
      </c>
      <c r="D743" t="s">
        <v>3</v>
      </c>
      <c r="E743">
        <v>49</v>
      </c>
      <c r="F743" t="str">
        <f t="shared" si="11"/>
        <v>Middle Age</v>
      </c>
      <c r="G743" t="s">
        <v>169</v>
      </c>
      <c r="H743" s="3">
        <v>6984</v>
      </c>
      <c r="I743" t="s">
        <v>14</v>
      </c>
      <c r="J743">
        <v>3</v>
      </c>
    </row>
    <row r="744" spans="1:10" x14ac:dyDescent="0.25">
      <c r="A744" t="s">
        <v>319</v>
      </c>
      <c r="B744" t="s">
        <v>249</v>
      </c>
      <c r="C744" t="s">
        <v>1087</v>
      </c>
      <c r="D744" t="s">
        <v>3</v>
      </c>
      <c r="E744">
        <v>33</v>
      </c>
      <c r="F744" t="str">
        <f t="shared" si="11"/>
        <v>Middle Age</v>
      </c>
      <c r="G744" t="s">
        <v>63</v>
      </c>
      <c r="H744" s="3">
        <v>1012</v>
      </c>
      <c r="I744" t="s">
        <v>14</v>
      </c>
      <c r="J744">
        <v>3</v>
      </c>
    </row>
    <row r="745" spans="1:10" x14ac:dyDescent="0.25">
      <c r="A745" t="s">
        <v>484</v>
      </c>
      <c r="B745" t="s">
        <v>274</v>
      </c>
      <c r="C745" t="s">
        <v>1088</v>
      </c>
      <c r="D745" t="s">
        <v>3</v>
      </c>
      <c r="E745">
        <v>41</v>
      </c>
      <c r="F745" t="str">
        <f t="shared" si="11"/>
        <v>Middle Age</v>
      </c>
      <c r="G745" t="s">
        <v>266</v>
      </c>
      <c r="H745" s="3">
        <v>9971</v>
      </c>
      <c r="I745" t="s">
        <v>4</v>
      </c>
      <c r="J745">
        <v>4</v>
      </c>
    </row>
    <row r="746" spans="1:10" x14ac:dyDescent="0.25">
      <c r="A746" t="s">
        <v>489</v>
      </c>
      <c r="B746" t="s">
        <v>105</v>
      </c>
      <c r="C746" t="s">
        <v>1089</v>
      </c>
      <c r="D746" t="s">
        <v>3</v>
      </c>
      <c r="E746">
        <v>29</v>
      </c>
      <c r="F746" t="str">
        <f t="shared" si="11"/>
        <v>Young</v>
      </c>
      <c r="G746" t="s">
        <v>280</v>
      </c>
      <c r="H746" s="3">
        <v>4864</v>
      </c>
      <c r="I746" t="s">
        <v>4</v>
      </c>
      <c r="J746">
        <v>2</v>
      </c>
    </row>
    <row r="747" spans="1:10" x14ac:dyDescent="0.25">
      <c r="A747" t="s">
        <v>512</v>
      </c>
      <c r="B747" t="s">
        <v>604</v>
      </c>
      <c r="C747" t="s">
        <v>1090</v>
      </c>
      <c r="D747" t="s">
        <v>3</v>
      </c>
      <c r="E747">
        <v>51</v>
      </c>
      <c r="F747" t="str">
        <f t="shared" si="11"/>
        <v>Old</v>
      </c>
      <c r="G747" t="s">
        <v>131</v>
      </c>
      <c r="H747" s="3">
        <v>8075</v>
      </c>
      <c r="I747" t="s">
        <v>14</v>
      </c>
      <c r="J747">
        <v>0</v>
      </c>
    </row>
    <row r="748" spans="1:10" x14ac:dyDescent="0.25">
      <c r="A748" t="s">
        <v>203</v>
      </c>
      <c r="B748" t="s">
        <v>415</v>
      </c>
      <c r="C748" t="s">
        <v>1091</v>
      </c>
      <c r="D748" t="s">
        <v>8</v>
      </c>
      <c r="E748">
        <v>24</v>
      </c>
      <c r="F748" t="str">
        <f t="shared" si="11"/>
        <v>Young</v>
      </c>
      <c r="G748" t="s">
        <v>231</v>
      </c>
      <c r="H748" s="3">
        <v>9012</v>
      </c>
      <c r="I748" t="s">
        <v>4</v>
      </c>
      <c r="J748">
        <v>1</v>
      </c>
    </row>
    <row r="749" spans="1:10" x14ac:dyDescent="0.25">
      <c r="A749" t="s">
        <v>145</v>
      </c>
      <c r="B749" t="s">
        <v>88</v>
      </c>
      <c r="C749" t="s">
        <v>1092</v>
      </c>
      <c r="D749" t="s">
        <v>8</v>
      </c>
      <c r="E749">
        <v>55</v>
      </c>
      <c r="F749" t="str">
        <f t="shared" si="11"/>
        <v>Old</v>
      </c>
      <c r="G749" t="s">
        <v>128</v>
      </c>
      <c r="H749" s="3">
        <v>4060</v>
      </c>
      <c r="I749" t="s">
        <v>4</v>
      </c>
      <c r="J749">
        <v>1</v>
      </c>
    </row>
    <row r="750" spans="1:10" x14ac:dyDescent="0.25">
      <c r="A750" t="s">
        <v>333</v>
      </c>
      <c r="B750" t="s">
        <v>340</v>
      </c>
      <c r="C750" t="s">
        <v>1093</v>
      </c>
      <c r="D750" t="s">
        <v>3</v>
      </c>
      <c r="E750">
        <v>50</v>
      </c>
      <c r="F750" t="str">
        <f t="shared" si="11"/>
        <v>Middle Age</v>
      </c>
      <c r="G750" t="s">
        <v>131</v>
      </c>
      <c r="H750" s="3">
        <v>4120</v>
      </c>
      <c r="I750" t="s">
        <v>4</v>
      </c>
      <c r="J750">
        <v>4</v>
      </c>
    </row>
    <row r="751" spans="1:10" x14ac:dyDescent="0.25">
      <c r="A751" t="s">
        <v>155</v>
      </c>
      <c r="B751" t="s">
        <v>19</v>
      </c>
      <c r="C751" t="s">
        <v>1094</v>
      </c>
      <c r="D751" t="s">
        <v>3</v>
      </c>
      <c r="E751">
        <v>50</v>
      </c>
      <c r="F751" t="str">
        <f t="shared" si="11"/>
        <v>Middle Age</v>
      </c>
      <c r="G751" t="s">
        <v>199</v>
      </c>
      <c r="H751" s="3">
        <v>2287</v>
      </c>
      <c r="I751" t="s">
        <v>4</v>
      </c>
      <c r="J751">
        <v>1</v>
      </c>
    </row>
    <row r="752" spans="1:10" x14ac:dyDescent="0.25">
      <c r="A752" t="s">
        <v>176</v>
      </c>
      <c r="B752" t="s">
        <v>459</v>
      </c>
      <c r="C752" t="s">
        <v>1095</v>
      </c>
      <c r="D752" t="s">
        <v>3</v>
      </c>
      <c r="E752">
        <v>58</v>
      </c>
      <c r="F752" t="str">
        <f t="shared" si="11"/>
        <v>Old</v>
      </c>
      <c r="G752" t="s">
        <v>55</v>
      </c>
      <c r="H752" s="3">
        <v>7987</v>
      </c>
      <c r="I752" t="s">
        <v>4</v>
      </c>
      <c r="J752">
        <v>3</v>
      </c>
    </row>
    <row r="753" spans="1:10" x14ac:dyDescent="0.25">
      <c r="A753" t="s">
        <v>1096</v>
      </c>
      <c r="B753" t="s">
        <v>88</v>
      </c>
      <c r="C753" t="s">
        <v>1097</v>
      </c>
      <c r="D753" t="s">
        <v>3</v>
      </c>
      <c r="E753">
        <v>30</v>
      </c>
      <c r="F753" t="str">
        <f t="shared" si="11"/>
        <v>Young</v>
      </c>
      <c r="G753" t="s">
        <v>9</v>
      </c>
      <c r="H753" s="3">
        <v>9137</v>
      </c>
      <c r="I753" t="s">
        <v>14</v>
      </c>
      <c r="J753">
        <v>2</v>
      </c>
    </row>
    <row r="754" spans="1:10" x14ac:dyDescent="0.25">
      <c r="A754" t="s">
        <v>523</v>
      </c>
      <c r="B754" t="s">
        <v>324</v>
      </c>
      <c r="C754" t="s">
        <v>1098</v>
      </c>
      <c r="D754" t="s">
        <v>3</v>
      </c>
      <c r="E754">
        <v>51</v>
      </c>
      <c r="F754" t="str">
        <f t="shared" si="11"/>
        <v>Old</v>
      </c>
      <c r="G754" t="s">
        <v>280</v>
      </c>
      <c r="H754" s="3">
        <v>3364</v>
      </c>
      <c r="I754" t="s">
        <v>4</v>
      </c>
      <c r="J754">
        <v>0</v>
      </c>
    </row>
    <row r="755" spans="1:10" x14ac:dyDescent="0.25">
      <c r="A755" t="s">
        <v>307</v>
      </c>
      <c r="B755" t="s">
        <v>177</v>
      </c>
      <c r="C755" t="s">
        <v>1099</v>
      </c>
      <c r="D755" t="s">
        <v>3</v>
      </c>
      <c r="E755">
        <v>50</v>
      </c>
      <c r="F755" t="str">
        <f t="shared" si="11"/>
        <v>Middle Age</v>
      </c>
      <c r="G755" t="s">
        <v>1364</v>
      </c>
      <c r="H755" s="3">
        <v>5999</v>
      </c>
      <c r="I755" t="s">
        <v>4</v>
      </c>
      <c r="J755">
        <v>5</v>
      </c>
    </row>
    <row r="756" spans="1:10" x14ac:dyDescent="0.25">
      <c r="A756" t="s">
        <v>157</v>
      </c>
      <c r="B756" t="s">
        <v>261</v>
      </c>
      <c r="C756" t="s">
        <v>1100</v>
      </c>
      <c r="D756" t="s">
        <v>3</v>
      </c>
      <c r="E756">
        <v>45</v>
      </c>
      <c r="F756" t="str">
        <f t="shared" si="11"/>
        <v>Middle Age</v>
      </c>
      <c r="G756" t="s">
        <v>293</v>
      </c>
      <c r="H756" s="3">
        <v>3334</v>
      </c>
      <c r="I756" t="s">
        <v>4</v>
      </c>
      <c r="J756">
        <v>2</v>
      </c>
    </row>
    <row r="757" spans="1:10" x14ac:dyDescent="0.25">
      <c r="A757" t="s">
        <v>894</v>
      </c>
      <c r="B757" t="s">
        <v>61</v>
      </c>
      <c r="C757" t="s">
        <v>1101</v>
      </c>
      <c r="D757" t="s">
        <v>8</v>
      </c>
      <c r="E757">
        <v>30</v>
      </c>
      <c r="F757" t="str">
        <f t="shared" si="11"/>
        <v>Young</v>
      </c>
      <c r="G757" t="s">
        <v>197</v>
      </c>
      <c r="H757" s="3">
        <v>2894</v>
      </c>
      <c r="I757" t="s">
        <v>14</v>
      </c>
      <c r="J757">
        <v>2</v>
      </c>
    </row>
    <row r="758" spans="1:10" x14ac:dyDescent="0.25">
      <c r="A758" t="s">
        <v>465</v>
      </c>
      <c r="B758" t="s">
        <v>185</v>
      </c>
      <c r="C758" t="s">
        <v>1102</v>
      </c>
      <c r="D758" t="s">
        <v>3</v>
      </c>
      <c r="E758">
        <v>24</v>
      </c>
      <c r="F758" t="str">
        <f t="shared" si="11"/>
        <v>Young</v>
      </c>
      <c r="G758" t="s">
        <v>187</v>
      </c>
      <c r="H758" s="3">
        <v>9109</v>
      </c>
      <c r="I758" t="s">
        <v>4</v>
      </c>
      <c r="J758">
        <v>2</v>
      </c>
    </row>
    <row r="759" spans="1:10" x14ac:dyDescent="0.25">
      <c r="A759" t="s">
        <v>370</v>
      </c>
      <c r="B759" t="s">
        <v>415</v>
      </c>
      <c r="C759" t="s">
        <v>1103</v>
      </c>
      <c r="D759" t="s">
        <v>8</v>
      </c>
      <c r="E759">
        <v>39</v>
      </c>
      <c r="F759" t="str">
        <f t="shared" si="11"/>
        <v>Middle Age</v>
      </c>
      <c r="G759" t="s">
        <v>150</v>
      </c>
      <c r="H759" s="3">
        <v>9103</v>
      </c>
      <c r="I759" t="s">
        <v>4</v>
      </c>
      <c r="J759">
        <v>1</v>
      </c>
    </row>
    <row r="760" spans="1:10" x14ac:dyDescent="0.25">
      <c r="A760" t="s">
        <v>512</v>
      </c>
      <c r="B760" t="s">
        <v>556</v>
      </c>
      <c r="C760" t="s">
        <v>1104</v>
      </c>
      <c r="D760" t="s">
        <v>3</v>
      </c>
      <c r="E760">
        <v>57</v>
      </c>
      <c r="F760" t="str">
        <f t="shared" si="11"/>
        <v>Old</v>
      </c>
      <c r="G760" t="s">
        <v>234</v>
      </c>
      <c r="H760" s="3">
        <v>2218</v>
      </c>
      <c r="I760" t="s">
        <v>4</v>
      </c>
      <c r="J760">
        <v>5</v>
      </c>
    </row>
    <row r="761" spans="1:10" x14ac:dyDescent="0.25">
      <c r="A761" t="s">
        <v>129</v>
      </c>
      <c r="B761" t="s">
        <v>409</v>
      </c>
      <c r="C761" t="s">
        <v>1105</v>
      </c>
      <c r="D761" t="s">
        <v>3</v>
      </c>
      <c r="E761">
        <v>59</v>
      </c>
      <c r="F761" t="str">
        <f t="shared" si="11"/>
        <v>Old</v>
      </c>
      <c r="G761" t="s">
        <v>107</v>
      </c>
      <c r="H761" s="3">
        <v>6699</v>
      </c>
      <c r="I761" t="s">
        <v>4</v>
      </c>
      <c r="J761">
        <v>1</v>
      </c>
    </row>
    <row r="762" spans="1:10" x14ac:dyDescent="0.25">
      <c r="A762" t="s">
        <v>922</v>
      </c>
      <c r="B762" t="s">
        <v>392</v>
      </c>
      <c r="C762" t="s">
        <v>1106</v>
      </c>
      <c r="D762" t="s">
        <v>3</v>
      </c>
      <c r="E762">
        <v>59</v>
      </c>
      <c r="F762" t="str">
        <f t="shared" si="11"/>
        <v>Old</v>
      </c>
      <c r="G762" t="s">
        <v>227</v>
      </c>
      <c r="H762" s="3">
        <v>5102</v>
      </c>
      <c r="I762" t="s">
        <v>14</v>
      </c>
      <c r="J762">
        <v>0</v>
      </c>
    </row>
    <row r="763" spans="1:10" x14ac:dyDescent="0.25">
      <c r="A763" t="s">
        <v>188</v>
      </c>
      <c r="B763" t="s">
        <v>358</v>
      </c>
      <c r="C763" t="s">
        <v>1107</v>
      </c>
      <c r="D763" t="s">
        <v>8</v>
      </c>
      <c r="E763">
        <v>23</v>
      </c>
      <c r="F763" t="str">
        <f t="shared" si="11"/>
        <v>Young</v>
      </c>
      <c r="G763" t="s">
        <v>13</v>
      </c>
      <c r="H763" s="3">
        <v>6186</v>
      </c>
      <c r="I763" t="s">
        <v>4</v>
      </c>
      <c r="J763">
        <v>3</v>
      </c>
    </row>
    <row r="764" spans="1:10" x14ac:dyDescent="0.25">
      <c r="A764" t="s">
        <v>119</v>
      </c>
      <c r="B764" t="s">
        <v>88</v>
      </c>
      <c r="C764" t="s">
        <v>1108</v>
      </c>
      <c r="D764" t="s">
        <v>8</v>
      </c>
      <c r="E764">
        <v>27</v>
      </c>
      <c r="F764" t="str">
        <f t="shared" si="11"/>
        <v>Young</v>
      </c>
      <c r="G764" t="s">
        <v>69</v>
      </c>
      <c r="H764" s="3">
        <v>794</v>
      </c>
      <c r="I764" t="s">
        <v>4</v>
      </c>
      <c r="J764">
        <v>1</v>
      </c>
    </row>
    <row r="765" spans="1:10" x14ac:dyDescent="0.25">
      <c r="A765" t="s">
        <v>240</v>
      </c>
      <c r="B765" t="s">
        <v>317</v>
      </c>
      <c r="C765" t="s">
        <v>1109</v>
      </c>
      <c r="D765" t="s">
        <v>3</v>
      </c>
      <c r="E765">
        <v>30</v>
      </c>
      <c r="F765" t="str">
        <f t="shared" si="11"/>
        <v>Young</v>
      </c>
      <c r="G765" t="s">
        <v>118</v>
      </c>
      <c r="H765" s="3">
        <v>1951</v>
      </c>
      <c r="I765" t="s">
        <v>14</v>
      </c>
      <c r="J765">
        <v>4</v>
      </c>
    </row>
    <row r="766" spans="1:10" x14ac:dyDescent="0.25">
      <c r="A766" t="s">
        <v>928</v>
      </c>
      <c r="B766" t="s">
        <v>301</v>
      </c>
      <c r="C766" t="s">
        <v>1110</v>
      </c>
      <c r="D766" t="s">
        <v>8</v>
      </c>
      <c r="E766">
        <v>19</v>
      </c>
      <c r="F766" t="str">
        <f t="shared" si="11"/>
        <v>Young</v>
      </c>
      <c r="G766" t="s">
        <v>197</v>
      </c>
      <c r="H766" s="3">
        <v>9549</v>
      </c>
      <c r="I766" t="s">
        <v>14</v>
      </c>
      <c r="J766">
        <v>4</v>
      </c>
    </row>
    <row r="767" spans="1:10" x14ac:dyDescent="0.25">
      <c r="A767" t="s">
        <v>257</v>
      </c>
      <c r="B767" t="s">
        <v>65</v>
      </c>
      <c r="C767" t="s">
        <v>1111</v>
      </c>
      <c r="D767" t="s">
        <v>3</v>
      </c>
      <c r="E767">
        <v>45</v>
      </c>
      <c r="F767" t="str">
        <f t="shared" si="11"/>
        <v>Middle Age</v>
      </c>
      <c r="G767" t="s">
        <v>1364</v>
      </c>
      <c r="H767" s="3">
        <v>5343</v>
      </c>
      <c r="I767" t="s">
        <v>4</v>
      </c>
      <c r="J767">
        <v>5</v>
      </c>
    </row>
    <row r="768" spans="1:10" x14ac:dyDescent="0.25">
      <c r="A768" t="s">
        <v>314</v>
      </c>
      <c r="B768" t="s">
        <v>392</v>
      </c>
      <c r="C768" t="s">
        <v>1112</v>
      </c>
      <c r="D768" t="s">
        <v>8</v>
      </c>
      <c r="E768">
        <v>22</v>
      </c>
      <c r="F768" t="str">
        <f t="shared" si="11"/>
        <v>Young</v>
      </c>
      <c r="G768" t="s">
        <v>266</v>
      </c>
      <c r="H768" s="3">
        <v>6035</v>
      </c>
      <c r="I768" t="s">
        <v>14</v>
      </c>
      <c r="J768">
        <v>2</v>
      </c>
    </row>
    <row r="769" spans="1:10" x14ac:dyDescent="0.25">
      <c r="A769" t="s">
        <v>288</v>
      </c>
      <c r="B769" t="s">
        <v>459</v>
      </c>
      <c r="C769" t="s">
        <v>1113</v>
      </c>
      <c r="D769" t="s">
        <v>8</v>
      </c>
      <c r="E769">
        <v>18</v>
      </c>
      <c r="F769" t="str">
        <f t="shared" si="11"/>
        <v>Young</v>
      </c>
      <c r="G769" t="s">
        <v>128</v>
      </c>
      <c r="H769" s="3">
        <v>6654</v>
      </c>
      <c r="I769" t="s">
        <v>4</v>
      </c>
      <c r="J769">
        <v>0</v>
      </c>
    </row>
    <row r="770" spans="1:10" x14ac:dyDescent="0.25">
      <c r="A770" t="s">
        <v>642</v>
      </c>
      <c r="B770" t="s">
        <v>174</v>
      </c>
      <c r="C770" t="s">
        <v>1114</v>
      </c>
      <c r="D770" t="s">
        <v>3</v>
      </c>
      <c r="E770">
        <v>39</v>
      </c>
      <c r="F770" t="str">
        <f t="shared" si="11"/>
        <v>Middle Age</v>
      </c>
      <c r="G770" t="s">
        <v>217</v>
      </c>
      <c r="H770" s="3">
        <v>918</v>
      </c>
      <c r="I770" t="s">
        <v>4</v>
      </c>
      <c r="J770">
        <v>1</v>
      </c>
    </row>
    <row r="771" spans="1:10" x14ac:dyDescent="0.25">
      <c r="A771" t="s">
        <v>312</v>
      </c>
      <c r="B771" t="s">
        <v>371</v>
      </c>
      <c r="C771" t="s">
        <v>1115</v>
      </c>
      <c r="D771" t="s">
        <v>3</v>
      </c>
      <c r="E771">
        <v>36</v>
      </c>
      <c r="F771" t="str">
        <f t="shared" ref="F771:F834" si="12">IF(E771&gt;50,"Old",IF(E771&gt;=31,"Middle Age",IF(E771&lt;31,"Young","Invalid")))</f>
        <v>Middle Age</v>
      </c>
      <c r="G771" t="s">
        <v>51</v>
      </c>
      <c r="H771" s="3">
        <v>7866</v>
      </c>
      <c r="I771" t="s">
        <v>4</v>
      </c>
      <c r="J771">
        <v>4</v>
      </c>
    </row>
    <row r="772" spans="1:10" x14ac:dyDescent="0.25">
      <c r="A772" t="s">
        <v>370</v>
      </c>
      <c r="B772" t="s">
        <v>27</v>
      </c>
      <c r="C772" t="s">
        <v>1116</v>
      </c>
      <c r="D772" t="s">
        <v>8</v>
      </c>
      <c r="E772">
        <v>26</v>
      </c>
      <c r="F772" t="str">
        <f t="shared" si="12"/>
        <v>Young</v>
      </c>
      <c r="G772" t="s">
        <v>76</v>
      </c>
      <c r="H772" s="3">
        <v>5200</v>
      </c>
      <c r="I772" t="s">
        <v>4</v>
      </c>
      <c r="J772">
        <v>3</v>
      </c>
    </row>
    <row r="773" spans="1:10" x14ac:dyDescent="0.25">
      <c r="A773" t="s">
        <v>214</v>
      </c>
      <c r="B773" t="s">
        <v>392</v>
      </c>
      <c r="C773" t="s">
        <v>1117</v>
      </c>
      <c r="D773" t="s">
        <v>3</v>
      </c>
      <c r="E773">
        <v>35</v>
      </c>
      <c r="F773" t="str">
        <f t="shared" si="12"/>
        <v>Middle Age</v>
      </c>
      <c r="G773" t="s">
        <v>47</v>
      </c>
      <c r="H773" s="3">
        <v>7033</v>
      </c>
      <c r="I773" t="s">
        <v>14</v>
      </c>
      <c r="J773">
        <v>2</v>
      </c>
    </row>
    <row r="774" spans="1:10" x14ac:dyDescent="0.25">
      <c r="A774" t="s">
        <v>731</v>
      </c>
      <c r="B774" t="s">
        <v>513</v>
      </c>
      <c r="C774" t="s">
        <v>1118</v>
      </c>
      <c r="D774" t="s">
        <v>8</v>
      </c>
      <c r="E774">
        <v>44</v>
      </c>
      <c r="F774" t="str">
        <f t="shared" si="12"/>
        <v>Middle Age</v>
      </c>
      <c r="G774" t="s">
        <v>29</v>
      </c>
      <c r="H774" s="3">
        <v>6370</v>
      </c>
      <c r="I774" t="s">
        <v>14</v>
      </c>
      <c r="J774">
        <v>2</v>
      </c>
    </row>
    <row r="775" spans="1:10" x14ac:dyDescent="0.25">
      <c r="A775" t="s">
        <v>310</v>
      </c>
      <c r="B775" t="s">
        <v>361</v>
      </c>
      <c r="C775" t="s">
        <v>1119</v>
      </c>
      <c r="D775" t="s">
        <v>8</v>
      </c>
      <c r="E775">
        <v>30</v>
      </c>
      <c r="F775" t="str">
        <f t="shared" si="12"/>
        <v>Young</v>
      </c>
      <c r="G775" t="s">
        <v>118</v>
      </c>
      <c r="H775" s="3">
        <v>3816</v>
      </c>
      <c r="I775" t="s">
        <v>4</v>
      </c>
      <c r="J775">
        <v>3</v>
      </c>
    </row>
    <row r="776" spans="1:10" x14ac:dyDescent="0.25">
      <c r="A776" t="s">
        <v>568</v>
      </c>
      <c r="B776" t="s">
        <v>122</v>
      </c>
      <c r="C776" t="s">
        <v>1120</v>
      </c>
      <c r="D776" t="s">
        <v>3</v>
      </c>
      <c r="E776">
        <v>26</v>
      </c>
      <c r="F776" t="str">
        <f t="shared" si="12"/>
        <v>Young</v>
      </c>
      <c r="G776" t="s">
        <v>114</v>
      </c>
      <c r="H776" s="3">
        <v>1258</v>
      </c>
      <c r="I776" t="s">
        <v>14</v>
      </c>
      <c r="J776">
        <v>3</v>
      </c>
    </row>
    <row r="777" spans="1:10" x14ac:dyDescent="0.25">
      <c r="A777" t="s">
        <v>525</v>
      </c>
      <c r="B777" t="s">
        <v>167</v>
      </c>
      <c r="C777" t="s">
        <v>1121</v>
      </c>
      <c r="D777" t="s">
        <v>8</v>
      </c>
      <c r="E777">
        <v>36</v>
      </c>
      <c r="F777" t="str">
        <f t="shared" si="12"/>
        <v>Middle Age</v>
      </c>
      <c r="G777" t="s">
        <v>107</v>
      </c>
      <c r="H777" s="3">
        <v>8461</v>
      </c>
      <c r="I777" t="s">
        <v>4</v>
      </c>
      <c r="J777">
        <v>5</v>
      </c>
    </row>
    <row r="778" spans="1:10" x14ac:dyDescent="0.25">
      <c r="A778" t="s">
        <v>515</v>
      </c>
      <c r="B778" t="s">
        <v>114</v>
      </c>
      <c r="C778" t="s">
        <v>1122</v>
      </c>
      <c r="D778" t="s">
        <v>3</v>
      </c>
      <c r="E778">
        <v>55</v>
      </c>
      <c r="F778" t="str">
        <f t="shared" si="12"/>
        <v>Old</v>
      </c>
      <c r="G778" t="s">
        <v>217</v>
      </c>
      <c r="H778" s="3">
        <v>6182</v>
      </c>
      <c r="I778" t="s">
        <v>4</v>
      </c>
      <c r="J778">
        <v>1</v>
      </c>
    </row>
    <row r="779" spans="1:10" x14ac:dyDescent="0.25">
      <c r="A779" t="s">
        <v>400</v>
      </c>
      <c r="B779" t="s">
        <v>201</v>
      </c>
      <c r="C779" t="s">
        <v>1123</v>
      </c>
      <c r="D779" t="s">
        <v>3</v>
      </c>
      <c r="E779">
        <v>55</v>
      </c>
      <c r="F779" t="str">
        <f t="shared" si="12"/>
        <v>Old</v>
      </c>
      <c r="G779" t="s">
        <v>382</v>
      </c>
      <c r="H779" s="3">
        <v>7993</v>
      </c>
      <c r="I779" t="s">
        <v>14</v>
      </c>
      <c r="J779">
        <v>1</v>
      </c>
    </row>
    <row r="780" spans="1:10" x14ac:dyDescent="0.25">
      <c r="A780" t="s">
        <v>1067</v>
      </c>
      <c r="B780" t="s">
        <v>655</v>
      </c>
      <c r="C780" t="s">
        <v>1124</v>
      </c>
      <c r="D780" t="s">
        <v>3</v>
      </c>
      <c r="E780">
        <v>31</v>
      </c>
      <c r="F780" t="str">
        <f t="shared" si="12"/>
        <v>Middle Age</v>
      </c>
      <c r="G780" t="s">
        <v>51</v>
      </c>
      <c r="H780" s="3">
        <v>2151</v>
      </c>
      <c r="I780" t="s">
        <v>4</v>
      </c>
      <c r="J780">
        <v>1</v>
      </c>
    </row>
    <row r="781" spans="1:10" x14ac:dyDescent="0.25">
      <c r="A781" t="s">
        <v>330</v>
      </c>
      <c r="B781" t="s">
        <v>167</v>
      </c>
      <c r="C781" t="s">
        <v>1125</v>
      </c>
      <c r="D781" t="s">
        <v>8</v>
      </c>
      <c r="E781">
        <v>35</v>
      </c>
      <c r="F781" t="str">
        <f t="shared" si="12"/>
        <v>Middle Age</v>
      </c>
      <c r="G781" t="s">
        <v>231</v>
      </c>
      <c r="H781" s="3">
        <v>3106</v>
      </c>
      <c r="I781" t="s">
        <v>14</v>
      </c>
      <c r="J781">
        <v>4</v>
      </c>
    </row>
    <row r="782" spans="1:10" x14ac:dyDescent="0.25">
      <c r="A782" t="s">
        <v>155</v>
      </c>
      <c r="B782" t="s">
        <v>264</v>
      </c>
      <c r="C782" t="s">
        <v>1126</v>
      </c>
      <c r="D782" t="s">
        <v>3</v>
      </c>
      <c r="E782">
        <v>39</v>
      </c>
      <c r="F782" t="str">
        <f t="shared" si="12"/>
        <v>Middle Age</v>
      </c>
      <c r="G782" t="s">
        <v>172</v>
      </c>
      <c r="H782" s="3">
        <v>5222</v>
      </c>
      <c r="I782" t="s">
        <v>14</v>
      </c>
      <c r="J782">
        <v>1</v>
      </c>
    </row>
    <row r="783" spans="1:10" x14ac:dyDescent="0.25">
      <c r="A783" t="s">
        <v>291</v>
      </c>
      <c r="B783" t="s">
        <v>552</v>
      </c>
      <c r="C783" t="s">
        <v>1127</v>
      </c>
      <c r="D783" t="s">
        <v>3</v>
      </c>
      <c r="E783">
        <v>42</v>
      </c>
      <c r="F783" t="str">
        <f t="shared" si="12"/>
        <v>Middle Age</v>
      </c>
      <c r="G783" t="s">
        <v>9</v>
      </c>
      <c r="H783" s="3">
        <v>966</v>
      </c>
      <c r="I783" t="s">
        <v>4</v>
      </c>
      <c r="J783">
        <v>4</v>
      </c>
    </row>
    <row r="784" spans="1:10" x14ac:dyDescent="0.25">
      <c r="A784" t="s">
        <v>40</v>
      </c>
      <c r="B784" t="s">
        <v>358</v>
      </c>
      <c r="C784" t="s">
        <v>1128</v>
      </c>
      <c r="D784" t="s">
        <v>8</v>
      </c>
      <c r="E784">
        <v>59</v>
      </c>
      <c r="F784" t="str">
        <f t="shared" si="12"/>
        <v>Old</v>
      </c>
      <c r="G784" t="s">
        <v>59</v>
      </c>
      <c r="H784" s="3">
        <v>4650</v>
      </c>
      <c r="I784" t="s">
        <v>4</v>
      </c>
      <c r="J784">
        <v>4</v>
      </c>
    </row>
    <row r="785" spans="1:10" x14ac:dyDescent="0.25">
      <c r="A785" t="s">
        <v>240</v>
      </c>
      <c r="B785" t="s">
        <v>371</v>
      </c>
      <c r="C785" t="s">
        <v>1129</v>
      </c>
      <c r="D785" t="s">
        <v>3</v>
      </c>
      <c r="E785">
        <v>35</v>
      </c>
      <c r="F785" t="str">
        <f t="shared" si="12"/>
        <v>Middle Age</v>
      </c>
      <c r="G785" t="s">
        <v>29</v>
      </c>
      <c r="H785" s="3">
        <v>3358</v>
      </c>
      <c r="I785" t="s">
        <v>14</v>
      </c>
      <c r="J785">
        <v>4</v>
      </c>
    </row>
    <row r="786" spans="1:10" x14ac:dyDescent="0.25">
      <c r="A786" t="s">
        <v>480</v>
      </c>
      <c r="B786" t="s">
        <v>116</v>
      </c>
      <c r="C786" t="s">
        <v>1130</v>
      </c>
      <c r="D786" t="s">
        <v>8</v>
      </c>
      <c r="E786">
        <v>57</v>
      </c>
      <c r="F786" t="str">
        <f t="shared" si="12"/>
        <v>Old</v>
      </c>
      <c r="G786" t="s">
        <v>303</v>
      </c>
      <c r="H786" s="3">
        <v>7831</v>
      </c>
      <c r="I786" t="s">
        <v>4</v>
      </c>
      <c r="J786">
        <v>3</v>
      </c>
    </row>
    <row r="787" spans="1:10" x14ac:dyDescent="0.25">
      <c r="A787" t="s">
        <v>400</v>
      </c>
      <c r="B787" t="s">
        <v>11</v>
      </c>
      <c r="C787" t="s">
        <v>1131</v>
      </c>
      <c r="D787" t="s">
        <v>3</v>
      </c>
      <c r="E787">
        <v>32</v>
      </c>
      <c r="F787" t="str">
        <f t="shared" si="12"/>
        <v>Middle Age</v>
      </c>
      <c r="G787" t="s">
        <v>29</v>
      </c>
      <c r="H787" s="3">
        <v>7586</v>
      </c>
      <c r="I787" t="s">
        <v>14</v>
      </c>
      <c r="J787">
        <v>5</v>
      </c>
    </row>
    <row r="788" spans="1:10" x14ac:dyDescent="0.25">
      <c r="A788" t="s">
        <v>456</v>
      </c>
      <c r="B788" t="s">
        <v>6</v>
      </c>
      <c r="C788" t="s">
        <v>1132</v>
      </c>
      <c r="D788" t="s">
        <v>3</v>
      </c>
      <c r="E788">
        <v>51</v>
      </c>
      <c r="F788" t="str">
        <f t="shared" si="12"/>
        <v>Old</v>
      </c>
      <c r="G788" t="s">
        <v>172</v>
      </c>
      <c r="H788" s="3">
        <v>7352</v>
      </c>
      <c r="I788" t="s">
        <v>4</v>
      </c>
      <c r="J788">
        <v>5</v>
      </c>
    </row>
    <row r="789" spans="1:10" x14ac:dyDescent="0.25">
      <c r="A789" t="s">
        <v>10</v>
      </c>
      <c r="B789" t="s">
        <v>650</v>
      </c>
      <c r="C789" t="s">
        <v>1133</v>
      </c>
      <c r="D789" t="s">
        <v>3</v>
      </c>
      <c r="E789">
        <v>55</v>
      </c>
      <c r="F789" t="str">
        <f t="shared" si="12"/>
        <v>Old</v>
      </c>
      <c r="G789" t="s">
        <v>197</v>
      </c>
      <c r="H789" s="3">
        <v>4418</v>
      </c>
      <c r="I789" t="s">
        <v>14</v>
      </c>
      <c r="J789">
        <v>3</v>
      </c>
    </row>
    <row r="790" spans="1:10" x14ac:dyDescent="0.25">
      <c r="A790" t="s">
        <v>155</v>
      </c>
      <c r="B790" t="s">
        <v>580</v>
      </c>
      <c r="C790" t="s">
        <v>1134</v>
      </c>
      <c r="D790" t="s">
        <v>3</v>
      </c>
      <c r="E790">
        <v>59</v>
      </c>
      <c r="F790" t="str">
        <f t="shared" si="12"/>
        <v>Old</v>
      </c>
      <c r="G790" t="s">
        <v>270</v>
      </c>
      <c r="H790" s="3">
        <v>3181</v>
      </c>
      <c r="I790" t="s">
        <v>4</v>
      </c>
      <c r="J790">
        <v>3</v>
      </c>
    </row>
    <row r="791" spans="1:10" x14ac:dyDescent="0.25">
      <c r="A791" t="s">
        <v>192</v>
      </c>
      <c r="B791" t="s">
        <v>420</v>
      </c>
      <c r="C791" t="s">
        <v>1135</v>
      </c>
      <c r="D791" t="s">
        <v>8</v>
      </c>
      <c r="E791">
        <v>19</v>
      </c>
      <c r="F791" t="str">
        <f t="shared" si="12"/>
        <v>Young</v>
      </c>
      <c r="G791" t="s">
        <v>197</v>
      </c>
      <c r="H791" s="3">
        <v>7582</v>
      </c>
      <c r="I791" t="s">
        <v>4</v>
      </c>
      <c r="J791">
        <v>0</v>
      </c>
    </row>
    <row r="792" spans="1:10" x14ac:dyDescent="0.25">
      <c r="A792" t="s">
        <v>5</v>
      </c>
      <c r="B792" t="s">
        <v>409</v>
      </c>
      <c r="C792" t="s">
        <v>1136</v>
      </c>
      <c r="D792" t="s">
        <v>8</v>
      </c>
      <c r="E792">
        <v>31</v>
      </c>
      <c r="F792" t="str">
        <f t="shared" si="12"/>
        <v>Middle Age</v>
      </c>
      <c r="G792" t="s">
        <v>103</v>
      </c>
      <c r="H792" s="3">
        <v>5045</v>
      </c>
      <c r="I792" t="s">
        <v>14</v>
      </c>
      <c r="J792">
        <v>0</v>
      </c>
    </row>
    <row r="793" spans="1:10" x14ac:dyDescent="0.25">
      <c r="A793" t="s">
        <v>108</v>
      </c>
      <c r="B793" t="s">
        <v>366</v>
      </c>
      <c r="C793" t="s">
        <v>1137</v>
      </c>
      <c r="D793" t="s">
        <v>3</v>
      </c>
      <c r="E793">
        <v>18</v>
      </c>
      <c r="F793" t="str">
        <f t="shared" si="12"/>
        <v>Young</v>
      </c>
      <c r="G793" t="s">
        <v>266</v>
      </c>
      <c r="H793" s="3">
        <v>815</v>
      </c>
      <c r="I793" t="s">
        <v>4</v>
      </c>
      <c r="J793">
        <v>2</v>
      </c>
    </row>
    <row r="794" spans="1:10" x14ac:dyDescent="0.25">
      <c r="A794" t="s">
        <v>26</v>
      </c>
      <c r="B794" t="s">
        <v>317</v>
      </c>
      <c r="C794" t="s">
        <v>1138</v>
      </c>
      <c r="D794" t="s">
        <v>8</v>
      </c>
      <c r="E794">
        <v>46</v>
      </c>
      <c r="F794" t="str">
        <f t="shared" si="12"/>
        <v>Middle Age</v>
      </c>
      <c r="G794" t="s">
        <v>234</v>
      </c>
      <c r="H794" s="3">
        <v>3309</v>
      </c>
      <c r="I794" t="s">
        <v>4</v>
      </c>
      <c r="J794">
        <v>0</v>
      </c>
    </row>
    <row r="795" spans="1:10" x14ac:dyDescent="0.25">
      <c r="A795" t="s">
        <v>288</v>
      </c>
      <c r="B795" t="s">
        <v>604</v>
      </c>
      <c r="C795" t="s">
        <v>1139</v>
      </c>
      <c r="D795" t="s">
        <v>8</v>
      </c>
      <c r="E795">
        <v>58</v>
      </c>
      <c r="F795" t="str">
        <f t="shared" si="12"/>
        <v>Old</v>
      </c>
      <c r="G795" t="s">
        <v>293</v>
      </c>
      <c r="H795" s="3">
        <v>4327</v>
      </c>
      <c r="I795" t="s">
        <v>14</v>
      </c>
      <c r="J795">
        <v>4</v>
      </c>
    </row>
    <row r="796" spans="1:10" x14ac:dyDescent="0.25">
      <c r="A796" t="s">
        <v>111</v>
      </c>
      <c r="B796" t="s">
        <v>112</v>
      </c>
      <c r="C796" t="s">
        <v>113</v>
      </c>
      <c r="D796" t="s">
        <v>8</v>
      </c>
      <c r="E796">
        <v>40</v>
      </c>
      <c r="F796" t="str">
        <f t="shared" si="12"/>
        <v>Middle Age</v>
      </c>
      <c r="G796" t="s">
        <v>59</v>
      </c>
      <c r="H796" s="3">
        <v>9849</v>
      </c>
      <c r="I796" t="s">
        <v>4</v>
      </c>
      <c r="J796">
        <v>2</v>
      </c>
    </row>
    <row r="797" spans="1:10" x14ac:dyDescent="0.25">
      <c r="A797" t="s">
        <v>229</v>
      </c>
      <c r="B797" t="s">
        <v>580</v>
      </c>
      <c r="C797" t="s">
        <v>1140</v>
      </c>
      <c r="D797" t="s">
        <v>3</v>
      </c>
      <c r="E797">
        <v>55</v>
      </c>
      <c r="F797" t="str">
        <f t="shared" si="12"/>
        <v>Old</v>
      </c>
      <c r="G797" t="s">
        <v>160</v>
      </c>
      <c r="H797" s="3">
        <v>739</v>
      </c>
      <c r="I797" t="s">
        <v>4</v>
      </c>
      <c r="J797">
        <v>2</v>
      </c>
    </row>
    <row r="798" spans="1:10" x14ac:dyDescent="0.25">
      <c r="A798" t="s">
        <v>348</v>
      </c>
      <c r="B798" t="s">
        <v>116</v>
      </c>
      <c r="C798" t="s">
        <v>1141</v>
      </c>
      <c r="D798" t="s">
        <v>3</v>
      </c>
      <c r="E798">
        <v>43</v>
      </c>
      <c r="F798" t="str">
        <f t="shared" si="12"/>
        <v>Middle Age</v>
      </c>
      <c r="G798" t="s">
        <v>134</v>
      </c>
      <c r="H798" s="3">
        <v>9191</v>
      </c>
      <c r="I798" t="s">
        <v>4</v>
      </c>
      <c r="J798">
        <v>1</v>
      </c>
    </row>
    <row r="799" spans="1:10" x14ac:dyDescent="0.25">
      <c r="A799" t="s">
        <v>282</v>
      </c>
      <c r="B799" t="s">
        <v>268</v>
      </c>
      <c r="C799" t="s">
        <v>1142</v>
      </c>
      <c r="D799" t="s">
        <v>8</v>
      </c>
      <c r="E799">
        <v>22</v>
      </c>
      <c r="F799" t="str">
        <f t="shared" si="12"/>
        <v>Young</v>
      </c>
      <c r="G799" t="s">
        <v>248</v>
      </c>
      <c r="H799" s="3">
        <v>6154</v>
      </c>
      <c r="I799" t="s">
        <v>14</v>
      </c>
      <c r="J799">
        <v>5</v>
      </c>
    </row>
    <row r="800" spans="1:10" x14ac:dyDescent="0.25">
      <c r="A800" t="s">
        <v>97</v>
      </c>
      <c r="B800" t="s">
        <v>185</v>
      </c>
      <c r="C800" t="s">
        <v>1143</v>
      </c>
      <c r="D800" t="s">
        <v>8</v>
      </c>
      <c r="E800">
        <v>59</v>
      </c>
      <c r="F800" t="str">
        <f t="shared" si="12"/>
        <v>Old</v>
      </c>
      <c r="G800" t="s">
        <v>107</v>
      </c>
      <c r="H800" s="3">
        <v>4451</v>
      </c>
      <c r="I800" t="s">
        <v>4</v>
      </c>
      <c r="J800">
        <v>3</v>
      </c>
    </row>
    <row r="801" spans="1:10" x14ac:dyDescent="0.25">
      <c r="A801" t="s">
        <v>473</v>
      </c>
      <c r="B801" t="s">
        <v>49</v>
      </c>
      <c r="C801" t="s">
        <v>1144</v>
      </c>
      <c r="D801" t="s">
        <v>8</v>
      </c>
      <c r="E801">
        <v>33</v>
      </c>
      <c r="F801" t="str">
        <f t="shared" si="12"/>
        <v>Middle Age</v>
      </c>
      <c r="G801" t="s">
        <v>124</v>
      </c>
      <c r="H801" s="3">
        <v>9181</v>
      </c>
      <c r="I801" t="s">
        <v>4</v>
      </c>
      <c r="J801">
        <v>3</v>
      </c>
    </row>
    <row r="802" spans="1:10" x14ac:dyDescent="0.25">
      <c r="A802" t="s">
        <v>932</v>
      </c>
      <c r="B802" t="s">
        <v>317</v>
      </c>
      <c r="C802" t="s">
        <v>1145</v>
      </c>
      <c r="D802" t="s">
        <v>8</v>
      </c>
      <c r="E802">
        <v>52</v>
      </c>
      <c r="F802" t="str">
        <f t="shared" si="12"/>
        <v>Old</v>
      </c>
      <c r="G802" t="s">
        <v>63</v>
      </c>
      <c r="H802" s="3">
        <v>7793</v>
      </c>
      <c r="I802" t="s">
        <v>14</v>
      </c>
      <c r="J802">
        <v>0</v>
      </c>
    </row>
    <row r="803" spans="1:10" x14ac:dyDescent="0.25">
      <c r="A803" t="s">
        <v>188</v>
      </c>
      <c r="B803" t="s">
        <v>167</v>
      </c>
      <c r="C803" t="s">
        <v>1146</v>
      </c>
      <c r="D803" t="s">
        <v>8</v>
      </c>
      <c r="E803">
        <v>27</v>
      </c>
      <c r="F803" t="str">
        <f t="shared" si="12"/>
        <v>Young</v>
      </c>
      <c r="G803" t="s">
        <v>86</v>
      </c>
      <c r="H803" s="3">
        <v>644</v>
      </c>
      <c r="I803" t="s">
        <v>4</v>
      </c>
      <c r="J803">
        <v>5</v>
      </c>
    </row>
    <row r="804" spans="1:10" x14ac:dyDescent="0.25">
      <c r="A804" t="s">
        <v>639</v>
      </c>
      <c r="B804" t="s">
        <v>61</v>
      </c>
      <c r="C804" t="s">
        <v>1147</v>
      </c>
      <c r="D804" t="s">
        <v>8</v>
      </c>
      <c r="E804">
        <v>48</v>
      </c>
      <c r="F804" t="str">
        <f t="shared" si="12"/>
        <v>Middle Age</v>
      </c>
      <c r="G804" t="s">
        <v>182</v>
      </c>
      <c r="H804" s="3">
        <v>9269</v>
      </c>
      <c r="I804" t="s">
        <v>4</v>
      </c>
      <c r="J804">
        <v>4</v>
      </c>
    </row>
    <row r="805" spans="1:10" x14ac:dyDescent="0.25">
      <c r="A805" t="s">
        <v>229</v>
      </c>
      <c r="B805" t="s">
        <v>78</v>
      </c>
      <c r="C805" t="s">
        <v>1148</v>
      </c>
      <c r="D805" t="s">
        <v>3</v>
      </c>
      <c r="E805">
        <v>24</v>
      </c>
      <c r="F805" t="str">
        <f t="shared" si="12"/>
        <v>Young</v>
      </c>
      <c r="G805" t="s">
        <v>197</v>
      </c>
      <c r="H805" s="3">
        <v>4005</v>
      </c>
      <c r="I805" t="s">
        <v>14</v>
      </c>
      <c r="J805">
        <v>3</v>
      </c>
    </row>
    <row r="806" spans="1:10" x14ac:dyDescent="0.25">
      <c r="A806" t="s">
        <v>192</v>
      </c>
      <c r="B806" t="s">
        <v>334</v>
      </c>
      <c r="C806" t="s">
        <v>1149</v>
      </c>
      <c r="D806" t="s">
        <v>8</v>
      </c>
      <c r="E806">
        <v>52</v>
      </c>
      <c r="F806" t="str">
        <f t="shared" si="12"/>
        <v>Old</v>
      </c>
      <c r="G806" t="s">
        <v>118</v>
      </c>
      <c r="H806" s="3">
        <v>9343</v>
      </c>
      <c r="I806" t="s">
        <v>14</v>
      </c>
      <c r="J806">
        <v>1</v>
      </c>
    </row>
    <row r="807" spans="1:10" x14ac:dyDescent="0.25">
      <c r="A807" t="s">
        <v>400</v>
      </c>
      <c r="B807" t="s">
        <v>84</v>
      </c>
      <c r="C807" t="s">
        <v>1150</v>
      </c>
      <c r="D807" t="s">
        <v>3</v>
      </c>
      <c r="E807">
        <v>21</v>
      </c>
      <c r="F807" t="str">
        <f t="shared" si="12"/>
        <v>Young</v>
      </c>
      <c r="G807" t="s">
        <v>211</v>
      </c>
      <c r="H807" s="3">
        <v>6971</v>
      </c>
      <c r="I807" t="s">
        <v>14</v>
      </c>
      <c r="J807">
        <v>3</v>
      </c>
    </row>
    <row r="808" spans="1:10" x14ac:dyDescent="0.25">
      <c r="A808" t="s">
        <v>254</v>
      </c>
      <c r="B808" t="s">
        <v>371</v>
      </c>
      <c r="C808" t="s">
        <v>1151</v>
      </c>
      <c r="D808" t="s">
        <v>3</v>
      </c>
      <c r="E808">
        <v>51</v>
      </c>
      <c r="F808" t="str">
        <f t="shared" si="12"/>
        <v>Old</v>
      </c>
      <c r="G808" t="s">
        <v>124</v>
      </c>
      <c r="H808" s="3">
        <v>3573</v>
      </c>
      <c r="I808" t="s">
        <v>14</v>
      </c>
      <c r="J808">
        <v>0</v>
      </c>
    </row>
    <row r="809" spans="1:10" x14ac:dyDescent="0.25">
      <c r="A809" t="s">
        <v>108</v>
      </c>
      <c r="B809" t="s">
        <v>155</v>
      </c>
      <c r="C809" t="s">
        <v>1152</v>
      </c>
      <c r="D809" t="s">
        <v>3</v>
      </c>
      <c r="E809">
        <v>56</v>
      </c>
      <c r="F809" t="str">
        <f t="shared" si="12"/>
        <v>Old</v>
      </c>
      <c r="G809" t="s">
        <v>194</v>
      </c>
      <c r="H809" s="3">
        <v>6234</v>
      </c>
      <c r="I809" t="s">
        <v>4</v>
      </c>
      <c r="J809">
        <v>1</v>
      </c>
    </row>
    <row r="810" spans="1:10" x14ac:dyDescent="0.25">
      <c r="A810" t="s">
        <v>319</v>
      </c>
      <c r="B810" t="s">
        <v>162</v>
      </c>
      <c r="C810" t="s">
        <v>1153</v>
      </c>
      <c r="D810" t="s">
        <v>3</v>
      </c>
      <c r="E810">
        <v>45</v>
      </c>
      <c r="F810" t="str">
        <f t="shared" si="12"/>
        <v>Middle Age</v>
      </c>
      <c r="G810" t="s">
        <v>187</v>
      </c>
      <c r="H810" s="3">
        <v>6702</v>
      </c>
      <c r="I810" t="s">
        <v>4</v>
      </c>
      <c r="J810">
        <v>4</v>
      </c>
    </row>
    <row r="811" spans="1:10" x14ac:dyDescent="0.25">
      <c r="A811" t="s">
        <v>350</v>
      </c>
      <c r="B811" t="s">
        <v>6</v>
      </c>
      <c r="C811" t="s">
        <v>1154</v>
      </c>
      <c r="D811" t="s">
        <v>8</v>
      </c>
      <c r="E811">
        <v>31</v>
      </c>
      <c r="F811" t="str">
        <f t="shared" si="12"/>
        <v>Middle Age</v>
      </c>
      <c r="G811" t="s">
        <v>290</v>
      </c>
      <c r="H811" s="3">
        <v>745</v>
      </c>
      <c r="I811" t="s">
        <v>14</v>
      </c>
      <c r="J811">
        <v>3</v>
      </c>
    </row>
    <row r="812" spans="1:10" x14ac:dyDescent="0.25">
      <c r="A812" t="s">
        <v>339</v>
      </c>
      <c r="B812" t="s">
        <v>249</v>
      </c>
      <c r="C812" t="s">
        <v>1155</v>
      </c>
      <c r="D812" t="s">
        <v>8</v>
      </c>
      <c r="E812">
        <v>53</v>
      </c>
      <c r="F812" t="str">
        <f t="shared" si="12"/>
        <v>Old</v>
      </c>
      <c r="G812" t="s">
        <v>165</v>
      </c>
      <c r="H812" s="3">
        <v>5941</v>
      </c>
      <c r="I812" t="s">
        <v>14</v>
      </c>
      <c r="J812">
        <v>1</v>
      </c>
    </row>
    <row r="813" spans="1:10" x14ac:dyDescent="0.25">
      <c r="A813" t="s">
        <v>560</v>
      </c>
      <c r="B813" t="s">
        <v>41</v>
      </c>
      <c r="C813" t="s">
        <v>1156</v>
      </c>
      <c r="D813" t="s">
        <v>8</v>
      </c>
      <c r="E813">
        <v>21</v>
      </c>
      <c r="F813" t="str">
        <f t="shared" si="12"/>
        <v>Young</v>
      </c>
      <c r="G813" t="s">
        <v>211</v>
      </c>
      <c r="H813" s="3">
        <v>6282</v>
      </c>
      <c r="I813" t="s">
        <v>4</v>
      </c>
      <c r="J813">
        <v>1</v>
      </c>
    </row>
    <row r="814" spans="1:10" x14ac:dyDescent="0.25">
      <c r="A814" t="s">
        <v>922</v>
      </c>
      <c r="B814" t="s">
        <v>152</v>
      </c>
      <c r="C814" t="s">
        <v>1157</v>
      </c>
      <c r="D814" t="s">
        <v>3</v>
      </c>
      <c r="E814">
        <v>23</v>
      </c>
      <c r="F814" t="str">
        <f t="shared" si="12"/>
        <v>Young</v>
      </c>
      <c r="G814" t="s">
        <v>21</v>
      </c>
      <c r="H814" s="3">
        <v>6310</v>
      </c>
      <c r="I814" t="s">
        <v>4</v>
      </c>
      <c r="J814">
        <v>4</v>
      </c>
    </row>
    <row r="815" spans="1:10" x14ac:dyDescent="0.25">
      <c r="A815" t="s">
        <v>692</v>
      </c>
      <c r="B815" t="s">
        <v>155</v>
      </c>
      <c r="C815" t="s">
        <v>1158</v>
      </c>
      <c r="D815" t="s">
        <v>3</v>
      </c>
      <c r="E815">
        <v>55</v>
      </c>
      <c r="F815" t="str">
        <f t="shared" si="12"/>
        <v>Old</v>
      </c>
      <c r="G815" t="s">
        <v>199</v>
      </c>
      <c r="H815" s="3">
        <v>3976</v>
      </c>
      <c r="I815" t="s">
        <v>4</v>
      </c>
      <c r="J815">
        <v>3</v>
      </c>
    </row>
    <row r="816" spans="1:10" x14ac:dyDescent="0.25">
      <c r="A816" t="s">
        <v>700</v>
      </c>
      <c r="B816" t="s">
        <v>142</v>
      </c>
      <c r="C816" t="s">
        <v>1159</v>
      </c>
      <c r="D816" t="s">
        <v>3</v>
      </c>
      <c r="E816">
        <v>26</v>
      </c>
      <c r="F816" t="str">
        <f t="shared" si="12"/>
        <v>Young</v>
      </c>
      <c r="G816" t="s">
        <v>225</v>
      </c>
      <c r="H816" s="3">
        <v>4048</v>
      </c>
      <c r="I816" t="s">
        <v>4</v>
      </c>
      <c r="J816">
        <v>0</v>
      </c>
    </row>
    <row r="817" spans="1:10" x14ac:dyDescent="0.25">
      <c r="A817" t="s">
        <v>757</v>
      </c>
      <c r="B817" t="s">
        <v>220</v>
      </c>
      <c r="C817" t="s">
        <v>1160</v>
      </c>
      <c r="D817" t="s">
        <v>3</v>
      </c>
      <c r="E817">
        <v>56</v>
      </c>
      <c r="F817" t="str">
        <f t="shared" si="12"/>
        <v>Old</v>
      </c>
      <c r="G817" t="s">
        <v>373</v>
      </c>
      <c r="H817" s="3">
        <v>8853</v>
      </c>
      <c r="I817" t="s">
        <v>14</v>
      </c>
      <c r="J817">
        <v>3</v>
      </c>
    </row>
    <row r="818" spans="1:10" x14ac:dyDescent="0.25">
      <c r="A818" t="s">
        <v>584</v>
      </c>
      <c r="B818" t="s">
        <v>744</v>
      </c>
      <c r="C818" t="s">
        <v>1161</v>
      </c>
      <c r="D818" t="s">
        <v>3</v>
      </c>
      <c r="E818">
        <v>34</v>
      </c>
      <c r="F818" t="str">
        <f t="shared" si="12"/>
        <v>Middle Age</v>
      </c>
      <c r="G818" t="s">
        <v>248</v>
      </c>
      <c r="H818" s="3">
        <v>8227</v>
      </c>
      <c r="I818" t="s">
        <v>4</v>
      </c>
      <c r="J818">
        <v>4</v>
      </c>
    </row>
    <row r="819" spans="1:10" x14ac:dyDescent="0.25">
      <c r="A819" t="s">
        <v>419</v>
      </c>
      <c r="B819" t="s">
        <v>114</v>
      </c>
      <c r="C819" t="s">
        <v>1162</v>
      </c>
      <c r="D819" t="s">
        <v>8</v>
      </c>
      <c r="E819">
        <v>30</v>
      </c>
      <c r="F819" t="str">
        <f t="shared" si="12"/>
        <v>Young</v>
      </c>
      <c r="G819" t="s">
        <v>280</v>
      </c>
      <c r="H819" s="3">
        <v>1253</v>
      </c>
      <c r="I819" t="s">
        <v>4</v>
      </c>
      <c r="J819">
        <v>0</v>
      </c>
    </row>
    <row r="820" spans="1:10" x14ac:dyDescent="0.25">
      <c r="A820" t="s">
        <v>33</v>
      </c>
      <c r="B820" t="s">
        <v>635</v>
      </c>
      <c r="C820" t="s">
        <v>1163</v>
      </c>
      <c r="D820" t="s">
        <v>3</v>
      </c>
      <c r="E820">
        <v>19</v>
      </c>
      <c r="F820" t="str">
        <f t="shared" si="12"/>
        <v>Young</v>
      </c>
      <c r="G820" t="s">
        <v>280</v>
      </c>
      <c r="H820" s="3">
        <v>5401</v>
      </c>
      <c r="I820" t="s">
        <v>14</v>
      </c>
      <c r="J820">
        <v>0</v>
      </c>
    </row>
    <row r="821" spans="1:10" x14ac:dyDescent="0.25">
      <c r="A821" t="s">
        <v>336</v>
      </c>
      <c r="B821" t="s">
        <v>152</v>
      </c>
      <c r="C821" t="s">
        <v>1164</v>
      </c>
      <c r="D821" t="s">
        <v>8</v>
      </c>
      <c r="E821">
        <v>34</v>
      </c>
      <c r="F821" t="str">
        <f t="shared" si="12"/>
        <v>Middle Age</v>
      </c>
      <c r="G821" t="s">
        <v>25</v>
      </c>
      <c r="H821" s="3">
        <v>4787</v>
      </c>
      <c r="I821" t="s">
        <v>14</v>
      </c>
      <c r="J821">
        <v>1</v>
      </c>
    </row>
    <row r="822" spans="1:10" x14ac:dyDescent="0.25">
      <c r="A822" t="s">
        <v>192</v>
      </c>
      <c r="B822" t="s">
        <v>158</v>
      </c>
      <c r="C822" t="s">
        <v>1165</v>
      </c>
      <c r="D822" t="s">
        <v>8</v>
      </c>
      <c r="E822">
        <v>35</v>
      </c>
      <c r="F822" t="str">
        <f t="shared" si="12"/>
        <v>Middle Age</v>
      </c>
      <c r="G822" t="s">
        <v>76</v>
      </c>
      <c r="H822" s="3">
        <v>4837</v>
      </c>
      <c r="I822" t="s">
        <v>4</v>
      </c>
      <c r="J822">
        <v>3</v>
      </c>
    </row>
    <row r="823" spans="1:10" x14ac:dyDescent="0.25">
      <c r="A823" t="s">
        <v>687</v>
      </c>
      <c r="B823" t="s">
        <v>580</v>
      </c>
      <c r="C823" t="s">
        <v>1166</v>
      </c>
      <c r="D823" t="s">
        <v>8</v>
      </c>
      <c r="E823">
        <v>35</v>
      </c>
      <c r="F823" t="str">
        <f t="shared" si="12"/>
        <v>Middle Age</v>
      </c>
      <c r="G823" t="s">
        <v>134</v>
      </c>
      <c r="H823" s="3">
        <v>3403</v>
      </c>
      <c r="I823" t="s">
        <v>14</v>
      </c>
      <c r="J823">
        <v>3</v>
      </c>
    </row>
    <row r="824" spans="1:10" x14ac:dyDescent="0.25">
      <c r="A824" t="s">
        <v>417</v>
      </c>
      <c r="B824" t="s">
        <v>6</v>
      </c>
      <c r="C824" t="s">
        <v>1167</v>
      </c>
      <c r="D824" t="s">
        <v>8</v>
      </c>
      <c r="E824">
        <v>39</v>
      </c>
      <c r="F824" t="str">
        <f t="shared" si="12"/>
        <v>Middle Age</v>
      </c>
      <c r="G824" t="s">
        <v>270</v>
      </c>
      <c r="H824" s="3">
        <v>1796</v>
      </c>
      <c r="I824" t="s">
        <v>14</v>
      </c>
      <c r="J824">
        <v>4</v>
      </c>
    </row>
    <row r="825" spans="1:10" x14ac:dyDescent="0.25">
      <c r="A825" t="s">
        <v>97</v>
      </c>
      <c r="B825" t="s">
        <v>61</v>
      </c>
      <c r="C825" t="s">
        <v>1168</v>
      </c>
      <c r="D825" t="s">
        <v>8</v>
      </c>
      <c r="E825">
        <v>21</v>
      </c>
      <c r="F825" t="str">
        <f t="shared" si="12"/>
        <v>Young</v>
      </c>
      <c r="G825" t="s">
        <v>160</v>
      </c>
      <c r="H825" s="3">
        <v>1943</v>
      </c>
      <c r="I825" t="s">
        <v>14</v>
      </c>
      <c r="J825">
        <v>0</v>
      </c>
    </row>
    <row r="826" spans="1:10" x14ac:dyDescent="0.25">
      <c r="A826" t="s">
        <v>932</v>
      </c>
      <c r="B826" t="s">
        <v>57</v>
      </c>
      <c r="C826" t="s">
        <v>1169</v>
      </c>
      <c r="D826" t="s">
        <v>8</v>
      </c>
      <c r="E826">
        <v>48</v>
      </c>
      <c r="F826" t="str">
        <f t="shared" si="12"/>
        <v>Middle Age</v>
      </c>
      <c r="G826" t="s">
        <v>131</v>
      </c>
      <c r="H826" s="3">
        <v>4953</v>
      </c>
      <c r="I826" t="s">
        <v>4</v>
      </c>
      <c r="J826">
        <v>5</v>
      </c>
    </row>
    <row r="827" spans="1:10" x14ac:dyDescent="0.25">
      <c r="A827" t="s">
        <v>379</v>
      </c>
      <c r="B827" t="s">
        <v>277</v>
      </c>
      <c r="C827" t="s">
        <v>1170</v>
      </c>
      <c r="D827" t="s">
        <v>8</v>
      </c>
      <c r="E827">
        <v>58</v>
      </c>
      <c r="F827" t="str">
        <f t="shared" si="12"/>
        <v>Old</v>
      </c>
      <c r="G827" t="s">
        <v>248</v>
      </c>
      <c r="H827" s="3">
        <v>666</v>
      </c>
      <c r="I827" t="s">
        <v>14</v>
      </c>
      <c r="J827">
        <v>0</v>
      </c>
    </row>
    <row r="828" spans="1:10" x14ac:dyDescent="0.25">
      <c r="A828" t="s">
        <v>229</v>
      </c>
      <c r="B828" t="s">
        <v>105</v>
      </c>
      <c r="C828" t="s">
        <v>1171</v>
      </c>
      <c r="D828" t="s">
        <v>3</v>
      </c>
      <c r="E828">
        <v>45</v>
      </c>
      <c r="F828" t="str">
        <f t="shared" si="12"/>
        <v>Middle Age</v>
      </c>
      <c r="G828" t="s">
        <v>182</v>
      </c>
      <c r="H828" s="3">
        <v>6553</v>
      </c>
      <c r="I828" t="s">
        <v>4</v>
      </c>
      <c r="J828">
        <v>4</v>
      </c>
    </row>
    <row r="829" spans="1:10" x14ac:dyDescent="0.25">
      <c r="A829" t="s">
        <v>276</v>
      </c>
      <c r="B829" t="s">
        <v>368</v>
      </c>
      <c r="C829" t="s">
        <v>1172</v>
      </c>
      <c r="D829" t="s">
        <v>3</v>
      </c>
      <c r="E829">
        <v>39</v>
      </c>
      <c r="F829" t="str">
        <f t="shared" si="12"/>
        <v>Middle Age</v>
      </c>
      <c r="G829" t="s">
        <v>47</v>
      </c>
      <c r="H829" s="3">
        <v>1665</v>
      </c>
      <c r="I829" t="s">
        <v>4</v>
      </c>
      <c r="J829">
        <v>0</v>
      </c>
    </row>
    <row r="830" spans="1:10" x14ac:dyDescent="0.25">
      <c r="A830" t="s">
        <v>762</v>
      </c>
      <c r="B830" t="s">
        <v>463</v>
      </c>
      <c r="C830" t="s">
        <v>1173</v>
      </c>
      <c r="D830" t="s">
        <v>3</v>
      </c>
      <c r="E830">
        <v>54</v>
      </c>
      <c r="F830" t="str">
        <f t="shared" si="12"/>
        <v>Old</v>
      </c>
      <c r="G830" t="s">
        <v>107</v>
      </c>
      <c r="H830" s="3">
        <v>3509</v>
      </c>
      <c r="I830" t="s">
        <v>4</v>
      </c>
      <c r="J830">
        <v>4</v>
      </c>
    </row>
    <row r="831" spans="1:10" x14ac:dyDescent="0.25">
      <c r="A831" t="s">
        <v>263</v>
      </c>
      <c r="B831" t="s">
        <v>139</v>
      </c>
      <c r="C831" t="s">
        <v>1174</v>
      </c>
      <c r="D831" t="s">
        <v>3</v>
      </c>
      <c r="E831">
        <v>29</v>
      </c>
      <c r="F831" t="str">
        <f t="shared" si="12"/>
        <v>Young</v>
      </c>
      <c r="G831" t="s">
        <v>382</v>
      </c>
      <c r="H831" s="3">
        <v>6822</v>
      </c>
      <c r="I831" t="s">
        <v>14</v>
      </c>
      <c r="J831">
        <v>0</v>
      </c>
    </row>
    <row r="832" spans="1:10" x14ac:dyDescent="0.25">
      <c r="A832" t="s">
        <v>731</v>
      </c>
      <c r="B832" t="s">
        <v>74</v>
      </c>
      <c r="C832" t="s">
        <v>1175</v>
      </c>
      <c r="D832" t="s">
        <v>8</v>
      </c>
      <c r="E832">
        <v>39</v>
      </c>
      <c r="F832" t="str">
        <f t="shared" si="12"/>
        <v>Middle Age</v>
      </c>
      <c r="G832" t="s">
        <v>107</v>
      </c>
      <c r="H832" s="3">
        <v>9260</v>
      </c>
      <c r="I832" t="s">
        <v>14</v>
      </c>
      <c r="J832">
        <v>3</v>
      </c>
    </row>
    <row r="833" spans="1:10" x14ac:dyDescent="0.25">
      <c r="A833" t="s">
        <v>484</v>
      </c>
      <c r="B833" t="s">
        <v>229</v>
      </c>
      <c r="C833" t="s">
        <v>1176</v>
      </c>
      <c r="D833" t="s">
        <v>3</v>
      </c>
      <c r="E833">
        <v>25</v>
      </c>
      <c r="F833" t="str">
        <f t="shared" si="12"/>
        <v>Young</v>
      </c>
      <c r="G833" t="s">
        <v>76</v>
      </c>
      <c r="H833" s="3">
        <v>9644</v>
      </c>
      <c r="I833" t="s">
        <v>4</v>
      </c>
      <c r="J833">
        <v>4</v>
      </c>
    </row>
    <row r="834" spans="1:10" x14ac:dyDescent="0.25">
      <c r="A834" t="s">
        <v>104</v>
      </c>
      <c r="B834" t="s">
        <v>635</v>
      </c>
      <c r="C834" t="s">
        <v>1177</v>
      </c>
      <c r="D834" t="s">
        <v>3</v>
      </c>
      <c r="E834">
        <v>59</v>
      </c>
      <c r="F834" t="str">
        <f t="shared" si="12"/>
        <v>Old</v>
      </c>
      <c r="G834" t="s">
        <v>225</v>
      </c>
      <c r="H834" s="3">
        <v>1574</v>
      </c>
      <c r="I834" t="s">
        <v>4</v>
      </c>
      <c r="J834">
        <v>3</v>
      </c>
    </row>
    <row r="835" spans="1:10" x14ac:dyDescent="0.25">
      <c r="A835" t="s">
        <v>135</v>
      </c>
      <c r="B835" t="s">
        <v>294</v>
      </c>
      <c r="C835" t="s">
        <v>1178</v>
      </c>
      <c r="D835" t="s">
        <v>3</v>
      </c>
      <c r="E835">
        <v>33</v>
      </c>
      <c r="F835" t="str">
        <f t="shared" ref="F835:F898" si="13">IF(E835&gt;50,"Old",IF(E835&gt;=31,"Middle Age",IF(E835&lt;31,"Young","Invalid")))</f>
        <v>Middle Age</v>
      </c>
      <c r="G835" t="s">
        <v>131</v>
      </c>
      <c r="H835" s="3">
        <v>4644</v>
      </c>
      <c r="I835" t="s">
        <v>14</v>
      </c>
      <c r="J835">
        <v>0</v>
      </c>
    </row>
    <row r="836" spans="1:10" x14ac:dyDescent="0.25">
      <c r="A836" t="s">
        <v>218</v>
      </c>
      <c r="B836" t="s">
        <v>167</v>
      </c>
      <c r="C836" t="s">
        <v>1179</v>
      </c>
      <c r="D836" t="s">
        <v>3</v>
      </c>
      <c r="E836">
        <v>18</v>
      </c>
      <c r="F836" t="str">
        <f t="shared" si="13"/>
        <v>Young</v>
      </c>
      <c r="G836" t="s">
        <v>29</v>
      </c>
      <c r="H836" s="3">
        <v>9745</v>
      </c>
      <c r="I836" t="s">
        <v>4</v>
      </c>
      <c r="J836">
        <v>5</v>
      </c>
    </row>
    <row r="837" spans="1:10" x14ac:dyDescent="0.25">
      <c r="A837" t="s">
        <v>484</v>
      </c>
      <c r="B837" t="s">
        <v>114</v>
      </c>
      <c r="C837" t="s">
        <v>1180</v>
      </c>
      <c r="D837" t="s">
        <v>3</v>
      </c>
      <c r="E837">
        <v>20</v>
      </c>
      <c r="F837" t="str">
        <f t="shared" si="13"/>
        <v>Young</v>
      </c>
      <c r="G837" t="s">
        <v>131</v>
      </c>
      <c r="H837" s="3">
        <v>6615</v>
      </c>
      <c r="I837" t="s">
        <v>4</v>
      </c>
      <c r="J837">
        <v>0</v>
      </c>
    </row>
    <row r="838" spans="1:10" x14ac:dyDescent="0.25">
      <c r="A838" t="s">
        <v>342</v>
      </c>
      <c r="B838" t="s">
        <v>91</v>
      </c>
      <c r="C838" t="s">
        <v>1181</v>
      </c>
      <c r="D838" t="s">
        <v>3</v>
      </c>
      <c r="E838">
        <v>50</v>
      </c>
      <c r="F838" t="str">
        <f t="shared" si="13"/>
        <v>Middle Age</v>
      </c>
      <c r="G838" t="s">
        <v>131</v>
      </c>
      <c r="H838" s="3">
        <v>8282</v>
      </c>
      <c r="I838" t="s">
        <v>4</v>
      </c>
      <c r="J838">
        <v>0</v>
      </c>
    </row>
    <row r="839" spans="1:10" x14ac:dyDescent="0.25">
      <c r="A839" t="s">
        <v>87</v>
      </c>
      <c r="B839" t="s">
        <v>358</v>
      </c>
      <c r="C839" t="s">
        <v>1182</v>
      </c>
      <c r="D839" t="s">
        <v>3</v>
      </c>
      <c r="E839">
        <v>26</v>
      </c>
      <c r="F839" t="str">
        <f t="shared" si="13"/>
        <v>Young</v>
      </c>
      <c r="G839" t="s">
        <v>225</v>
      </c>
      <c r="H839" s="3">
        <v>9906</v>
      </c>
      <c r="I839" t="s">
        <v>14</v>
      </c>
      <c r="J839">
        <v>4</v>
      </c>
    </row>
    <row r="840" spans="1:10" x14ac:dyDescent="0.25">
      <c r="A840" t="s">
        <v>671</v>
      </c>
      <c r="B840" t="s">
        <v>361</v>
      </c>
      <c r="C840" t="s">
        <v>1183</v>
      </c>
      <c r="D840" t="s">
        <v>8</v>
      </c>
      <c r="E840">
        <v>24</v>
      </c>
      <c r="F840" t="str">
        <f t="shared" si="13"/>
        <v>Young</v>
      </c>
      <c r="G840" t="s">
        <v>150</v>
      </c>
      <c r="H840" s="3">
        <v>8502</v>
      </c>
      <c r="I840" t="s">
        <v>14</v>
      </c>
      <c r="J840">
        <v>0</v>
      </c>
    </row>
    <row r="841" spans="1:10" x14ac:dyDescent="0.25">
      <c r="A841" t="s">
        <v>61</v>
      </c>
      <c r="B841" t="s">
        <v>11</v>
      </c>
      <c r="C841" t="s">
        <v>1184</v>
      </c>
      <c r="D841" t="s">
        <v>3</v>
      </c>
      <c r="E841">
        <v>47</v>
      </c>
      <c r="F841" t="str">
        <f t="shared" si="13"/>
        <v>Middle Age</v>
      </c>
      <c r="G841" t="s">
        <v>227</v>
      </c>
      <c r="H841" s="3">
        <v>4959</v>
      </c>
      <c r="I841" t="s">
        <v>4</v>
      </c>
      <c r="J841">
        <v>4</v>
      </c>
    </row>
    <row r="842" spans="1:10" x14ac:dyDescent="0.25">
      <c r="A842" t="s">
        <v>104</v>
      </c>
      <c r="B842" t="s">
        <v>122</v>
      </c>
      <c r="C842" t="s">
        <v>1185</v>
      </c>
      <c r="D842" t="s">
        <v>3</v>
      </c>
      <c r="E842">
        <v>50</v>
      </c>
      <c r="F842" t="str">
        <f t="shared" si="13"/>
        <v>Middle Age</v>
      </c>
      <c r="G842" t="s">
        <v>29</v>
      </c>
      <c r="H842" s="3">
        <v>8757</v>
      </c>
      <c r="I842" t="s">
        <v>14</v>
      </c>
      <c r="J842">
        <v>3</v>
      </c>
    </row>
    <row r="843" spans="1:10" x14ac:dyDescent="0.25">
      <c r="A843" t="s">
        <v>57</v>
      </c>
      <c r="B843" t="s">
        <v>98</v>
      </c>
      <c r="C843" t="s">
        <v>1186</v>
      </c>
      <c r="D843" t="s">
        <v>3</v>
      </c>
      <c r="E843">
        <v>42</v>
      </c>
      <c r="F843" t="str">
        <f t="shared" si="13"/>
        <v>Middle Age</v>
      </c>
      <c r="G843" t="s">
        <v>82</v>
      </c>
      <c r="H843" s="3">
        <v>4247</v>
      </c>
      <c r="I843" t="s">
        <v>4</v>
      </c>
      <c r="J843">
        <v>0</v>
      </c>
    </row>
    <row r="844" spans="1:10" x14ac:dyDescent="0.25">
      <c r="A844" t="s">
        <v>690</v>
      </c>
      <c r="B844" t="s">
        <v>317</v>
      </c>
      <c r="C844" t="s">
        <v>1187</v>
      </c>
      <c r="D844" t="s">
        <v>8</v>
      </c>
      <c r="E844">
        <v>36</v>
      </c>
      <c r="F844" t="str">
        <f t="shared" si="13"/>
        <v>Middle Age</v>
      </c>
      <c r="G844" t="s">
        <v>69</v>
      </c>
      <c r="H844" s="3">
        <v>7141</v>
      </c>
      <c r="I844" t="s">
        <v>14</v>
      </c>
      <c r="J844">
        <v>1</v>
      </c>
    </row>
    <row r="845" spans="1:10" x14ac:dyDescent="0.25">
      <c r="A845" t="s">
        <v>395</v>
      </c>
      <c r="B845" t="s">
        <v>114</v>
      </c>
      <c r="C845" t="s">
        <v>1188</v>
      </c>
      <c r="D845" t="s">
        <v>8</v>
      </c>
      <c r="E845">
        <v>38</v>
      </c>
      <c r="F845" t="str">
        <f t="shared" si="13"/>
        <v>Middle Age</v>
      </c>
      <c r="G845" t="s">
        <v>13</v>
      </c>
      <c r="H845" s="3">
        <v>8604</v>
      </c>
      <c r="I845" t="s">
        <v>4</v>
      </c>
      <c r="J845">
        <v>2</v>
      </c>
    </row>
    <row r="846" spans="1:10" x14ac:dyDescent="0.25">
      <c r="A846" t="s">
        <v>1013</v>
      </c>
      <c r="B846" t="s">
        <v>249</v>
      </c>
      <c r="C846" t="s">
        <v>1189</v>
      </c>
      <c r="D846" t="s">
        <v>8</v>
      </c>
      <c r="E846">
        <v>43</v>
      </c>
      <c r="F846" t="str">
        <f t="shared" si="13"/>
        <v>Middle Age</v>
      </c>
      <c r="G846" t="s">
        <v>134</v>
      </c>
      <c r="H846" s="3">
        <v>2542</v>
      </c>
      <c r="I846" t="s">
        <v>4</v>
      </c>
      <c r="J846">
        <v>2</v>
      </c>
    </row>
    <row r="847" spans="1:10" x14ac:dyDescent="0.25">
      <c r="A847" t="s">
        <v>173</v>
      </c>
      <c r="B847" t="s">
        <v>1</v>
      </c>
      <c r="C847" t="s">
        <v>1190</v>
      </c>
      <c r="D847" t="s">
        <v>3</v>
      </c>
      <c r="E847">
        <v>39</v>
      </c>
      <c r="F847" t="str">
        <f t="shared" si="13"/>
        <v>Middle Age</v>
      </c>
      <c r="G847" t="s">
        <v>290</v>
      </c>
      <c r="H847" s="3">
        <v>7820</v>
      </c>
      <c r="I847" t="s">
        <v>14</v>
      </c>
      <c r="J847">
        <v>1</v>
      </c>
    </row>
    <row r="848" spans="1:10" x14ac:dyDescent="0.25">
      <c r="A848" t="s">
        <v>354</v>
      </c>
      <c r="B848" t="s">
        <v>201</v>
      </c>
      <c r="C848" t="s">
        <v>1191</v>
      </c>
      <c r="D848" t="s">
        <v>8</v>
      </c>
      <c r="E848">
        <v>49</v>
      </c>
      <c r="F848" t="str">
        <f t="shared" si="13"/>
        <v>Middle Age</v>
      </c>
      <c r="G848" t="s">
        <v>256</v>
      </c>
      <c r="H848" s="3">
        <v>5699</v>
      </c>
      <c r="I848" t="s">
        <v>4</v>
      </c>
      <c r="J848">
        <v>5</v>
      </c>
    </row>
    <row r="849" spans="1:10" x14ac:dyDescent="0.25">
      <c r="A849" t="s">
        <v>1192</v>
      </c>
      <c r="B849" t="s">
        <v>530</v>
      </c>
      <c r="C849" t="s">
        <v>1193</v>
      </c>
      <c r="D849" t="s">
        <v>8</v>
      </c>
      <c r="E849">
        <v>41</v>
      </c>
      <c r="F849" t="str">
        <f t="shared" si="13"/>
        <v>Middle Age</v>
      </c>
      <c r="G849" t="s">
        <v>47</v>
      </c>
      <c r="H849" s="3">
        <v>1719</v>
      </c>
      <c r="I849" t="s">
        <v>4</v>
      </c>
      <c r="J849">
        <v>3</v>
      </c>
    </row>
    <row r="850" spans="1:10" x14ac:dyDescent="0.25">
      <c r="A850" t="s">
        <v>739</v>
      </c>
      <c r="B850" t="s">
        <v>425</v>
      </c>
      <c r="C850" t="s">
        <v>1194</v>
      </c>
      <c r="D850" t="s">
        <v>8</v>
      </c>
      <c r="E850">
        <v>59</v>
      </c>
      <c r="F850" t="str">
        <f t="shared" si="13"/>
        <v>Old</v>
      </c>
      <c r="G850" t="s">
        <v>128</v>
      </c>
      <c r="H850" s="3">
        <v>8753</v>
      </c>
      <c r="I850" t="s">
        <v>14</v>
      </c>
      <c r="J850">
        <v>3</v>
      </c>
    </row>
    <row r="851" spans="1:10" x14ac:dyDescent="0.25">
      <c r="A851" t="s">
        <v>439</v>
      </c>
      <c r="B851" t="s">
        <v>185</v>
      </c>
      <c r="C851" t="s">
        <v>450</v>
      </c>
      <c r="D851" t="s">
        <v>3</v>
      </c>
      <c r="E851">
        <v>41</v>
      </c>
      <c r="F851" t="str">
        <f t="shared" si="13"/>
        <v>Middle Age</v>
      </c>
      <c r="G851" t="s">
        <v>51</v>
      </c>
      <c r="H851" s="3">
        <v>7048</v>
      </c>
      <c r="I851" t="s">
        <v>14</v>
      </c>
      <c r="J851">
        <v>5</v>
      </c>
    </row>
    <row r="852" spans="1:10" x14ac:dyDescent="0.25">
      <c r="A852" t="s">
        <v>328</v>
      </c>
      <c r="B852" t="s">
        <v>1</v>
      </c>
      <c r="C852" t="s">
        <v>1195</v>
      </c>
      <c r="D852" t="s">
        <v>3</v>
      </c>
      <c r="E852">
        <v>60</v>
      </c>
      <c r="F852" t="str">
        <f t="shared" si="13"/>
        <v>Old</v>
      </c>
      <c r="G852" t="s">
        <v>231</v>
      </c>
      <c r="H852" s="3">
        <v>2607</v>
      </c>
      <c r="I852" t="s">
        <v>14</v>
      </c>
      <c r="J852">
        <v>0</v>
      </c>
    </row>
    <row r="853" spans="1:10" x14ac:dyDescent="0.25">
      <c r="A853" t="s">
        <v>928</v>
      </c>
      <c r="B853" t="s">
        <v>650</v>
      </c>
      <c r="C853" t="s">
        <v>1196</v>
      </c>
      <c r="D853" t="s">
        <v>8</v>
      </c>
      <c r="E853">
        <v>48</v>
      </c>
      <c r="F853" t="str">
        <f t="shared" si="13"/>
        <v>Middle Age</v>
      </c>
      <c r="G853" t="s">
        <v>128</v>
      </c>
      <c r="H853" s="3">
        <v>2707</v>
      </c>
      <c r="I853" t="s">
        <v>14</v>
      </c>
      <c r="J853">
        <v>0</v>
      </c>
    </row>
    <row r="854" spans="1:10" x14ac:dyDescent="0.25">
      <c r="A854" t="s">
        <v>346</v>
      </c>
      <c r="B854" t="s">
        <v>132</v>
      </c>
      <c r="C854" t="s">
        <v>1197</v>
      </c>
      <c r="D854" t="s">
        <v>3</v>
      </c>
      <c r="E854">
        <v>60</v>
      </c>
      <c r="F854" t="str">
        <f t="shared" si="13"/>
        <v>Old</v>
      </c>
      <c r="G854" t="s">
        <v>43</v>
      </c>
      <c r="H854" s="3">
        <v>9242</v>
      </c>
      <c r="I854" t="s">
        <v>14</v>
      </c>
      <c r="J854">
        <v>3</v>
      </c>
    </row>
    <row r="855" spans="1:10" x14ac:dyDescent="0.25">
      <c r="A855" t="s">
        <v>603</v>
      </c>
      <c r="B855" t="s">
        <v>180</v>
      </c>
      <c r="C855" t="s">
        <v>1053</v>
      </c>
      <c r="D855" t="s">
        <v>8</v>
      </c>
      <c r="E855">
        <v>51</v>
      </c>
      <c r="F855" t="str">
        <f t="shared" si="13"/>
        <v>Old</v>
      </c>
      <c r="G855" t="s">
        <v>182</v>
      </c>
      <c r="H855" s="3">
        <v>3797</v>
      </c>
      <c r="I855" t="s">
        <v>14</v>
      </c>
      <c r="J855">
        <v>4</v>
      </c>
    </row>
    <row r="856" spans="1:10" x14ac:dyDescent="0.25">
      <c r="A856" t="s">
        <v>608</v>
      </c>
      <c r="B856" t="s">
        <v>463</v>
      </c>
      <c r="C856" t="s">
        <v>1198</v>
      </c>
      <c r="D856" t="s">
        <v>3</v>
      </c>
      <c r="E856">
        <v>37</v>
      </c>
      <c r="F856" t="str">
        <f t="shared" si="13"/>
        <v>Middle Age</v>
      </c>
      <c r="G856" t="s">
        <v>9</v>
      </c>
      <c r="H856" s="3">
        <v>8788</v>
      </c>
      <c r="I856" t="s">
        <v>4</v>
      </c>
      <c r="J856">
        <v>4</v>
      </c>
    </row>
    <row r="857" spans="1:10" x14ac:dyDescent="0.25">
      <c r="A857" t="s">
        <v>757</v>
      </c>
      <c r="B857" t="s">
        <v>142</v>
      </c>
      <c r="C857" t="s">
        <v>1199</v>
      </c>
      <c r="D857" t="s">
        <v>3</v>
      </c>
      <c r="E857">
        <v>37</v>
      </c>
      <c r="F857" t="str">
        <f t="shared" si="13"/>
        <v>Middle Age</v>
      </c>
      <c r="G857" t="s">
        <v>59</v>
      </c>
      <c r="H857" s="3">
        <v>4058</v>
      </c>
      <c r="I857" t="s">
        <v>14</v>
      </c>
      <c r="J857">
        <v>0</v>
      </c>
    </row>
    <row r="858" spans="1:10" x14ac:dyDescent="0.25">
      <c r="A858" t="s">
        <v>997</v>
      </c>
      <c r="B858" t="s">
        <v>264</v>
      </c>
      <c r="C858" t="s">
        <v>1200</v>
      </c>
      <c r="D858" t="s">
        <v>8</v>
      </c>
      <c r="E858">
        <v>21</v>
      </c>
      <c r="F858" t="str">
        <f t="shared" si="13"/>
        <v>Young</v>
      </c>
      <c r="G858" t="s">
        <v>124</v>
      </c>
      <c r="H858" s="3">
        <v>8311</v>
      </c>
      <c r="I858" t="s">
        <v>4</v>
      </c>
      <c r="J858">
        <v>0</v>
      </c>
    </row>
    <row r="859" spans="1:10" x14ac:dyDescent="0.25">
      <c r="A859" t="s">
        <v>173</v>
      </c>
      <c r="B859" t="s">
        <v>91</v>
      </c>
      <c r="C859" t="s">
        <v>1201</v>
      </c>
      <c r="D859" t="s">
        <v>3</v>
      </c>
      <c r="E859">
        <v>50</v>
      </c>
      <c r="F859" t="str">
        <f t="shared" si="13"/>
        <v>Middle Age</v>
      </c>
      <c r="G859" t="s">
        <v>63</v>
      </c>
      <c r="H859" s="3">
        <v>9834</v>
      </c>
      <c r="I859" t="s">
        <v>14</v>
      </c>
      <c r="J859">
        <v>2</v>
      </c>
    </row>
    <row r="860" spans="1:10" x14ac:dyDescent="0.25">
      <c r="A860" t="s">
        <v>176</v>
      </c>
      <c r="B860" t="s">
        <v>1</v>
      </c>
      <c r="C860" t="s">
        <v>1202</v>
      </c>
      <c r="D860" t="s">
        <v>3</v>
      </c>
      <c r="E860">
        <v>55</v>
      </c>
      <c r="F860" t="str">
        <f t="shared" si="13"/>
        <v>Old</v>
      </c>
      <c r="G860" t="s">
        <v>172</v>
      </c>
      <c r="H860" s="3">
        <v>2693</v>
      </c>
      <c r="I860" t="s">
        <v>14</v>
      </c>
      <c r="J860">
        <v>4</v>
      </c>
    </row>
    <row r="861" spans="1:10" x14ac:dyDescent="0.25">
      <c r="A861" t="s">
        <v>1096</v>
      </c>
      <c r="B861" t="s">
        <v>6</v>
      </c>
      <c r="C861" t="s">
        <v>1203</v>
      </c>
      <c r="D861" t="s">
        <v>3</v>
      </c>
      <c r="E861">
        <v>28</v>
      </c>
      <c r="F861" t="str">
        <f t="shared" si="13"/>
        <v>Young</v>
      </c>
      <c r="G861" t="s">
        <v>270</v>
      </c>
      <c r="H861" s="3">
        <v>6815</v>
      </c>
      <c r="I861" t="s">
        <v>14</v>
      </c>
      <c r="J861">
        <v>1</v>
      </c>
    </row>
    <row r="862" spans="1:10" x14ac:dyDescent="0.25">
      <c r="A862" t="s">
        <v>77</v>
      </c>
      <c r="B862" t="s">
        <v>148</v>
      </c>
      <c r="C862" t="s">
        <v>1204</v>
      </c>
      <c r="D862" t="s">
        <v>3</v>
      </c>
      <c r="E862">
        <v>29</v>
      </c>
      <c r="F862" t="str">
        <f t="shared" si="13"/>
        <v>Young</v>
      </c>
      <c r="G862" t="s">
        <v>43</v>
      </c>
      <c r="H862" s="3">
        <v>9337</v>
      </c>
      <c r="I862" t="s">
        <v>4</v>
      </c>
      <c r="J862">
        <v>1</v>
      </c>
    </row>
    <row r="863" spans="1:10" x14ac:dyDescent="0.25">
      <c r="A863" t="s">
        <v>484</v>
      </c>
      <c r="B863" t="s">
        <v>504</v>
      </c>
      <c r="C863" t="s">
        <v>1205</v>
      </c>
      <c r="D863" t="s">
        <v>3</v>
      </c>
      <c r="E863">
        <v>27</v>
      </c>
      <c r="F863" t="str">
        <f t="shared" si="13"/>
        <v>Young</v>
      </c>
      <c r="G863" t="s">
        <v>194</v>
      </c>
      <c r="H863" s="3">
        <v>3655</v>
      </c>
      <c r="I863" t="s">
        <v>14</v>
      </c>
      <c r="J863">
        <v>0</v>
      </c>
    </row>
    <row r="864" spans="1:10" x14ac:dyDescent="0.25">
      <c r="A864" t="s">
        <v>350</v>
      </c>
      <c r="B864" t="s">
        <v>19</v>
      </c>
      <c r="C864" t="s">
        <v>1206</v>
      </c>
      <c r="D864" t="s">
        <v>8</v>
      </c>
      <c r="E864">
        <v>56</v>
      </c>
      <c r="F864" t="str">
        <f t="shared" si="13"/>
        <v>Old</v>
      </c>
      <c r="G864" t="s">
        <v>69</v>
      </c>
      <c r="H864" s="3">
        <v>3350</v>
      </c>
      <c r="I864" t="s">
        <v>4</v>
      </c>
      <c r="J864">
        <v>1</v>
      </c>
    </row>
    <row r="865" spans="1:10" x14ac:dyDescent="0.25">
      <c r="A865" t="s">
        <v>560</v>
      </c>
      <c r="B865" t="s">
        <v>635</v>
      </c>
      <c r="C865" t="s">
        <v>1207</v>
      </c>
      <c r="D865" t="s">
        <v>8</v>
      </c>
      <c r="E865">
        <v>41</v>
      </c>
      <c r="F865" t="str">
        <f t="shared" si="13"/>
        <v>Middle Age</v>
      </c>
      <c r="G865" t="s">
        <v>1364</v>
      </c>
      <c r="H865" s="3">
        <v>6130</v>
      </c>
      <c r="I865" t="s">
        <v>4</v>
      </c>
      <c r="J865">
        <v>5</v>
      </c>
    </row>
    <row r="866" spans="1:10" x14ac:dyDescent="0.25">
      <c r="A866" t="s">
        <v>614</v>
      </c>
      <c r="B866" t="s">
        <v>1</v>
      </c>
      <c r="C866" t="s">
        <v>1208</v>
      </c>
      <c r="D866" t="s">
        <v>8</v>
      </c>
      <c r="E866">
        <v>33</v>
      </c>
      <c r="F866" t="str">
        <f t="shared" si="13"/>
        <v>Middle Age</v>
      </c>
      <c r="G866" t="s">
        <v>107</v>
      </c>
      <c r="H866" s="3">
        <v>5293</v>
      </c>
      <c r="I866" t="s">
        <v>14</v>
      </c>
      <c r="J866">
        <v>2</v>
      </c>
    </row>
    <row r="867" spans="1:10" x14ac:dyDescent="0.25">
      <c r="A867" t="s">
        <v>762</v>
      </c>
      <c r="B867" t="s">
        <v>337</v>
      </c>
      <c r="C867" t="s">
        <v>1209</v>
      </c>
      <c r="D867" t="s">
        <v>3</v>
      </c>
      <c r="E867">
        <v>36</v>
      </c>
      <c r="F867" t="str">
        <f t="shared" si="13"/>
        <v>Middle Age</v>
      </c>
      <c r="G867" t="s">
        <v>128</v>
      </c>
      <c r="H867" s="3">
        <v>5829</v>
      </c>
      <c r="I867" t="s">
        <v>4</v>
      </c>
      <c r="J867">
        <v>5</v>
      </c>
    </row>
    <row r="868" spans="1:10" x14ac:dyDescent="0.25">
      <c r="A868" t="s">
        <v>1210</v>
      </c>
      <c r="B868" t="s">
        <v>53</v>
      </c>
      <c r="C868" t="s">
        <v>1211</v>
      </c>
      <c r="D868" t="s">
        <v>8</v>
      </c>
      <c r="E868">
        <v>43</v>
      </c>
      <c r="F868" t="str">
        <f t="shared" si="13"/>
        <v>Middle Age</v>
      </c>
      <c r="G868" t="s">
        <v>1364</v>
      </c>
      <c r="H868" s="3">
        <v>4836</v>
      </c>
      <c r="I868" t="s">
        <v>14</v>
      </c>
      <c r="J868">
        <v>1</v>
      </c>
    </row>
    <row r="869" spans="1:10" x14ac:dyDescent="0.25">
      <c r="A869" t="s">
        <v>894</v>
      </c>
      <c r="B869" t="s">
        <v>305</v>
      </c>
      <c r="C869" t="s">
        <v>1212</v>
      </c>
      <c r="D869" t="s">
        <v>8</v>
      </c>
      <c r="E869">
        <v>37</v>
      </c>
      <c r="F869" t="str">
        <f t="shared" si="13"/>
        <v>Middle Age</v>
      </c>
      <c r="G869" t="s">
        <v>63</v>
      </c>
      <c r="H869" s="3">
        <v>9971</v>
      </c>
      <c r="I869" t="s">
        <v>14</v>
      </c>
      <c r="J869">
        <v>1</v>
      </c>
    </row>
    <row r="870" spans="1:10" x14ac:dyDescent="0.25">
      <c r="A870" t="s">
        <v>330</v>
      </c>
      <c r="B870" t="s">
        <v>600</v>
      </c>
      <c r="C870" t="s">
        <v>1213</v>
      </c>
      <c r="D870" t="s">
        <v>8</v>
      </c>
      <c r="E870">
        <v>35</v>
      </c>
      <c r="F870" t="str">
        <f t="shared" si="13"/>
        <v>Middle Age</v>
      </c>
      <c r="G870" t="s">
        <v>211</v>
      </c>
      <c r="H870" s="3">
        <v>7421</v>
      </c>
      <c r="I870" t="s">
        <v>4</v>
      </c>
      <c r="J870">
        <v>3</v>
      </c>
    </row>
    <row r="871" spans="1:10" x14ac:dyDescent="0.25">
      <c r="A871" t="s">
        <v>166</v>
      </c>
      <c r="B871" t="s">
        <v>74</v>
      </c>
      <c r="C871" t="s">
        <v>1214</v>
      </c>
      <c r="D871" t="s">
        <v>3</v>
      </c>
      <c r="E871">
        <v>56</v>
      </c>
      <c r="F871" t="str">
        <f t="shared" si="13"/>
        <v>Old</v>
      </c>
      <c r="G871" t="s">
        <v>47</v>
      </c>
      <c r="H871" s="3">
        <v>5825</v>
      </c>
      <c r="I871" t="s">
        <v>14</v>
      </c>
      <c r="J871">
        <v>1</v>
      </c>
    </row>
    <row r="872" spans="1:10" x14ac:dyDescent="0.25">
      <c r="A872" t="s">
        <v>40</v>
      </c>
      <c r="B872" t="s">
        <v>459</v>
      </c>
      <c r="C872" t="s">
        <v>1215</v>
      </c>
      <c r="D872" t="s">
        <v>8</v>
      </c>
      <c r="E872">
        <v>36</v>
      </c>
      <c r="F872" t="str">
        <f t="shared" si="13"/>
        <v>Middle Age</v>
      </c>
      <c r="G872" t="s">
        <v>199</v>
      </c>
      <c r="H872" s="3">
        <v>4856</v>
      </c>
      <c r="I872" t="s">
        <v>4</v>
      </c>
      <c r="J872">
        <v>0</v>
      </c>
    </row>
    <row r="873" spans="1:10" x14ac:dyDescent="0.25">
      <c r="A873" t="s">
        <v>339</v>
      </c>
      <c r="B873" t="s">
        <v>91</v>
      </c>
      <c r="C873" t="s">
        <v>1216</v>
      </c>
      <c r="D873" t="s">
        <v>8</v>
      </c>
      <c r="E873">
        <v>20</v>
      </c>
      <c r="F873" t="str">
        <f t="shared" si="13"/>
        <v>Young</v>
      </c>
      <c r="G873" t="s">
        <v>80</v>
      </c>
      <c r="H873" s="3">
        <v>6903</v>
      </c>
      <c r="I873" t="s">
        <v>14</v>
      </c>
      <c r="J873">
        <v>1</v>
      </c>
    </row>
    <row r="874" spans="1:10" x14ac:dyDescent="0.25">
      <c r="A874" t="s">
        <v>195</v>
      </c>
      <c r="B874" t="s">
        <v>45</v>
      </c>
      <c r="C874" t="s">
        <v>1217</v>
      </c>
      <c r="D874" t="s">
        <v>3</v>
      </c>
      <c r="E874">
        <v>32</v>
      </c>
      <c r="F874" t="str">
        <f t="shared" si="13"/>
        <v>Middle Age</v>
      </c>
      <c r="G874" t="s">
        <v>172</v>
      </c>
      <c r="H874" s="3">
        <v>8829</v>
      </c>
      <c r="I874" t="s">
        <v>14</v>
      </c>
      <c r="J874">
        <v>3</v>
      </c>
    </row>
    <row r="875" spans="1:10" x14ac:dyDescent="0.25">
      <c r="A875" t="s">
        <v>282</v>
      </c>
      <c r="B875" t="s">
        <v>6</v>
      </c>
      <c r="C875" t="s">
        <v>1218</v>
      </c>
      <c r="D875" t="s">
        <v>8</v>
      </c>
      <c r="E875">
        <v>47</v>
      </c>
      <c r="F875" t="str">
        <f t="shared" si="13"/>
        <v>Middle Age</v>
      </c>
      <c r="G875" t="s">
        <v>197</v>
      </c>
      <c r="H875" s="3">
        <v>2570</v>
      </c>
      <c r="I875" t="s">
        <v>4</v>
      </c>
      <c r="J875">
        <v>1</v>
      </c>
    </row>
    <row r="876" spans="1:10" x14ac:dyDescent="0.25">
      <c r="A876" t="s">
        <v>473</v>
      </c>
      <c r="B876" t="s">
        <v>361</v>
      </c>
      <c r="C876" t="s">
        <v>1219</v>
      </c>
      <c r="D876" t="s">
        <v>8</v>
      </c>
      <c r="E876">
        <v>53</v>
      </c>
      <c r="F876" t="str">
        <f t="shared" si="13"/>
        <v>Old</v>
      </c>
      <c r="G876" t="s">
        <v>9</v>
      </c>
      <c r="H876" s="3">
        <v>3611</v>
      </c>
      <c r="I876" t="s">
        <v>4</v>
      </c>
      <c r="J876">
        <v>5</v>
      </c>
    </row>
    <row r="877" spans="1:10" x14ac:dyDescent="0.25">
      <c r="A877" t="s">
        <v>183</v>
      </c>
      <c r="B877" t="s">
        <v>91</v>
      </c>
      <c r="C877" t="s">
        <v>590</v>
      </c>
      <c r="D877" t="s">
        <v>3</v>
      </c>
      <c r="E877">
        <v>46</v>
      </c>
      <c r="F877" t="str">
        <f t="shared" si="13"/>
        <v>Middle Age</v>
      </c>
      <c r="G877" t="s">
        <v>80</v>
      </c>
      <c r="H877" s="3">
        <v>6678</v>
      </c>
      <c r="I877" t="s">
        <v>14</v>
      </c>
      <c r="J877">
        <v>0</v>
      </c>
    </row>
    <row r="878" spans="1:10" x14ac:dyDescent="0.25">
      <c r="A878" t="s">
        <v>1067</v>
      </c>
      <c r="B878" t="s">
        <v>261</v>
      </c>
      <c r="C878" t="s">
        <v>1220</v>
      </c>
      <c r="D878" t="s">
        <v>3</v>
      </c>
      <c r="E878">
        <v>26</v>
      </c>
      <c r="F878" t="str">
        <f t="shared" si="13"/>
        <v>Young</v>
      </c>
      <c r="G878" t="s">
        <v>25</v>
      </c>
      <c r="H878" s="3">
        <v>5088</v>
      </c>
      <c r="I878" t="s">
        <v>4</v>
      </c>
      <c r="J878">
        <v>0</v>
      </c>
    </row>
    <row r="879" spans="1:10" x14ac:dyDescent="0.25">
      <c r="A879" t="s">
        <v>228</v>
      </c>
      <c r="B879" t="s">
        <v>101</v>
      </c>
      <c r="C879" t="s">
        <v>1221</v>
      </c>
      <c r="D879" t="s">
        <v>8</v>
      </c>
      <c r="E879">
        <v>55</v>
      </c>
      <c r="F879" t="str">
        <f t="shared" si="13"/>
        <v>Old</v>
      </c>
      <c r="G879" t="s">
        <v>373</v>
      </c>
      <c r="H879" s="3">
        <v>8400</v>
      </c>
      <c r="I879" t="s">
        <v>14</v>
      </c>
      <c r="J879">
        <v>3</v>
      </c>
    </row>
    <row r="880" spans="1:10" x14ac:dyDescent="0.25">
      <c r="A880" t="s">
        <v>671</v>
      </c>
      <c r="B880" t="s">
        <v>409</v>
      </c>
      <c r="C880" t="s">
        <v>1222</v>
      </c>
      <c r="D880" t="s">
        <v>8</v>
      </c>
      <c r="E880">
        <v>34</v>
      </c>
      <c r="F880" t="str">
        <f t="shared" si="13"/>
        <v>Middle Age</v>
      </c>
      <c r="G880" t="s">
        <v>150</v>
      </c>
      <c r="H880" s="3">
        <v>2163</v>
      </c>
      <c r="I880" t="s">
        <v>4</v>
      </c>
      <c r="J880">
        <v>3</v>
      </c>
    </row>
    <row r="881" spans="1:10" x14ac:dyDescent="0.25">
      <c r="A881" t="s">
        <v>639</v>
      </c>
      <c r="B881" t="s">
        <v>148</v>
      </c>
      <c r="C881" t="s">
        <v>1223</v>
      </c>
      <c r="D881" t="s">
        <v>8</v>
      </c>
      <c r="E881">
        <v>53</v>
      </c>
      <c r="F881" t="str">
        <f t="shared" si="13"/>
        <v>Old</v>
      </c>
      <c r="G881" t="s">
        <v>69</v>
      </c>
      <c r="H881" s="3">
        <v>8970</v>
      </c>
      <c r="I881" t="s">
        <v>14</v>
      </c>
      <c r="J881">
        <v>4</v>
      </c>
    </row>
    <row r="882" spans="1:10" x14ac:dyDescent="0.25">
      <c r="A882" t="s">
        <v>304</v>
      </c>
      <c r="B882" t="s">
        <v>120</v>
      </c>
      <c r="C882" t="s">
        <v>1224</v>
      </c>
      <c r="D882" t="s">
        <v>3</v>
      </c>
      <c r="E882">
        <v>57</v>
      </c>
      <c r="F882" t="str">
        <f t="shared" si="13"/>
        <v>Old</v>
      </c>
      <c r="G882" t="s">
        <v>76</v>
      </c>
      <c r="H882" s="3">
        <v>2395</v>
      </c>
      <c r="I882" t="s">
        <v>4</v>
      </c>
      <c r="J882">
        <v>1</v>
      </c>
    </row>
    <row r="883" spans="1:10" x14ac:dyDescent="0.25">
      <c r="A883" t="s">
        <v>267</v>
      </c>
      <c r="B883" t="s">
        <v>84</v>
      </c>
      <c r="C883" t="s">
        <v>1225</v>
      </c>
      <c r="D883" t="s">
        <v>8</v>
      </c>
      <c r="E883">
        <v>60</v>
      </c>
      <c r="F883" t="str">
        <f t="shared" si="13"/>
        <v>Old</v>
      </c>
      <c r="G883" t="s">
        <v>256</v>
      </c>
      <c r="H883" s="3">
        <v>976</v>
      </c>
      <c r="I883" t="s">
        <v>4</v>
      </c>
      <c r="J883">
        <v>0</v>
      </c>
    </row>
    <row r="884" spans="1:10" x14ac:dyDescent="0.25">
      <c r="A884" t="s">
        <v>206</v>
      </c>
      <c r="B884" t="s">
        <v>71</v>
      </c>
      <c r="C884" t="s">
        <v>1226</v>
      </c>
      <c r="D884" t="s">
        <v>3</v>
      </c>
      <c r="E884">
        <v>30</v>
      </c>
      <c r="F884" t="str">
        <f t="shared" si="13"/>
        <v>Young</v>
      </c>
      <c r="G884" t="s">
        <v>76</v>
      </c>
      <c r="H884" s="3">
        <v>9242</v>
      </c>
      <c r="I884" t="s">
        <v>4</v>
      </c>
      <c r="J884">
        <v>1</v>
      </c>
    </row>
    <row r="885" spans="1:10" x14ac:dyDescent="0.25">
      <c r="A885" t="s">
        <v>796</v>
      </c>
      <c r="B885" t="s">
        <v>530</v>
      </c>
      <c r="C885" t="s">
        <v>1227</v>
      </c>
      <c r="D885" t="s">
        <v>8</v>
      </c>
      <c r="E885">
        <v>40</v>
      </c>
      <c r="F885" t="str">
        <f t="shared" si="13"/>
        <v>Middle Age</v>
      </c>
      <c r="G885" t="s">
        <v>227</v>
      </c>
      <c r="H885" s="3">
        <v>4192</v>
      </c>
      <c r="I885" t="s">
        <v>4</v>
      </c>
      <c r="J885">
        <v>0</v>
      </c>
    </row>
    <row r="886" spans="1:10" x14ac:dyDescent="0.25">
      <c r="A886" t="s">
        <v>183</v>
      </c>
      <c r="B886" t="s">
        <v>112</v>
      </c>
      <c r="C886" t="s">
        <v>1228</v>
      </c>
      <c r="D886" t="s">
        <v>3</v>
      </c>
      <c r="E886">
        <v>28</v>
      </c>
      <c r="F886" t="str">
        <f t="shared" si="13"/>
        <v>Young</v>
      </c>
      <c r="G886" t="s">
        <v>131</v>
      </c>
      <c r="H886" s="3">
        <v>4384</v>
      </c>
      <c r="I886" t="s">
        <v>14</v>
      </c>
      <c r="J886">
        <v>0</v>
      </c>
    </row>
    <row r="887" spans="1:10" x14ac:dyDescent="0.25">
      <c r="A887" t="s">
        <v>228</v>
      </c>
      <c r="B887" t="s">
        <v>294</v>
      </c>
      <c r="C887" t="s">
        <v>1229</v>
      </c>
      <c r="D887" t="s">
        <v>8</v>
      </c>
      <c r="E887">
        <v>27</v>
      </c>
      <c r="F887" t="str">
        <f t="shared" si="13"/>
        <v>Young</v>
      </c>
      <c r="G887" t="s">
        <v>131</v>
      </c>
      <c r="H887" s="3">
        <v>1385</v>
      </c>
      <c r="I887" t="s">
        <v>14</v>
      </c>
      <c r="J887">
        <v>0</v>
      </c>
    </row>
    <row r="888" spans="1:10" x14ac:dyDescent="0.25">
      <c r="A888" t="s">
        <v>591</v>
      </c>
      <c r="B888" t="s">
        <v>34</v>
      </c>
      <c r="C888" t="s">
        <v>1230</v>
      </c>
      <c r="D888" t="s">
        <v>8</v>
      </c>
      <c r="E888">
        <v>51</v>
      </c>
      <c r="F888" t="str">
        <f t="shared" si="13"/>
        <v>Old</v>
      </c>
      <c r="G888" t="s">
        <v>1364</v>
      </c>
      <c r="H888" s="3">
        <v>2948</v>
      </c>
      <c r="I888" t="s">
        <v>14</v>
      </c>
      <c r="J888">
        <v>5</v>
      </c>
    </row>
    <row r="889" spans="1:10" x14ac:dyDescent="0.25">
      <c r="A889" t="s">
        <v>445</v>
      </c>
      <c r="B889" t="s">
        <v>366</v>
      </c>
      <c r="C889" t="s">
        <v>1231</v>
      </c>
      <c r="D889" t="s">
        <v>3</v>
      </c>
      <c r="E889">
        <v>58</v>
      </c>
      <c r="F889" t="str">
        <f t="shared" si="13"/>
        <v>Old</v>
      </c>
      <c r="G889" t="s">
        <v>199</v>
      </c>
      <c r="H889" s="3">
        <v>6952</v>
      </c>
      <c r="I889" t="s">
        <v>4</v>
      </c>
      <c r="J889">
        <v>3</v>
      </c>
    </row>
    <row r="890" spans="1:10" x14ac:dyDescent="0.25">
      <c r="A890" t="s">
        <v>692</v>
      </c>
      <c r="B890" t="s">
        <v>120</v>
      </c>
      <c r="C890" t="s">
        <v>1232</v>
      </c>
      <c r="D890" t="s">
        <v>3</v>
      </c>
      <c r="E890">
        <v>47</v>
      </c>
      <c r="F890" t="str">
        <f t="shared" si="13"/>
        <v>Middle Age</v>
      </c>
      <c r="G890" t="s">
        <v>118</v>
      </c>
      <c r="H890" s="3">
        <v>8464</v>
      </c>
      <c r="I890" t="s">
        <v>4</v>
      </c>
      <c r="J890">
        <v>0</v>
      </c>
    </row>
    <row r="891" spans="1:10" x14ac:dyDescent="0.25">
      <c r="A891" t="s">
        <v>595</v>
      </c>
      <c r="B891" t="s">
        <v>504</v>
      </c>
      <c r="C891" t="s">
        <v>1233</v>
      </c>
      <c r="D891" t="s">
        <v>8</v>
      </c>
      <c r="E891">
        <v>50</v>
      </c>
      <c r="F891" t="str">
        <f t="shared" si="13"/>
        <v>Middle Age</v>
      </c>
      <c r="G891" t="s">
        <v>256</v>
      </c>
      <c r="H891" s="3">
        <v>5812</v>
      </c>
      <c r="I891" t="s">
        <v>14</v>
      </c>
      <c r="J891">
        <v>2</v>
      </c>
    </row>
    <row r="892" spans="1:10" x14ac:dyDescent="0.25">
      <c r="A892" t="s">
        <v>61</v>
      </c>
      <c r="B892" t="s">
        <v>98</v>
      </c>
      <c r="C892" t="s">
        <v>1234</v>
      </c>
      <c r="D892" t="s">
        <v>3</v>
      </c>
      <c r="E892">
        <v>34</v>
      </c>
      <c r="F892" t="str">
        <f t="shared" si="13"/>
        <v>Middle Age</v>
      </c>
      <c r="G892" t="s">
        <v>169</v>
      </c>
      <c r="H892" s="3">
        <v>3115</v>
      </c>
      <c r="I892" t="s">
        <v>14</v>
      </c>
      <c r="J892">
        <v>1</v>
      </c>
    </row>
    <row r="893" spans="1:10" x14ac:dyDescent="0.25">
      <c r="A893" t="s">
        <v>173</v>
      </c>
      <c r="B893" t="s">
        <v>185</v>
      </c>
      <c r="C893" t="s">
        <v>1235</v>
      </c>
      <c r="D893" t="s">
        <v>3</v>
      </c>
      <c r="E893">
        <v>41</v>
      </c>
      <c r="F893" t="str">
        <f t="shared" si="13"/>
        <v>Middle Age</v>
      </c>
      <c r="G893" t="s">
        <v>76</v>
      </c>
      <c r="H893" s="3">
        <v>9251</v>
      </c>
      <c r="I893" t="s">
        <v>14</v>
      </c>
      <c r="J893">
        <v>0</v>
      </c>
    </row>
    <row r="894" spans="1:10" x14ac:dyDescent="0.25">
      <c r="A894" t="s">
        <v>87</v>
      </c>
      <c r="B894" t="s">
        <v>326</v>
      </c>
      <c r="C894" t="s">
        <v>1236</v>
      </c>
      <c r="D894" t="s">
        <v>3</v>
      </c>
      <c r="E894">
        <v>56</v>
      </c>
      <c r="F894" t="str">
        <f t="shared" si="13"/>
        <v>Old</v>
      </c>
      <c r="G894" t="s">
        <v>76</v>
      </c>
      <c r="H894" s="3">
        <v>4182</v>
      </c>
      <c r="I894" t="s">
        <v>14</v>
      </c>
      <c r="J894">
        <v>5</v>
      </c>
    </row>
    <row r="895" spans="1:10" x14ac:dyDescent="0.25">
      <c r="A895" t="s">
        <v>235</v>
      </c>
      <c r="B895" t="s">
        <v>27</v>
      </c>
      <c r="C895" t="s">
        <v>1237</v>
      </c>
      <c r="D895" t="s">
        <v>8</v>
      </c>
      <c r="E895">
        <v>33</v>
      </c>
      <c r="F895" t="str">
        <f t="shared" si="13"/>
        <v>Middle Age</v>
      </c>
      <c r="G895" t="s">
        <v>234</v>
      </c>
      <c r="H895" s="3">
        <v>3058</v>
      </c>
      <c r="I895" t="s">
        <v>4</v>
      </c>
      <c r="J895">
        <v>1</v>
      </c>
    </row>
    <row r="896" spans="1:10" x14ac:dyDescent="0.25">
      <c r="A896" t="s">
        <v>87</v>
      </c>
      <c r="B896" t="s">
        <v>530</v>
      </c>
      <c r="C896" t="s">
        <v>1238</v>
      </c>
      <c r="D896" t="s">
        <v>3</v>
      </c>
      <c r="E896">
        <v>49</v>
      </c>
      <c r="F896" t="str">
        <f t="shared" si="13"/>
        <v>Middle Age</v>
      </c>
      <c r="G896" t="s">
        <v>187</v>
      </c>
      <c r="H896" s="3">
        <v>9740</v>
      </c>
      <c r="I896" t="s">
        <v>14</v>
      </c>
      <c r="J896">
        <v>1</v>
      </c>
    </row>
    <row r="897" spans="1:10" x14ac:dyDescent="0.25">
      <c r="A897" t="s">
        <v>314</v>
      </c>
      <c r="B897" t="s">
        <v>220</v>
      </c>
      <c r="C897" t="s">
        <v>1239</v>
      </c>
      <c r="D897" t="s">
        <v>8</v>
      </c>
      <c r="E897">
        <v>39</v>
      </c>
      <c r="F897" t="str">
        <f t="shared" si="13"/>
        <v>Middle Age</v>
      </c>
      <c r="G897" t="s">
        <v>227</v>
      </c>
      <c r="H897" s="3">
        <v>609</v>
      </c>
      <c r="I897" t="s">
        <v>14</v>
      </c>
      <c r="J897">
        <v>4</v>
      </c>
    </row>
    <row r="898" spans="1:10" x14ac:dyDescent="0.25">
      <c r="A898" t="s">
        <v>336</v>
      </c>
      <c r="B898" t="s">
        <v>498</v>
      </c>
      <c r="C898" t="s">
        <v>1240</v>
      </c>
      <c r="D898" t="s">
        <v>8</v>
      </c>
      <c r="E898">
        <v>32</v>
      </c>
      <c r="F898" t="str">
        <f t="shared" si="13"/>
        <v>Middle Age</v>
      </c>
      <c r="G898" t="s">
        <v>169</v>
      </c>
      <c r="H898" s="3">
        <v>7315</v>
      </c>
      <c r="I898" t="s">
        <v>14</v>
      </c>
      <c r="J898">
        <v>2</v>
      </c>
    </row>
    <row r="899" spans="1:10" x14ac:dyDescent="0.25">
      <c r="A899" t="s">
        <v>108</v>
      </c>
      <c r="B899" t="s">
        <v>53</v>
      </c>
      <c r="C899" t="s">
        <v>1241</v>
      </c>
      <c r="D899" t="s">
        <v>3</v>
      </c>
      <c r="E899">
        <v>49</v>
      </c>
      <c r="F899" t="str">
        <f t="shared" ref="F899:F962" si="14">IF(E899&gt;50,"Old",IF(E899&gt;=31,"Middle Age",IF(E899&lt;31,"Young","Invalid")))</f>
        <v>Middle Age</v>
      </c>
      <c r="G899" t="s">
        <v>194</v>
      </c>
      <c r="H899" s="3">
        <v>2538</v>
      </c>
      <c r="I899" t="s">
        <v>4</v>
      </c>
      <c r="J899">
        <v>1</v>
      </c>
    </row>
    <row r="900" spans="1:10" x14ac:dyDescent="0.25">
      <c r="A900" t="s">
        <v>403</v>
      </c>
      <c r="B900" t="s">
        <v>91</v>
      </c>
      <c r="C900" t="s">
        <v>1242</v>
      </c>
      <c r="D900" t="s">
        <v>8</v>
      </c>
      <c r="E900">
        <v>53</v>
      </c>
      <c r="F900" t="str">
        <f t="shared" si="14"/>
        <v>Old</v>
      </c>
      <c r="G900" t="s">
        <v>266</v>
      </c>
      <c r="H900" s="3">
        <v>9737</v>
      </c>
      <c r="I900" t="s">
        <v>14</v>
      </c>
      <c r="J900">
        <v>3</v>
      </c>
    </row>
    <row r="901" spans="1:10" x14ac:dyDescent="0.25">
      <c r="A901" t="s">
        <v>145</v>
      </c>
      <c r="B901" t="s">
        <v>45</v>
      </c>
      <c r="C901" t="s">
        <v>1243</v>
      </c>
      <c r="D901" t="s">
        <v>8</v>
      </c>
      <c r="E901">
        <v>46</v>
      </c>
      <c r="F901" t="str">
        <f t="shared" si="14"/>
        <v>Middle Age</v>
      </c>
      <c r="G901" t="s">
        <v>150</v>
      </c>
      <c r="H901" s="3">
        <v>8144</v>
      </c>
      <c r="I901" t="s">
        <v>4</v>
      </c>
      <c r="J901">
        <v>0</v>
      </c>
    </row>
    <row r="902" spans="1:10" x14ac:dyDescent="0.25">
      <c r="A902" t="s">
        <v>26</v>
      </c>
      <c r="B902" t="s">
        <v>126</v>
      </c>
      <c r="C902" t="s">
        <v>1244</v>
      </c>
      <c r="D902" t="s">
        <v>8</v>
      </c>
      <c r="E902">
        <v>47</v>
      </c>
      <c r="F902" t="str">
        <f t="shared" si="14"/>
        <v>Middle Age</v>
      </c>
      <c r="G902" t="s">
        <v>248</v>
      </c>
      <c r="H902" s="3">
        <v>1827</v>
      </c>
      <c r="I902" t="s">
        <v>4</v>
      </c>
      <c r="J902">
        <v>1</v>
      </c>
    </row>
    <row r="903" spans="1:10" x14ac:dyDescent="0.25">
      <c r="A903" t="s">
        <v>155</v>
      </c>
      <c r="B903" t="s">
        <v>604</v>
      </c>
      <c r="C903" t="s">
        <v>1245</v>
      </c>
      <c r="D903" t="s">
        <v>3</v>
      </c>
      <c r="E903">
        <v>51</v>
      </c>
      <c r="F903" t="str">
        <f t="shared" si="14"/>
        <v>Old</v>
      </c>
      <c r="G903" t="s">
        <v>13</v>
      </c>
      <c r="H903" s="3">
        <v>8998</v>
      </c>
      <c r="I903" t="s">
        <v>4</v>
      </c>
      <c r="J903">
        <v>0</v>
      </c>
    </row>
    <row r="904" spans="1:10" x14ac:dyDescent="0.25">
      <c r="A904" t="s">
        <v>52</v>
      </c>
      <c r="B904" t="s">
        <v>561</v>
      </c>
      <c r="C904" t="s">
        <v>1246</v>
      </c>
      <c r="D904" t="s">
        <v>8</v>
      </c>
      <c r="E904">
        <v>23</v>
      </c>
      <c r="F904" t="str">
        <f t="shared" si="14"/>
        <v>Young</v>
      </c>
      <c r="G904" t="s">
        <v>51</v>
      </c>
      <c r="H904" s="3">
        <v>3240</v>
      </c>
      <c r="I904" t="s">
        <v>4</v>
      </c>
      <c r="J904">
        <v>1</v>
      </c>
    </row>
    <row r="905" spans="1:10" x14ac:dyDescent="0.25">
      <c r="A905" t="s">
        <v>61</v>
      </c>
      <c r="B905" t="s">
        <v>114</v>
      </c>
      <c r="C905" t="s">
        <v>1247</v>
      </c>
      <c r="D905" t="s">
        <v>3</v>
      </c>
      <c r="E905">
        <v>18</v>
      </c>
      <c r="F905" t="str">
        <f t="shared" si="14"/>
        <v>Young</v>
      </c>
      <c r="G905" t="s">
        <v>150</v>
      </c>
      <c r="H905" s="3">
        <v>2457</v>
      </c>
      <c r="I905" t="s">
        <v>14</v>
      </c>
      <c r="J905">
        <v>3</v>
      </c>
    </row>
    <row r="906" spans="1:10" x14ac:dyDescent="0.25">
      <c r="A906" t="s">
        <v>928</v>
      </c>
      <c r="B906" t="s">
        <v>1</v>
      </c>
      <c r="C906" t="s">
        <v>1248</v>
      </c>
      <c r="D906" t="s">
        <v>8</v>
      </c>
      <c r="E906">
        <v>43</v>
      </c>
      <c r="F906" t="str">
        <f t="shared" si="14"/>
        <v>Middle Age</v>
      </c>
      <c r="G906" t="s">
        <v>217</v>
      </c>
      <c r="H906" s="3">
        <v>8822</v>
      </c>
      <c r="I906" t="s">
        <v>4</v>
      </c>
      <c r="J906">
        <v>4</v>
      </c>
    </row>
    <row r="907" spans="1:10" x14ac:dyDescent="0.25">
      <c r="A907" t="s">
        <v>639</v>
      </c>
      <c r="B907" t="s">
        <v>112</v>
      </c>
      <c r="C907" t="s">
        <v>1249</v>
      </c>
      <c r="D907" t="s">
        <v>8</v>
      </c>
      <c r="E907">
        <v>56</v>
      </c>
      <c r="F907" t="str">
        <f t="shared" si="14"/>
        <v>Old</v>
      </c>
      <c r="G907" t="s">
        <v>131</v>
      </c>
      <c r="H907" s="3">
        <v>8979</v>
      </c>
      <c r="I907" t="s">
        <v>14</v>
      </c>
      <c r="J907">
        <v>1</v>
      </c>
    </row>
    <row r="908" spans="1:10" x14ac:dyDescent="0.25">
      <c r="A908" t="s">
        <v>350</v>
      </c>
      <c r="B908" t="s">
        <v>334</v>
      </c>
      <c r="C908" t="s">
        <v>1250</v>
      </c>
      <c r="D908" t="s">
        <v>8</v>
      </c>
      <c r="E908">
        <v>34</v>
      </c>
      <c r="F908" t="str">
        <f t="shared" si="14"/>
        <v>Middle Age</v>
      </c>
      <c r="G908" t="s">
        <v>169</v>
      </c>
      <c r="H908" s="3">
        <v>7733</v>
      </c>
      <c r="I908" t="s">
        <v>4</v>
      </c>
      <c r="J908">
        <v>5</v>
      </c>
    </row>
    <row r="909" spans="1:10" x14ac:dyDescent="0.25">
      <c r="A909" t="s">
        <v>812</v>
      </c>
      <c r="B909" t="s">
        <v>155</v>
      </c>
      <c r="C909" t="s">
        <v>1251</v>
      </c>
      <c r="D909" t="s">
        <v>3</v>
      </c>
      <c r="E909">
        <v>29</v>
      </c>
      <c r="F909" t="str">
        <f t="shared" si="14"/>
        <v>Young</v>
      </c>
      <c r="G909" t="s">
        <v>69</v>
      </c>
      <c r="H909" s="3">
        <v>4522</v>
      </c>
      <c r="I909" t="s">
        <v>14</v>
      </c>
      <c r="J909">
        <v>4</v>
      </c>
    </row>
    <row r="910" spans="1:10" x14ac:dyDescent="0.25">
      <c r="A910" t="s">
        <v>346</v>
      </c>
      <c r="B910" t="s">
        <v>116</v>
      </c>
      <c r="C910" t="s">
        <v>347</v>
      </c>
      <c r="D910" t="s">
        <v>3</v>
      </c>
      <c r="E910">
        <v>45</v>
      </c>
      <c r="F910" t="str">
        <f t="shared" si="14"/>
        <v>Middle Age</v>
      </c>
      <c r="G910" t="s">
        <v>266</v>
      </c>
      <c r="H910" s="3">
        <v>7865</v>
      </c>
      <c r="I910" t="s">
        <v>14</v>
      </c>
      <c r="J910">
        <v>2</v>
      </c>
    </row>
    <row r="911" spans="1:10" x14ac:dyDescent="0.25">
      <c r="A911" t="s">
        <v>1252</v>
      </c>
      <c r="B911" t="s">
        <v>249</v>
      </c>
      <c r="C911" t="s">
        <v>1253</v>
      </c>
      <c r="D911" t="s">
        <v>8</v>
      </c>
      <c r="E911">
        <v>30</v>
      </c>
      <c r="F911" t="str">
        <f t="shared" si="14"/>
        <v>Young</v>
      </c>
      <c r="G911" t="s">
        <v>227</v>
      </c>
      <c r="H911" s="3">
        <v>8604</v>
      </c>
      <c r="I911" t="s">
        <v>4</v>
      </c>
      <c r="J911">
        <v>0</v>
      </c>
    </row>
    <row r="912" spans="1:10" x14ac:dyDescent="0.25">
      <c r="A912" t="s">
        <v>125</v>
      </c>
      <c r="B912" t="s">
        <v>78</v>
      </c>
      <c r="C912" t="s">
        <v>1254</v>
      </c>
      <c r="D912" t="s">
        <v>8</v>
      </c>
      <c r="E912">
        <v>44</v>
      </c>
      <c r="F912" t="str">
        <f t="shared" si="14"/>
        <v>Middle Age</v>
      </c>
      <c r="G912" t="s">
        <v>51</v>
      </c>
      <c r="H912" s="3">
        <v>5443</v>
      </c>
      <c r="I912" t="s">
        <v>4</v>
      </c>
      <c r="J912">
        <v>2</v>
      </c>
    </row>
    <row r="913" spans="1:10" x14ac:dyDescent="0.25">
      <c r="A913" t="s">
        <v>525</v>
      </c>
      <c r="B913" t="s">
        <v>340</v>
      </c>
      <c r="C913" t="s">
        <v>1255</v>
      </c>
      <c r="D913" t="s">
        <v>8</v>
      </c>
      <c r="E913">
        <v>54</v>
      </c>
      <c r="F913" t="str">
        <f t="shared" si="14"/>
        <v>Old</v>
      </c>
      <c r="G913" t="s">
        <v>69</v>
      </c>
      <c r="H913" s="3">
        <v>1498</v>
      </c>
      <c r="I913" t="s">
        <v>4</v>
      </c>
      <c r="J913">
        <v>4</v>
      </c>
    </row>
    <row r="914" spans="1:10" x14ac:dyDescent="0.25">
      <c r="A914" t="s">
        <v>512</v>
      </c>
      <c r="B914" t="s">
        <v>174</v>
      </c>
      <c r="C914" t="s">
        <v>1256</v>
      </c>
      <c r="D914" t="s">
        <v>3</v>
      </c>
      <c r="E914">
        <v>37</v>
      </c>
      <c r="F914" t="str">
        <f t="shared" si="14"/>
        <v>Middle Age</v>
      </c>
      <c r="G914" t="s">
        <v>234</v>
      </c>
      <c r="H914" s="3">
        <v>5054</v>
      </c>
      <c r="I914" t="s">
        <v>4</v>
      </c>
      <c r="J914">
        <v>5</v>
      </c>
    </row>
    <row r="915" spans="1:10" x14ac:dyDescent="0.25">
      <c r="A915" t="s">
        <v>138</v>
      </c>
      <c r="B915" t="s">
        <v>337</v>
      </c>
      <c r="C915" t="s">
        <v>1257</v>
      </c>
      <c r="D915" t="s">
        <v>3</v>
      </c>
      <c r="E915">
        <v>58</v>
      </c>
      <c r="F915" t="str">
        <f t="shared" si="14"/>
        <v>Old</v>
      </c>
      <c r="G915" t="s">
        <v>227</v>
      </c>
      <c r="H915" s="3">
        <v>8153</v>
      </c>
      <c r="I915" t="s">
        <v>4</v>
      </c>
      <c r="J915">
        <v>4</v>
      </c>
    </row>
    <row r="916" spans="1:10" x14ac:dyDescent="0.25">
      <c r="A916" t="s">
        <v>111</v>
      </c>
      <c r="B916" t="s">
        <v>368</v>
      </c>
      <c r="C916" t="s">
        <v>1258</v>
      </c>
      <c r="D916" t="s">
        <v>8</v>
      </c>
      <c r="E916">
        <v>51</v>
      </c>
      <c r="F916" t="str">
        <f t="shared" si="14"/>
        <v>Old</v>
      </c>
      <c r="G916" t="s">
        <v>225</v>
      </c>
      <c r="H916" s="3">
        <v>4167</v>
      </c>
      <c r="I916" t="s">
        <v>14</v>
      </c>
      <c r="J916">
        <v>5</v>
      </c>
    </row>
    <row r="917" spans="1:10" x14ac:dyDescent="0.25">
      <c r="A917" t="s">
        <v>395</v>
      </c>
      <c r="B917" t="s">
        <v>326</v>
      </c>
      <c r="C917" t="s">
        <v>1259</v>
      </c>
      <c r="D917" t="s">
        <v>8</v>
      </c>
      <c r="E917">
        <v>34</v>
      </c>
      <c r="F917" t="str">
        <f t="shared" si="14"/>
        <v>Middle Age</v>
      </c>
      <c r="G917" t="s">
        <v>25</v>
      </c>
      <c r="H917" s="3">
        <v>9777</v>
      </c>
      <c r="I917" t="s">
        <v>4</v>
      </c>
      <c r="J917">
        <v>0</v>
      </c>
    </row>
    <row r="918" spans="1:10" x14ac:dyDescent="0.25">
      <c r="A918" t="s">
        <v>1067</v>
      </c>
      <c r="B918" t="s">
        <v>126</v>
      </c>
      <c r="C918" t="s">
        <v>1260</v>
      </c>
      <c r="D918" t="s">
        <v>3</v>
      </c>
      <c r="E918">
        <v>49</v>
      </c>
      <c r="F918" t="str">
        <f t="shared" si="14"/>
        <v>Middle Age</v>
      </c>
      <c r="G918" t="s">
        <v>211</v>
      </c>
      <c r="H918" s="3">
        <v>3559</v>
      </c>
      <c r="I918" t="s">
        <v>14</v>
      </c>
      <c r="J918">
        <v>5</v>
      </c>
    </row>
    <row r="919" spans="1:10" x14ac:dyDescent="0.25">
      <c r="A919" t="s">
        <v>33</v>
      </c>
      <c r="B919" t="s">
        <v>351</v>
      </c>
      <c r="C919" t="s">
        <v>1261</v>
      </c>
      <c r="D919" t="s">
        <v>3</v>
      </c>
      <c r="E919">
        <v>47</v>
      </c>
      <c r="F919" t="str">
        <f t="shared" si="14"/>
        <v>Middle Age</v>
      </c>
      <c r="G919" t="s">
        <v>59</v>
      </c>
      <c r="H919" s="3">
        <v>2901</v>
      </c>
      <c r="I919" t="s">
        <v>14</v>
      </c>
      <c r="J919">
        <v>1</v>
      </c>
    </row>
    <row r="920" spans="1:10" x14ac:dyDescent="0.25">
      <c r="A920" t="s">
        <v>439</v>
      </c>
      <c r="B920" t="s">
        <v>371</v>
      </c>
      <c r="C920" t="s">
        <v>1262</v>
      </c>
      <c r="D920" t="s">
        <v>3</v>
      </c>
      <c r="E920">
        <v>47</v>
      </c>
      <c r="F920" t="str">
        <f t="shared" si="14"/>
        <v>Middle Age</v>
      </c>
      <c r="G920" t="s">
        <v>128</v>
      </c>
      <c r="H920" s="3">
        <v>634</v>
      </c>
      <c r="I920" t="s">
        <v>4</v>
      </c>
      <c r="J920">
        <v>3</v>
      </c>
    </row>
    <row r="921" spans="1:10" x14ac:dyDescent="0.25">
      <c r="A921" t="s">
        <v>423</v>
      </c>
      <c r="B921" t="s">
        <v>340</v>
      </c>
      <c r="C921" t="s">
        <v>1263</v>
      </c>
      <c r="D921" t="s">
        <v>8</v>
      </c>
      <c r="E921">
        <v>34</v>
      </c>
      <c r="F921" t="str">
        <f t="shared" si="14"/>
        <v>Middle Age</v>
      </c>
      <c r="G921" t="s">
        <v>182</v>
      </c>
      <c r="H921" s="3">
        <v>3817</v>
      </c>
      <c r="I921" t="s">
        <v>14</v>
      </c>
      <c r="J921">
        <v>0</v>
      </c>
    </row>
    <row r="922" spans="1:10" x14ac:dyDescent="0.25">
      <c r="A922" t="s">
        <v>360</v>
      </c>
      <c r="B922" t="s">
        <v>49</v>
      </c>
      <c r="C922" t="s">
        <v>1264</v>
      </c>
      <c r="D922" t="s">
        <v>3</v>
      </c>
      <c r="E922">
        <v>45</v>
      </c>
      <c r="F922" t="str">
        <f t="shared" si="14"/>
        <v>Middle Age</v>
      </c>
      <c r="G922" t="s">
        <v>270</v>
      </c>
      <c r="H922" s="3">
        <v>9990</v>
      </c>
      <c r="I922" t="s">
        <v>4</v>
      </c>
      <c r="J922">
        <v>1</v>
      </c>
    </row>
    <row r="923" spans="1:10" x14ac:dyDescent="0.25">
      <c r="A923" t="s">
        <v>671</v>
      </c>
      <c r="B923" t="s">
        <v>45</v>
      </c>
      <c r="C923" t="s">
        <v>1265</v>
      </c>
      <c r="D923" t="s">
        <v>8</v>
      </c>
      <c r="E923">
        <v>44</v>
      </c>
      <c r="F923" t="str">
        <f t="shared" si="14"/>
        <v>Middle Age</v>
      </c>
      <c r="G923" t="s">
        <v>248</v>
      </c>
      <c r="H923" s="3">
        <v>8325</v>
      </c>
      <c r="I923" t="s">
        <v>4</v>
      </c>
      <c r="J923">
        <v>4</v>
      </c>
    </row>
    <row r="924" spans="1:10" x14ac:dyDescent="0.25">
      <c r="A924" t="s">
        <v>537</v>
      </c>
      <c r="B924" t="s">
        <v>23</v>
      </c>
      <c r="C924" t="s">
        <v>1266</v>
      </c>
      <c r="D924" t="s">
        <v>3</v>
      </c>
      <c r="E924">
        <v>49</v>
      </c>
      <c r="F924" t="str">
        <f t="shared" si="14"/>
        <v>Middle Age</v>
      </c>
      <c r="G924" t="s">
        <v>231</v>
      </c>
      <c r="H924" s="3">
        <v>4604</v>
      </c>
      <c r="I924" t="s">
        <v>4</v>
      </c>
      <c r="J924">
        <v>5</v>
      </c>
    </row>
    <row r="925" spans="1:10" x14ac:dyDescent="0.25">
      <c r="A925" t="s">
        <v>963</v>
      </c>
      <c r="B925" t="s">
        <v>249</v>
      </c>
      <c r="C925" t="s">
        <v>1267</v>
      </c>
      <c r="D925" t="s">
        <v>3</v>
      </c>
      <c r="E925">
        <v>43</v>
      </c>
      <c r="F925" t="str">
        <f t="shared" si="14"/>
        <v>Middle Age</v>
      </c>
      <c r="G925" t="s">
        <v>211</v>
      </c>
      <c r="H925" s="3">
        <v>4254</v>
      </c>
      <c r="I925" t="s">
        <v>14</v>
      </c>
      <c r="J925">
        <v>3</v>
      </c>
    </row>
    <row r="926" spans="1:10" x14ac:dyDescent="0.25">
      <c r="A926" t="s">
        <v>188</v>
      </c>
      <c r="B926" t="s">
        <v>148</v>
      </c>
      <c r="C926" t="s">
        <v>1268</v>
      </c>
      <c r="D926" t="s">
        <v>8</v>
      </c>
      <c r="E926">
        <v>43</v>
      </c>
      <c r="F926" t="str">
        <f t="shared" si="14"/>
        <v>Middle Age</v>
      </c>
      <c r="G926" t="s">
        <v>80</v>
      </c>
      <c r="H926" s="3">
        <v>7493</v>
      </c>
      <c r="I926" t="s">
        <v>4</v>
      </c>
      <c r="J926">
        <v>2</v>
      </c>
    </row>
    <row r="927" spans="1:10" x14ac:dyDescent="0.25">
      <c r="A927" t="s">
        <v>922</v>
      </c>
      <c r="B927" t="s">
        <v>215</v>
      </c>
      <c r="C927" t="s">
        <v>1269</v>
      </c>
      <c r="D927" t="s">
        <v>3</v>
      </c>
      <c r="E927">
        <v>19</v>
      </c>
      <c r="F927" t="str">
        <f t="shared" si="14"/>
        <v>Young</v>
      </c>
      <c r="G927" t="s">
        <v>43</v>
      </c>
      <c r="H927" s="3">
        <v>5631</v>
      </c>
      <c r="I927" t="s">
        <v>14</v>
      </c>
      <c r="J927">
        <v>3</v>
      </c>
    </row>
    <row r="928" spans="1:10" x14ac:dyDescent="0.25">
      <c r="A928" t="s">
        <v>725</v>
      </c>
      <c r="B928" t="s">
        <v>174</v>
      </c>
      <c r="C928" t="s">
        <v>1270</v>
      </c>
      <c r="D928" t="s">
        <v>8</v>
      </c>
      <c r="E928">
        <v>36</v>
      </c>
      <c r="F928" t="str">
        <f t="shared" si="14"/>
        <v>Middle Age</v>
      </c>
      <c r="G928" t="s">
        <v>303</v>
      </c>
      <c r="H928" s="3">
        <v>9684</v>
      </c>
      <c r="I928" t="s">
        <v>4</v>
      </c>
      <c r="J928">
        <v>0</v>
      </c>
    </row>
    <row r="929" spans="1:10" x14ac:dyDescent="0.25">
      <c r="A929" t="s">
        <v>491</v>
      </c>
      <c r="B929" t="s">
        <v>200</v>
      </c>
      <c r="C929" t="s">
        <v>1271</v>
      </c>
      <c r="D929" t="s">
        <v>3</v>
      </c>
      <c r="E929">
        <v>35</v>
      </c>
      <c r="F929" t="str">
        <f t="shared" si="14"/>
        <v>Middle Age</v>
      </c>
      <c r="G929" t="s">
        <v>172</v>
      </c>
      <c r="H929" s="3">
        <v>4400</v>
      </c>
      <c r="I929" t="s">
        <v>4</v>
      </c>
      <c r="J929">
        <v>2</v>
      </c>
    </row>
    <row r="930" spans="1:10" x14ac:dyDescent="0.25">
      <c r="A930" t="s">
        <v>238</v>
      </c>
      <c r="B930" t="s">
        <v>251</v>
      </c>
      <c r="C930" t="s">
        <v>1272</v>
      </c>
      <c r="D930" t="s">
        <v>8</v>
      </c>
      <c r="E930">
        <v>29</v>
      </c>
      <c r="F930" t="str">
        <f t="shared" si="14"/>
        <v>Young</v>
      </c>
      <c r="G930" t="s">
        <v>169</v>
      </c>
      <c r="H930" s="3">
        <v>9481</v>
      </c>
      <c r="I930" t="s">
        <v>4</v>
      </c>
      <c r="J930">
        <v>3</v>
      </c>
    </row>
    <row r="931" spans="1:10" x14ac:dyDescent="0.25">
      <c r="A931" t="s">
        <v>379</v>
      </c>
      <c r="B931" t="s">
        <v>251</v>
      </c>
      <c r="C931" t="s">
        <v>1273</v>
      </c>
      <c r="D931" t="s">
        <v>8</v>
      </c>
      <c r="E931">
        <v>36</v>
      </c>
      <c r="F931" t="str">
        <f t="shared" si="14"/>
        <v>Middle Age</v>
      </c>
      <c r="G931" t="s">
        <v>43</v>
      </c>
      <c r="H931" s="3">
        <v>7932</v>
      </c>
      <c r="I931" t="s">
        <v>4</v>
      </c>
      <c r="J931">
        <v>5</v>
      </c>
    </row>
    <row r="932" spans="1:10" x14ac:dyDescent="0.25">
      <c r="A932" t="s">
        <v>408</v>
      </c>
      <c r="B932" t="s">
        <v>174</v>
      </c>
      <c r="C932" t="s">
        <v>1274</v>
      </c>
      <c r="D932" t="s">
        <v>3</v>
      </c>
      <c r="E932">
        <v>34</v>
      </c>
      <c r="F932" t="str">
        <f t="shared" si="14"/>
        <v>Middle Age</v>
      </c>
      <c r="G932" t="s">
        <v>266</v>
      </c>
      <c r="H932" s="3">
        <v>1350</v>
      </c>
      <c r="I932" t="s">
        <v>4</v>
      </c>
      <c r="J932">
        <v>0</v>
      </c>
    </row>
    <row r="933" spans="1:10" x14ac:dyDescent="0.25">
      <c r="A933" t="s">
        <v>700</v>
      </c>
      <c r="B933" t="s">
        <v>530</v>
      </c>
      <c r="C933" t="s">
        <v>1275</v>
      </c>
      <c r="D933" t="s">
        <v>3</v>
      </c>
      <c r="E933">
        <v>30</v>
      </c>
      <c r="F933" t="str">
        <f t="shared" si="14"/>
        <v>Young</v>
      </c>
      <c r="G933" t="s">
        <v>270</v>
      </c>
      <c r="H933" s="3">
        <v>4197</v>
      </c>
      <c r="I933" t="s">
        <v>4</v>
      </c>
      <c r="J933">
        <v>4</v>
      </c>
    </row>
    <row r="934" spans="1:10" x14ac:dyDescent="0.25">
      <c r="A934" t="s">
        <v>129</v>
      </c>
      <c r="B934" t="s">
        <v>371</v>
      </c>
      <c r="C934" t="s">
        <v>1276</v>
      </c>
      <c r="D934" t="s">
        <v>3</v>
      </c>
      <c r="E934">
        <v>18</v>
      </c>
      <c r="F934" t="str">
        <f t="shared" si="14"/>
        <v>Young</v>
      </c>
      <c r="G934" t="s">
        <v>9</v>
      </c>
      <c r="H934" s="3">
        <v>3964</v>
      </c>
      <c r="I934" t="s">
        <v>4</v>
      </c>
      <c r="J934">
        <v>2</v>
      </c>
    </row>
    <row r="935" spans="1:10" x14ac:dyDescent="0.25">
      <c r="A935" t="s">
        <v>584</v>
      </c>
      <c r="B935" t="s">
        <v>204</v>
      </c>
      <c r="C935" t="s">
        <v>1277</v>
      </c>
      <c r="D935" t="s">
        <v>3</v>
      </c>
      <c r="E935">
        <v>43</v>
      </c>
      <c r="F935" t="str">
        <f t="shared" si="14"/>
        <v>Middle Age</v>
      </c>
      <c r="G935" t="s">
        <v>124</v>
      </c>
      <c r="H935" s="3">
        <v>3378</v>
      </c>
      <c r="I935" t="s">
        <v>4</v>
      </c>
      <c r="J935">
        <v>3</v>
      </c>
    </row>
    <row r="936" spans="1:10" x14ac:dyDescent="0.25">
      <c r="A936" t="s">
        <v>591</v>
      </c>
      <c r="B936" t="s">
        <v>635</v>
      </c>
      <c r="C936" t="s">
        <v>1278</v>
      </c>
      <c r="D936" t="s">
        <v>8</v>
      </c>
      <c r="E936">
        <v>48</v>
      </c>
      <c r="F936" t="str">
        <f t="shared" si="14"/>
        <v>Middle Age</v>
      </c>
      <c r="G936" t="s">
        <v>270</v>
      </c>
      <c r="H936" s="3">
        <v>1804</v>
      </c>
      <c r="I936" t="s">
        <v>14</v>
      </c>
      <c r="J936">
        <v>2</v>
      </c>
    </row>
    <row r="937" spans="1:10" x14ac:dyDescent="0.25">
      <c r="A937" t="s">
        <v>690</v>
      </c>
      <c r="B937" t="s">
        <v>650</v>
      </c>
      <c r="C937" t="s">
        <v>1279</v>
      </c>
      <c r="D937" t="s">
        <v>8</v>
      </c>
      <c r="E937">
        <v>58</v>
      </c>
      <c r="F937" t="str">
        <f t="shared" si="14"/>
        <v>Old</v>
      </c>
      <c r="G937" t="s">
        <v>217</v>
      </c>
      <c r="H937" s="3">
        <v>9107</v>
      </c>
      <c r="I937" t="s">
        <v>4</v>
      </c>
      <c r="J937">
        <v>4</v>
      </c>
    </row>
    <row r="938" spans="1:10" x14ac:dyDescent="0.25">
      <c r="A938" t="s">
        <v>108</v>
      </c>
      <c r="B938" t="s">
        <v>459</v>
      </c>
      <c r="C938" t="s">
        <v>1280</v>
      </c>
      <c r="D938" t="s">
        <v>3</v>
      </c>
      <c r="E938">
        <v>45</v>
      </c>
      <c r="F938" t="str">
        <f t="shared" si="14"/>
        <v>Middle Age</v>
      </c>
      <c r="G938" t="s">
        <v>63</v>
      </c>
      <c r="H938" s="3">
        <v>1213</v>
      </c>
      <c r="I938" t="s">
        <v>4</v>
      </c>
      <c r="J938">
        <v>5</v>
      </c>
    </row>
    <row r="939" spans="1:10" x14ac:dyDescent="0.25">
      <c r="A939" t="s">
        <v>534</v>
      </c>
      <c r="B939" t="s">
        <v>1</v>
      </c>
      <c r="C939" t="s">
        <v>1281</v>
      </c>
      <c r="D939" t="s">
        <v>3</v>
      </c>
      <c r="E939">
        <v>26</v>
      </c>
      <c r="F939" t="str">
        <f t="shared" si="14"/>
        <v>Young</v>
      </c>
      <c r="G939" t="s">
        <v>63</v>
      </c>
      <c r="H939" s="3">
        <v>7686</v>
      </c>
      <c r="I939" t="s">
        <v>14</v>
      </c>
      <c r="J939">
        <v>5</v>
      </c>
    </row>
    <row r="940" spans="1:10" x14ac:dyDescent="0.25">
      <c r="A940" t="s">
        <v>240</v>
      </c>
      <c r="B940" t="s">
        <v>236</v>
      </c>
      <c r="C940" t="s">
        <v>1282</v>
      </c>
      <c r="D940" t="s">
        <v>3</v>
      </c>
      <c r="E940">
        <v>45</v>
      </c>
      <c r="F940" t="str">
        <f t="shared" si="14"/>
        <v>Middle Age</v>
      </c>
      <c r="G940" t="s">
        <v>303</v>
      </c>
      <c r="H940" s="3">
        <v>6167</v>
      </c>
      <c r="I940" t="s">
        <v>4</v>
      </c>
      <c r="J940">
        <v>0</v>
      </c>
    </row>
    <row r="941" spans="1:10" x14ac:dyDescent="0.25">
      <c r="A941" t="s">
        <v>657</v>
      </c>
      <c r="B941" t="s">
        <v>294</v>
      </c>
      <c r="C941" t="s">
        <v>1283</v>
      </c>
      <c r="D941" t="s">
        <v>3</v>
      </c>
      <c r="E941">
        <v>35</v>
      </c>
      <c r="F941" t="str">
        <f t="shared" si="14"/>
        <v>Middle Age</v>
      </c>
      <c r="G941" t="s">
        <v>21</v>
      </c>
      <c r="H941" s="3">
        <v>5036</v>
      </c>
      <c r="I941" t="s">
        <v>4</v>
      </c>
      <c r="J941">
        <v>5</v>
      </c>
    </row>
    <row r="942" spans="1:10" x14ac:dyDescent="0.25">
      <c r="A942" t="s">
        <v>135</v>
      </c>
      <c r="B942" t="s">
        <v>95</v>
      </c>
      <c r="C942" t="s">
        <v>1284</v>
      </c>
      <c r="D942" t="s">
        <v>3</v>
      </c>
      <c r="E942">
        <v>18</v>
      </c>
      <c r="F942" t="str">
        <f t="shared" si="14"/>
        <v>Young</v>
      </c>
      <c r="G942" t="s">
        <v>103</v>
      </c>
      <c r="H942" s="3">
        <v>6454</v>
      </c>
      <c r="I942" t="s">
        <v>14</v>
      </c>
      <c r="J942">
        <v>0</v>
      </c>
    </row>
    <row r="943" spans="1:10" x14ac:dyDescent="0.25">
      <c r="A943" t="s">
        <v>454</v>
      </c>
      <c r="B943" t="s">
        <v>185</v>
      </c>
      <c r="C943" t="s">
        <v>1285</v>
      </c>
      <c r="D943" t="s">
        <v>8</v>
      </c>
      <c r="E943">
        <v>23</v>
      </c>
      <c r="F943" t="str">
        <f t="shared" si="14"/>
        <v>Young</v>
      </c>
      <c r="G943" t="s">
        <v>169</v>
      </c>
      <c r="H943" s="3">
        <v>1458</v>
      </c>
      <c r="I943" t="s">
        <v>14</v>
      </c>
      <c r="J943">
        <v>3</v>
      </c>
    </row>
    <row r="944" spans="1:10" x14ac:dyDescent="0.25">
      <c r="A944" t="s">
        <v>115</v>
      </c>
      <c r="B944" t="s">
        <v>433</v>
      </c>
      <c r="C944" t="s">
        <v>1286</v>
      </c>
      <c r="D944" t="s">
        <v>3</v>
      </c>
      <c r="E944">
        <v>48</v>
      </c>
      <c r="F944" t="str">
        <f t="shared" si="14"/>
        <v>Middle Age</v>
      </c>
      <c r="G944" t="s">
        <v>266</v>
      </c>
      <c r="H944" s="3">
        <v>3712</v>
      </c>
      <c r="I944" t="s">
        <v>14</v>
      </c>
      <c r="J944">
        <v>0</v>
      </c>
    </row>
    <row r="945" spans="1:10" x14ac:dyDescent="0.25">
      <c r="A945" t="s">
        <v>700</v>
      </c>
      <c r="B945" t="s">
        <v>409</v>
      </c>
      <c r="C945" t="s">
        <v>1287</v>
      </c>
      <c r="D945" t="s">
        <v>3</v>
      </c>
      <c r="E945">
        <v>52</v>
      </c>
      <c r="F945" t="str">
        <f t="shared" si="14"/>
        <v>Old</v>
      </c>
      <c r="G945" t="s">
        <v>1364</v>
      </c>
      <c r="H945" s="3">
        <v>5391</v>
      </c>
      <c r="I945" t="s">
        <v>14</v>
      </c>
      <c r="J945">
        <v>4</v>
      </c>
    </row>
    <row r="946" spans="1:10" x14ac:dyDescent="0.25">
      <c r="A946" t="s">
        <v>87</v>
      </c>
      <c r="B946" t="s">
        <v>180</v>
      </c>
      <c r="C946" t="s">
        <v>1288</v>
      </c>
      <c r="D946" t="s">
        <v>3</v>
      </c>
      <c r="E946">
        <v>46</v>
      </c>
      <c r="F946" t="str">
        <f t="shared" si="14"/>
        <v>Middle Age</v>
      </c>
      <c r="G946" t="s">
        <v>382</v>
      </c>
      <c r="H946" s="3">
        <v>9186</v>
      </c>
      <c r="I946" t="s">
        <v>14</v>
      </c>
      <c r="J946">
        <v>3</v>
      </c>
    </row>
    <row r="947" spans="1:10" x14ac:dyDescent="0.25">
      <c r="A947" t="s">
        <v>862</v>
      </c>
      <c r="B947" t="s">
        <v>334</v>
      </c>
      <c r="C947" t="s">
        <v>1289</v>
      </c>
      <c r="D947" t="s">
        <v>3</v>
      </c>
      <c r="E947">
        <v>22</v>
      </c>
      <c r="F947" t="str">
        <f t="shared" si="14"/>
        <v>Young</v>
      </c>
      <c r="G947" t="s">
        <v>1364</v>
      </c>
      <c r="H947" s="3">
        <v>3488</v>
      </c>
      <c r="I947" t="s">
        <v>4</v>
      </c>
      <c r="J947">
        <v>3</v>
      </c>
    </row>
    <row r="948" spans="1:10" x14ac:dyDescent="0.25">
      <c r="A948" t="s">
        <v>698</v>
      </c>
      <c r="B948" t="s">
        <v>71</v>
      </c>
      <c r="C948" t="s">
        <v>1290</v>
      </c>
      <c r="D948" t="s">
        <v>8</v>
      </c>
      <c r="E948">
        <v>51</v>
      </c>
      <c r="F948" t="str">
        <f t="shared" si="14"/>
        <v>Old</v>
      </c>
      <c r="G948" t="s">
        <v>382</v>
      </c>
      <c r="H948" s="3">
        <v>2527</v>
      </c>
      <c r="I948" t="s">
        <v>14</v>
      </c>
      <c r="J948">
        <v>1</v>
      </c>
    </row>
    <row r="949" spans="1:10" x14ac:dyDescent="0.25">
      <c r="A949" t="s">
        <v>195</v>
      </c>
      <c r="B949" t="s">
        <v>112</v>
      </c>
      <c r="C949" t="s">
        <v>1291</v>
      </c>
      <c r="D949" t="s">
        <v>3</v>
      </c>
      <c r="E949">
        <v>38</v>
      </c>
      <c r="F949" t="str">
        <f t="shared" si="14"/>
        <v>Middle Age</v>
      </c>
      <c r="G949" t="s">
        <v>107</v>
      </c>
      <c r="H949" s="3">
        <v>4107</v>
      </c>
      <c r="I949" t="s">
        <v>14</v>
      </c>
      <c r="J949">
        <v>4</v>
      </c>
    </row>
    <row r="950" spans="1:10" x14ac:dyDescent="0.25">
      <c r="A950" t="s">
        <v>637</v>
      </c>
      <c r="B950" t="s">
        <v>251</v>
      </c>
      <c r="C950" t="s">
        <v>1292</v>
      </c>
      <c r="D950" t="s">
        <v>3</v>
      </c>
      <c r="E950">
        <v>60</v>
      </c>
      <c r="F950" t="str">
        <f t="shared" si="14"/>
        <v>Old</v>
      </c>
      <c r="G950" t="s">
        <v>266</v>
      </c>
      <c r="H950" s="3">
        <v>2707</v>
      </c>
      <c r="I950" t="s">
        <v>14</v>
      </c>
      <c r="J950">
        <v>5</v>
      </c>
    </row>
    <row r="951" spans="1:10" x14ac:dyDescent="0.25">
      <c r="A951" t="s">
        <v>443</v>
      </c>
      <c r="B951" t="s">
        <v>249</v>
      </c>
      <c r="C951" t="s">
        <v>1293</v>
      </c>
      <c r="D951" t="s">
        <v>3</v>
      </c>
      <c r="E951">
        <v>55</v>
      </c>
      <c r="F951" t="str">
        <f t="shared" si="14"/>
        <v>Old</v>
      </c>
      <c r="G951" t="s">
        <v>59</v>
      </c>
      <c r="H951" s="3">
        <v>5113</v>
      </c>
      <c r="I951" t="s">
        <v>4</v>
      </c>
      <c r="J951">
        <v>5</v>
      </c>
    </row>
    <row r="952" spans="1:10" x14ac:dyDescent="0.25">
      <c r="A952" t="s">
        <v>135</v>
      </c>
      <c r="B952" t="s">
        <v>220</v>
      </c>
      <c r="C952" t="s">
        <v>1294</v>
      </c>
      <c r="D952" t="s">
        <v>3</v>
      </c>
      <c r="E952">
        <v>50</v>
      </c>
      <c r="F952" t="str">
        <f t="shared" si="14"/>
        <v>Middle Age</v>
      </c>
      <c r="G952" t="s">
        <v>234</v>
      </c>
      <c r="H952" s="3">
        <v>9241</v>
      </c>
      <c r="I952" t="s">
        <v>14</v>
      </c>
      <c r="J952">
        <v>1</v>
      </c>
    </row>
    <row r="953" spans="1:10" x14ac:dyDescent="0.25">
      <c r="A953" t="s">
        <v>1096</v>
      </c>
      <c r="B953" t="s">
        <v>340</v>
      </c>
      <c r="C953" t="s">
        <v>1295</v>
      </c>
      <c r="D953" t="s">
        <v>3</v>
      </c>
      <c r="E953">
        <v>47</v>
      </c>
      <c r="F953" t="str">
        <f t="shared" si="14"/>
        <v>Middle Age</v>
      </c>
      <c r="G953" t="s">
        <v>36</v>
      </c>
      <c r="H953" s="3">
        <v>1453</v>
      </c>
      <c r="I953" t="s">
        <v>4</v>
      </c>
      <c r="J953">
        <v>0</v>
      </c>
    </row>
    <row r="954" spans="1:10" x14ac:dyDescent="0.25">
      <c r="A954" t="s">
        <v>304</v>
      </c>
      <c r="B954" t="s">
        <v>158</v>
      </c>
      <c r="C954" t="s">
        <v>1296</v>
      </c>
      <c r="D954" t="s">
        <v>3</v>
      </c>
      <c r="E954">
        <v>22</v>
      </c>
      <c r="F954" t="str">
        <f t="shared" si="14"/>
        <v>Young</v>
      </c>
      <c r="G954" t="s">
        <v>182</v>
      </c>
      <c r="H954" s="3">
        <v>8848</v>
      </c>
      <c r="I954" t="s">
        <v>4</v>
      </c>
      <c r="J954">
        <v>1</v>
      </c>
    </row>
    <row r="955" spans="1:10" x14ac:dyDescent="0.25">
      <c r="A955" t="s">
        <v>350</v>
      </c>
      <c r="B955" t="s">
        <v>420</v>
      </c>
      <c r="C955" t="s">
        <v>1297</v>
      </c>
      <c r="D955" t="s">
        <v>8</v>
      </c>
      <c r="E955">
        <v>59</v>
      </c>
      <c r="F955" t="str">
        <f t="shared" si="14"/>
        <v>Old</v>
      </c>
      <c r="G955" t="s">
        <v>51</v>
      </c>
      <c r="H955" s="3">
        <v>9914</v>
      </c>
      <c r="I955" t="s">
        <v>4</v>
      </c>
      <c r="J955">
        <v>5</v>
      </c>
    </row>
    <row r="956" spans="1:10" x14ac:dyDescent="0.25">
      <c r="A956" t="s">
        <v>44</v>
      </c>
      <c r="B956" t="s">
        <v>744</v>
      </c>
      <c r="C956" t="s">
        <v>1298</v>
      </c>
      <c r="D956" t="s">
        <v>8</v>
      </c>
      <c r="E956">
        <v>34</v>
      </c>
      <c r="F956" t="str">
        <f t="shared" si="14"/>
        <v>Middle Age</v>
      </c>
      <c r="G956" t="s">
        <v>225</v>
      </c>
      <c r="H956" s="3">
        <v>965</v>
      </c>
      <c r="I956" t="s">
        <v>4</v>
      </c>
      <c r="J956">
        <v>1</v>
      </c>
    </row>
    <row r="957" spans="1:10" x14ac:dyDescent="0.25">
      <c r="A957" t="s">
        <v>282</v>
      </c>
      <c r="B957" t="s">
        <v>201</v>
      </c>
      <c r="C957" t="s">
        <v>1299</v>
      </c>
      <c r="D957" t="s">
        <v>8</v>
      </c>
      <c r="E957">
        <v>57</v>
      </c>
      <c r="F957" t="str">
        <f t="shared" si="14"/>
        <v>Old</v>
      </c>
      <c r="G957" t="s">
        <v>59</v>
      </c>
      <c r="H957" s="3">
        <v>578</v>
      </c>
      <c r="I957" t="s">
        <v>4</v>
      </c>
      <c r="J957">
        <v>1</v>
      </c>
    </row>
    <row r="958" spans="1:10" x14ac:dyDescent="0.25">
      <c r="A958" t="s">
        <v>310</v>
      </c>
      <c r="B958" t="s">
        <v>580</v>
      </c>
      <c r="C958" t="s">
        <v>1300</v>
      </c>
      <c r="D958" t="s">
        <v>8</v>
      </c>
      <c r="E958">
        <v>37</v>
      </c>
      <c r="F958" t="str">
        <f t="shared" si="14"/>
        <v>Middle Age</v>
      </c>
      <c r="G958" t="s">
        <v>107</v>
      </c>
      <c r="H958" s="3">
        <v>7226</v>
      </c>
      <c r="I958" t="s">
        <v>14</v>
      </c>
      <c r="J958">
        <v>2</v>
      </c>
    </row>
    <row r="959" spans="1:10" x14ac:dyDescent="0.25">
      <c r="A959" t="s">
        <v>1301</v>
      </c>
      <c r="B959" t="s">
        <v>11</v>
      </c>
      <c r="C959" t="s">
        <v>1302</v>
      </c>
      <c r="D959" t="s">
        <v>8</v>
      </c>
      <c r="E959">
        <v>47</v>
      </c>
      <c r="F959" t="str">
        <f t="shared" si="14"/>
        <v>Middle Age</v>
      </c>
      <c r="G959" t="s">
        <v>290</v>
      </c>
      <c r="H959" s="3">
        <v>5310</v>
      </c>
      <c r="I959" t="s">
        <v>14</v>
      </c>
      <c r="J959">
        <v>3</v>
      </c>
    </row>
    <row r="960" spans="1:10" x14ac:dyDescent="0.25">
      <c r="A960" t="s">
        <v>435</v>
      </c>
      <c r="B960" t="s">
        <v>301</v>
      </c>
      <c r="C960" t="s">
        <v>1303</v>
      </c>
      <c r="D960" t="s">
        <v>8</v>
      </c>
      <c r="E960">
        <v>31</v>
      </c>
      <c r="F960" t="str">
        <f t="shared" si="14"/>
        <v>Middle Age</v>
      </c>
      <c r="G960" t="s">
        <v>197</v>
      </c>
      <c r="H960" s="3">
        <v>5273</v>
      </c>
      <c r="I960" t="s">
        <v>4</v>
      </c>
      <c r="J960">
        <v>3</v>
      </c>
    </row>
    <row r="961" spans="1:10" x14ac:dyDescent="0.25">
      <c r="A961" t="s">
        <v>379</v>
      </c>
      <c r="B961" t="s">
        <v>122</v>
      </c>
      <c r="C961" t="s">
        <v>1066</v>
      </c>
      <c r="D961" t="s">
        <v>8</v>
      </c>
      <c r="E961">
        <v>33</v>
      </c>
      <c r="F961" t="str">
        <f t="shared" si="14"/>
        <v>Middle Age</v>
      </c>
      <c r="G961" t="s">
        <v>32</v>
      </c>
      <c r="H961" s="3">
        <v>2857</v>
      </c>
      <c r="I961" t="s">
        <v>4</v>
      </c>
      <c r="J961">
        <v>0</v>
      </c>
    </row>
    <row r="962" spans="1:10" x14ac:dyDescent="0.25">
      <c r="A962" t="s">
        <v>77</v>
      </c>
      <c r="B962" t="s">
        <v>6</v>
      </c>
      <c r="C962" t="s">
        <v>1304</v>
      </c>
      <c r="D962" t="s">
        <v>3</v>
      </c>
      <c r="E962">
        <v>21</v>
      </c>
      <c r="F962" t="str">
        <f t="shared" si="14"/>
        <v>Young</v>
      </c>
      <c r="G962" t="s">
        <v>217</v>
      </c>
      <c r="H962" s="3">
        <v>3899</v>
      </c>
      <c r="I962" t="s">
        <v>14</v>
      </c>
      <c r="J962">
        <v>4</v>
      </c>
    </row>
    <row r="963" spans="1:10" x14ac:dyDescent="0.25">
      <c r="A963" t="s">
        <v>465</v>
      </c>
      <c r="B963" t="s">
        <v>635</v>
      </c>
      <c r="C963" t="s">
        <v>1305</v>
      </c>
      <c r="D963" t="s">
        <v>3</v>
      </c>
      <c r="E963">
        <v>55</v>
      </c>
      <c r="F963" t="str">
        <f t="shared" ref="F963:F1001" si="15">IF(E963&gt;50,"Old",IF(E963&gt;=31,"Middle Age",IF(E963&lt;31,"Young","Invalid")))</f>
        <v>Old</v>
      </c>
      <c r="G963" t="s">
        <v>270</v>
      </c>
      <c r="H963" s="3">
        <v>5293</v>
      </c>
      <c r="I963" t="s">
        <v>4</v>
      </c>
      <c r="J963">
        <v>1</v>
      </c>
    </row>
    <row r="964" spans="1:10" x14ac:dyDescent="0.25">
      <c r="A964" t="s">
        <v>222</v>
      </c>
      <c r="B964" t="s">
        <v>337</v>
      </c>
      <c r="C964" t="s">
        <v>1306</v>
      </c>
      <c r="D964" t="s">
        <v>3</v>
      </c>
      <c r="E964">
        <v>22</v>
      </c>
      <c r="F964" t="str">
        <f t="shared" si="15"/>
        <v>Young</v>
      </c>
      <c r="G964" t="s">
        <v>29</v>
      </c>
      <c r="H964" s="3">
        <v>4539</v>
      </c>
      <c r="I964" t="s">
        <v>4</v>
      </c>
      <c r="J964">
        <v>2</v>
      </c>
    </row>
    <row r="965" spans="1:10" x14ac:dyDescent="0.25">
      <c r="A965" t="s">
        <v>512</v>
      </c>
      <c r="B965" t="s">
        <v>552</v>
      </c>
      <c r="C965" t="s">
        <v>1307</v>
      </c>
      <c r="D965" t="s">
        <v>3</v>
      </c>
      <c r="E965">
        <v>60</v>
      </c>
      <c r="F965" t="str">
        <f t="shared" si="15"/>
        <v>Old</v>
      </c>
      <c r="G965" t="s">
        <v>114</v>
      </c>
      <c r="H965" s="3">
        <v>8826</v>
      </c>
      <c r="I965" t="s">
        <v>4</v>
      </c>
      <c r="J965">
        <v>4</v>
      </c>
    </row>
    <row r="966" spans="1:10" x14ac:dyDescent="0.25">
      <c r="A966" t="s">
        <v>1210</v>
      </c>
      <c r="B966" t="s">
        <v>236</v>
      </c>
      <c r="C966" t="s">
        <v>1308</v>
      </c>
      <c r="D966" t="s">
        <v>8</v>
      </c>
      <c r="E966">
        <v>30</v>
      </c>
      <c r="F966" t="str">
        <f t="shared" si="15"/>
        <v>Young</v>
      </c>
      <c r="G966" t="s">
        <v>21</v>
      </c>
      <c r="H966" s="3">
        <v>7990</v>
      </c>
      <c r="I966" t="s">
        <v>4</v>
      </c>
      <c r="J966">
        <v>0</v>
      </c>
    </row>
    <row r="967" spans="1:10" x14ac:dyDescent="0.25">
      <c r="A967" t="s">
        <v>1067</v>
      </c>
      <c r="B967" t="s">
        <v>366</v>
      </c>
      <c r="C967" t="s">
        <v>1309</v>
      </c>
      <c r="D967" t="s">
        <v>3</v>
      </c>
      <c r="E967">
        <v>48</v>
      </c>
      <c r="F967" t="str">
        <f t="shared" si="15"/>
        <v>Middle Age</v>
      </c>
      <c r="G967" t="s">
        <v>25</v>
      </c>
      <c r="H967" s="3">
        <v>4235</v>
      </c>
      <c r="I967" t="s">
        <v>4</v>
      </c>
      <c r="J967">
        <v>1</v>
      </c>
    </row>
    <row r="968" spans="1:10" x14ac:dyDescent="0.25">
      <c r="A968" t="s">
        <v>515</v>
      </c>
      <c r="B968" t="s">
        <v>351</v>
      </c>
      <c r="C968" t="s">
        <v>1310</v>
      </c>
      <c r="D968" t="s">
        <v>3</v>
      </c>
      <c r="E968">
        <v>38</v>
      </c>
      <c r="F968" t="str">
        <f t="shared" si="15"/>
        <v>Middle Age</v>
      </c>
      <c r="G968" t="s">
        <v>82</v>
      </c>
      <c r="H968" s="3">
        <v>8864</v>
      </c>
      <c r="I968" t="s">
        <v>14</v>
      </c>
      <c r="J968">
        <v>4</v>
      </c>
    </row>
    <row r="969" spans="1:10" x14ac:dyDescent="0.25">
      <c r="A969" t="s">
        <v>30</v>
      </c>
      <c r="B969" t="s">
        <v>34</v>
      </c>
      <c r="C969" t="s">
        <v>1311</v>
      </c>
      <c r="D969" t="s">
        <v>3</v>
      </c>
      <c r="E969">
        <v>24</v>
      </c>
      <c r="F969" t="str">
        <f t="shared" si="15"/>
        <v>Young</v>
      </c>
      <c r="G969" t="s">
        <v>51</v>
      </c>
      <c r="H969" s="3">
        <v>4946</v>
      </c>
      <c r="I969" t="s">
        <v>14</v>
      </c>
      <c r="J969">
        <v>5</v>
      </c>
    </row>
    <row r="970" spans="1:10" x14ac:dyDescent="0.25">
      <c r="A970" t="s">
        <v>510</v>
      </c>
      <c r="B970" t="s">
        <v>71</v>
      </c>
      <c r="C970" t="s">
        <v>1312</v>
      </c>
      <c r="D970" t="s">
        <v>8</v>
      </c>
      <c r="E970">
        <v>32</v>
      </c>
      <c r="F970" t="str">
        <f t="shared" si="15"/>
        <v>Middle Age</v>
      </c>
      <c r="G970" t="s">
        <v>76</v>
      </c>
      <c r="H970" s="3">
        <v>4476</v>
      </c>
      <c r="I970" t="s">
        <v>14</v>
      </c>
      <c r="J970">
        <v>3</v>
      </c>
    </row>
    <row r="971" spans="1:10" x14ac:dyDescent="0.25">
      <c r="A971" t="s">
        <v>495</v>
      </c>
      <c r="B971" t="s">
        <v>284</v>
      </c>
      <c r="C971" t="s">
        <v>1313</v>
      </c>
      <c r="D971" t="s">
        <v>3</v>
      </c>
      <c r="E971">
        <v>49</v>
      </c>
      <c r="F971" t="str">
        <f t="shared" si="15"/>
        <v>Middle Age</v>
      </c>
      <c r="G971" t="s">
        <v>172</v>
      </c>
      <c r="H971" s="3">
        <v>9999</v>
      </c>
      <c r="I971" t="s">
        <v>14</v>
      </c>
      <c r="J971">
        <v>5</v>
      </c>
    </row>
    <row r="972" spans="1:10" x14ac:dyDescent="0.25">
      <c r="A972" t="s">
        <v>1252</v>
      </c>
      <c r="B972" t="s">
        <v>174</v>
      </c>
      <c r="C972" t="s">
        <v>1314</v>
      </c>
      <c r="D972" t="s">
        <v>8</v>
      </c>
      <c r="E972">
        <v>32</v>
      </c>
      <c r="F972" t="str">
        <f t="shared" si="15"/>
        <v>Middle Age</v>
      </c>
      <c r="G972" t="s">
        <v>248</v>
      </c>
      <c r="H972" s="3">
        <v>2169</v>
      </c>
      <c r="I972" t="s">
        <v>14</v>
      </c>
      <c r="J972">
        <v>1</v>
      </c>
    </row>
    <row r="973" spans="1:10" x14ac:dyDescent="0.25">
      <c r="A973" t="s">
        <v>97</v>
      </c>
      <c r="B973" t="s">
        <v>120</v>
      </c>
      <c r="C973" t="s">
        <v>1315</v>
      </c>
      <c r="D973" t="s">
        <v>8</v>
      </c>
      <c r="E973">
        <v>31</v>
      </c>
      <c r="F973" t="str">
        <f t="shared" si="15"/>
        <v>Middle Age</v>
      </c>
      <c r="G973" t="s">
        <v>1364</v>
      </c>
      <c r="H973" s="3">
        <v>8823</v>
      </c>
      <c r="I973" t="s">
        <v>14</v>
      </c>
      <c r="J973">
        <v>3</v>
      </c>
    </row>
    <row r="974" spans="1:10" x14ac:dyDescent="0.25">
      <c r="A974" t="s">
        <v>346</v>
      </c>
      <c r="B974" t="s">
        <v>294</v>
      </c>
      <c r="C974" t="s">
        <v>1316</v>
      </c>
      <c r="D974" t="s">
        <v>3</v>
      </c>
      <c r="E974">
        <v>57</v>
      </c>
      <c r="F974" t="str">
        <f t="shared" si="15"/>
        <v>Old</v>
      </c>
      <c r="G974" t="s">
        <v>82</v>
      </c>
      <c r="H974" s="3">
        <v>7915</v>
      </c>
      <c r="I974" t="s">
        <v>14</v>
      </c>
      <c r="J974">
        <v>2</v>
      </c>
    </row>
    <row r="975" spans="1:10" x14ac:dyDescent="0.25">
      <c r="A975" t="s">
        <v>60</v>
      </c>
      <c r="B975" t="s">
        <v>11</v>
      </c>
      <c r="C975" t="s">
        <v>1317</v>
      </c>
      <c r="D975" t="s">
        <v>3</v>
      </c>
      <c r="E975">
        <v>49</v>
      </c>
      <c r="F975" t="str">
        <f t="shared" si="15"/>
        <v>Middle Age</v>
      </c>
      <c r="G975" t="s">
        <v>169</v>
      </c>
      <c r="H975" s="3">
        <v>2492</v>
      </c>
      <c r="I975" t="s">
        <v>4</v>
      </c>
      <c r="J975">
        <v>5</v>
      </c>
    </row>
    <row r="976" spans="1:10" x14ac:dyDescent="0.25">
      <c r="A976" t="s">
        <v>395</v>
      </c>
      <c r="B976" t="s">
        <v>174</v>
      </c>
      <c r="C976" t="s">
        <v>1318</v>
      </c>
      <c r="D976" t="s">
        <v>8</v>
      </c>
      <c r="E976">
        <v>25</v>
      </c>
      <c r="F976" t="str">
        <f t="shared" si="15"/>
        <v>Young</v>
      </c>
      <c r="G976" t="s">
        <v>55</v>
      </c>
      <c r="H976" s="3">
        <v>2992</v>
      </c>
      <c r="I976" t="s">
        <v>4</v>
      </c>
      <c r="J976">
        <v>2</v>
      </c>
    </row>
    <row r="977" spans="1:10" x14ac:dyDescent="0.25">
      <c r="A977" t="s">
        <v>660</v>
      </c>
      <c r="B977" t="s">
        <v>650</v>
      </c>
      <c r="C977" t="s">
        <v>1319</v>
      </c>
      <c r="D977" t="s">
        <v>8</v>
      </c>
      <c r="E977">
        <v>34</v>
      </c>
      <c r="F977" t="str">
        <f t="shared" si="15"/>
        <v>Middle Age</v>
      </c>
      <c r="G977" t="s">
        <v>227</v>
      </c>
      <c r="H977" s="3">
        <v>6995</v>
      </c>
      <c r="I977" t="s">
        <v>14</v>
      </c>
      <c r="J977">
        <v>1</v>
      </c>
    </row>
    <row r="978" spans="1:10" x14ac:dyDescent="0.25">
      <c r="A978" t="s">
        <v>963</v>
      </c>
      <c r="B978" t="s">
        <v>375</v>
      </c>
      <c r="C978" t="s">
        <v>1320</v>
      </c>
      <c r="D978" t="s">
        <v>3</v>
      </c>
      <c r="E978">
        <v>45</v>
      </c>
      <c r="F978" t="str">
        <f t="shared" si="15"/>
        <v>Middle Age</v>
      </c>
      <c r="G978" t="s">
        <v>234</v>
      </c>
      <c r="H978" s="3">
        <v>969</v>
      </c>
      <c r="I978" t="s">
        <v>4</v>
      </c>
      <c r="J978">
        <v>3</v>
      </c>
    </row>
    <row r="979" spans="1:10" x14ac:dyDescent="0.25">
      <c r="A979" t="s">
        <v>465</v>
      </c>
      <c r="B979" t="s">
        <v>67</v>
      </c>
      <c r="C979" t="s">
        <v>1321</v>
      </c>
      <c r="D979" t="s">
        <v>3</v>
      </c>
      <c r="E979">
        <v>45</v>
      </c>
      <c r="F979" t="str">
        <f t="shared" si="15"/>
        <v>Middle Age</v>
      </c>
      <c r="G979" t="s">
        <v>182</v>
      </c>
      <c r="H979" s="3">
        <v>4854</v>
      </c>
      <c r="I979" t="s">
        <v>4</v>
      </c>
      <c r="J979">
        <v>2</v>
      </c>
    </row>
    <row r="980" spans="1:10" x14ac:dyDescent="0.25">
      <c r="A980" t="s">
        <v>64</v>
      </c>
      <c r="B980" t="s">
        <v>139</v>
      </c>
      <c r="C980" t="s">
        <v>1322</v>
      </c>
      <c r="D980" t="s">
        <v>3</v>
      </c>
      <c r="E980">
        <v>52</v>
      </c>
      <c r="F980" t="str">
        <f t="shared" si="15"/>
        <v>Old</v>
      </c>
      <c r="G980" t="s">
        <v>9</v>
      </c>
      <c r="H980" s="3">
        <v>9628</v>
      </c>
      <c r="I980" t="s">
        <v>14</v>
      </c>
      <c r="J980">
        <v>0</v>
      </c>
    </row>
    <row r="981" spans="1:10" x14ac:dyDescent="0.25">
      <c r="A981" t="s">
        <v>151</v>
      </c>
      <c r="B981" t="s">
        <v>425</v>
      </c>
      <c r="C981" t="s">
        <v>1323</v>
      </c>
      <c r="D981" t="s">
        <v>8</v>
      </c>
      <c r="E981">
        <v>42</v>
      </c>
      <c r="F981" t="str">
        <f t="shared" si="15"/>
        <v>Middle Age</v>
      </c>
      <c r="G981" t="s">
        <v>9</v>
      </c>
      <c r="H981" s="3">
        <v>8721</v>
      </c>
      <c r="I981" t="s">
        <v>14</v>
      </c>
      <c r="J981">
        <v>2</v>
      </c>
    </row>
    <row r="982" spans="1:10" x14ac:dyDescent="0.25">
      <c r="A982" t="s">
        <v>493</v>
      </c>
      <c r="B982" t="s">
        <v>200</v>
      </c>
      <c r="C982" t="s">
        <v>1324</v>
      </c>
      <c r="D982" t="s">
        <v>3</v>
      </c>
      <c r="E982">
        <v>44</v>
      </c>
      <c r="F982" t="str">
        <f t="shared" si="15"/>
        <v>Middle Age</v>
      </c>
      <c r="G982" t="s">
        <v>107</v>
      </c>
      <c r="H982" s="3">
        <v>7500</v>
      </c>
      <c r="I982" t="s">
        <v>4</v>
      </c>
      <c r="J982">
        <v>1</v>
      </c>
    </row>
    <row r="983" spans="1:10" x14ac:dyDescent="0.25">
      <c r="A983" t="s">
        <v>690</v>
      </c>
      <c r="B983" t="s">
        <v>530</v>
      </c>
      <c r="C983" t="s">
        <v>1325</v>
      </c>
      <c r="D983" t="s">
        <v>8</v>
      </c>
      <c r="E983">
        <v>47</v>
      </c>
      <c r="F983" t="str">
        <f t="shared" si="15"/>
        <v>Middle Age</v>
      </c>
      <c r="G983" t="s">
        <v>225</v>
      </c>
      <c r="H983" s="3">
        <v>1836</v>
      </c>
      <c r="I983" t="s">
        <v>4</v>
      </c>
      <c r="J983">
        <v>4</v>
      </c>
    </row>
    <row r="984" spans="1:10" x14ac:dyDescent="0.25">
      <c r="A984" t="s">
        <v>1013</v>
      </c>
      <c r="B984" t="s">
        <v>101</v>
      </c>
      <c r="C984" t="s">
        <v>1326</v>
      </c>
      <c r="D984" t="s">
        <v>8</v>
      </c>
      <c r="E984">
        <v>50</v>
      </c>
      <c r="F984" t="str">
        <f t="shared" si="15"/>
        <v>Middle Age</v>
      </c>
      <c r="G984" t="s">
        <v>21</v>
      </c>
      <c r="H984" s="3">
        <v>4838</v>
      </c>
      <c r="I984" t="s">
        <v>14</v>
      </c>
      <c r="J984">
        <v>1</v>
      </c>
    </row>
    <row r="985" spans="1:10" x14ac:dyDescent="0.25">
      <c r="A985" t="s">
        <v>22</v>
      </c>
      <c r="B985" t="s">
        <v>498</v>
      </c>
      <c r="C985" t="s">
        <v>1327</v>
      </c>
      <c r="D985" t="s">
        <v>3</v>
      </c>
      <c r="E985">
        <v>54</v>
      </c>
      <c r="F985" t="str">
        <f t="shared" si="15"/>
        <v>Old</v>
      </c>
      <c r="G985" t="s">
        <v>227</v>
      </c>
      <c r="H985" s="3">
        <v>7428</v>
      </c>
      <c r="I985" t="s">
        <v>4</v>
      </c>
      <c r="J985">
        <v>1</v>
      </c>
    </row>
    <row r="986" spans="1:10" x14ac:dyDescent="0.25">
      <c r="A986" t="s">
        <v>417</v>
      </c>
      <c r="B986" t="s">
        <v>556</v>
      </c>
      <c r="C986" t="s">
        <v>737</v>
      </c>
      <c r="D986" t="s">
        <v>8</v>
      </c>
      <c r="E986">
        <v>56</v>
      </c>
      <c r="F986" t="str">
        <f t="shared" si="15"/>
        <v>Old</v>
      </c>
      <c r="G986" t="s">
        <v>131</v>
      </c>
      <c r="H986" s="3">
        <v>4494</v>
      </c>
      <c r="I986" t="s">
        <v>4</v>
      </c>
      <c r="J986">
        <v>0</v>
      </c>
    </row>
    <row r="987" spans="1:10" x14ac:dyDescent="0.25">
      <c r="A987" t="s">
        <v>155</v>
      </c>
      <c r="B987" t="s">
        <v>61</v>
      </c>
      <c r="C987" t="s">
        <v>1328</v>
      </c>
      <c r="D987" t="s">
        <v>3</v>
      </c>
      <c r="E987">
        <v>60</v>
      </c>
      <c r="F987" t="str">
        <f t="shared" si="15"/>
        <v>Old</v>
      </c>
      <c r="G987" t="s">
        <v>231</v>
      </c>
      <c r="H987" s="3">
        <v>7813</v>
      </c>
      <c r="I987" t="s">
        <v>14</v>
      </c>
      <c r="J987">
        <v>4</v>
      </c>
    </row>
    <row r="988" spans="1:10" x14ac:dyDescent="0.25">
      <c r="A988" t="s">
        <v>135</v>
      </c>
      <c r="B988" t="s">
        <v>57</v>
      </c>
      <c r="C988" t="s">
        <v>1329</v>
      </c>
      <c r="D988" t="s">
        <v>3</v>
      </c>
      <c r="E988">
        <v>26</v>
      </c>
      <c r="F988" t="str">
        <f t="shared" si="15"/>
        <v>Young</v>
      </c>
      <c r="G988" t="s">
        <v>165</v>
      </c>
      <c r="H988" s="3">
        <v>6532</v>
      </c>
      <c r="I988" t="s">
        <v>14</v>
      </c>
      <c r="J988">
        <v>4</v>
      </c>
    </row>
    <row r="989" spans="1:10" x14ac:dyDescent="0.25">
      <c r="A989" t="s">
        <v>614</v>
      </c>
      <c r="B989" t="s">
        <v>580</v>
      </c>
      <c r="C989" t="s">
        <v>1330</v>
      </c>
      <c r="D989" t="s">
        <v>8</v>
      </c>
      <c r="E989">
        <v>38</v>
      </c>
      <c r="F989" t="str">
        <f t="shared" si="15"/>
        <v>Middle Age</v>
      </c>
      <c r="G989" t="s">
        <v>169</v>
      </c>
      <c r="H989" s="3">
        <v>5451</v>
      </c>
      <c r="I989" t="s">
        <v>14</v>
      </c>
      <c r="J989">
        <v>3</v>
      </c>
    </row>
    <row r="990" spans="1:10" x14ac:dyDescent="0.25">
      <c r="A990" t="s">
        <v>119</v>
      </c>
      <c r="B990" t="s">
        <v>174</v>
      </c>
      <c r="C990" t="s">
        <v>1331</v>
      </c>
      <c r="D990" t="s">
        <v>8</v>
      </c>
      <c r="E990">
        <v>28</v>
      </c>
      <c r="F990" t="str">
        <f t="shared" si="15"/>
        <v>Young</v>
      </c>
      <c r="G990" t="s">
        <v>21</v>
      </c>
      <c r="H990" s="3">
        <v>5528</v>
      </c>
      <c r="I990" t="s">
        <v>4</v>
      </c>
      <c r="J990">
        <v>0</v>
      </c>
    </row>
    <row r="991" spans="1:10" x14ac:dyDescent="0.25">
      <c r="A991" t="s">
        <v>739</v>
      </c>
      <c r="B991" t="s">
        <v>301</v>
      </c>
      <c r="C991" t="s">
        <v>1332</v>
      </c>
      <c r="D991" t="s">
        <v>8</v>
      </c>
      <c r="E991">
        <v>33</v>
      </c>
      <c r="F991" t="str">
        <f t="shared" si="15"/>
        <v>Middle Age</v>
      </c>
      <c r="G991" t="s">
        <v>382</v>
      </c>
      <c r="H991" s="3">
        <v>8618</v>
      </c>
      <c r="I991" t="s">
        <v>14</v>
      </c>
      <c r="J991">
        <v>4</v>
      </c>
    </row>
    <row r="992" spans="1:10" x14ac:dyDescent="0.25">
      <c r="A992" t="s">
        <v>437</v>
      </c>
      <c r="B992" t="s">
        <v>368</v>
      </c>
      <c r="C992" t="s">
        <v>1333</v>
      </c>
      <c r="D992" t="s">
        <v>8</v>
      </c>
      <c r="E992">
        <v>25</v>
      </c>
      <c r="F992" t="str">
        <f t="shared" si="15"/>
        <v>Young</v>
      </c>
      <c r="G992" t="s">
        <v>25</v>
      </c>
      <c r="H992" s="3">
        <v>5217</v>
      </c>
      <c r="I992" t="s">
        <v>4</v>
      </c>
      <c r="J992">
        <v>2</v>
      </c>
    </row>
    <row r="993" spans="1:10" x14ac:dyDescent="0.25">
      <c r="A993" t="s">
        <v>316</v>
      </c>
      <c r="B993" t="s">
        <v>251</v>
      </c>
      <c r="C993" t="s">
        <v>1334</v>
      </c>
      <c r="D993" t="s">
        <v>8</v>
      </c>
      <c r="E993">
        <v>52</v>
      </c>
      <c r="F993" t="str">
        <f t="shared" si="15"/>
        <v>Old</v>
      </c>
      <c r="G993" t="s">
        <v>172</v>
      </c>
      <c r="H993" s="3">
        <v>9015</v>
      </c>
      <c r="I993" t="s">
        <v>4</v>
      </c>
      <c r="J993">
        <v>0</v>
      </c>
    </row>
    <row r="994" spans="1:10" x14ac:dyDescent="0.25">
      <c r="A994" t="s">
        <v>461</v>
      </c>
      <c r="B994" t="s">
        <v>201</v>
      </c>
      <c r="C994" t="s">
        <v>1335</v>
      </c>
      <c r="D994" t="s">
        <v>8</v>
      </c>
      <c r="E994">
        <v>48</v>
      </c>
      <c r="F994" t="str">
        <f t="shared" si="15"/>
        <v>Middle Age</v>
      </c>
      <c r="G994" t="s">
        <v>21</v>
      </c>
      <c r="H994" s="3">
        <v>9636</v>
      </c>
      <c r="I994" t="s">
        <v>14</v>
      </c>
      <c r="J994">
        <v>5</v>
      </c>
    </row>
    <row r="995" spans="1:10" x14ac:dyDescent="0.25">
      <c r="A995" t="s">
        <v>18</v>
      </c>
      <c r="B995" t="s">
        <v>105</v>
      </c>
      <c r="C995" t="s">
        <v>1336</v>
      </c>
      <c r="D995" t="s">
        <v>3</v>
      </c>
      <c r="E995">
        <v>53</v>
      </c>
      <c r="F995" t="str">
        <f t="shared" si="15"/>
        <v>Old</v>
      </c>
      <c r="G995" t="s">
        <v>82</v>
      </c>
      <c r="H995" s="3">
        <v>1777</v>
      </c>
      <c r="I995" t="s">
        <v>14</v>
      </c>
      <c r="J995">
        <v>5</v>
      </c>
    </row>
    <row r="996" spans="1:10" x14ac:dyDescent="0.25">
      <c r="A996" t="s">
        <v>97</v>
      </c>
      <c r="B996" t="s">
        <v>114</v>
      </c>
      <c r="C996" t="s">
        <v>1337</v>
      </c>
      <c r="D996" t="s">
        <v>8</v>
      </c>
      <c r="E996">
        <v>38</v>
      </c>
      <c r="F996" t="str">
        <f t="shared" si="15"/>
        <v>Middle Age</v>
      </c>
      <c r="G996" t="s">
        <v>290</v>
      </c>
      <c r="H996" s="3">
        <v>9116</v>
      </c>
      <c r="I996" t="s">
        <v>4</v>
      </c>
      <c r="J996">
        <v>0</v>
      </c>
    </row>
    <row r="997" spans="1:10" x14ac:dyDescent="0.25">
      <c r="A997" t="s">
        <v>40</v>
      </c>
      <c r="B997" t="s">
        <v>132</v>
      </c>
      <c r="C997" t="s">
        <v>1338</v>
      </c>
      <c r="D997" t="s">
        <v>8</v>
      </c>
      <c r="E997">
        <v>38</v>
      </c>
      <c r="F997" t="str">
        <f t="shared" si="15"/>
        <v>Middle Age</v>
      </c>
      <c r="G997" t="s">
        <v>199</v>
      </c>
      <c r="H997" s="3">
        <v>1432</v>
      </c>
      <c r="I997" t="s">
        <v>14</v>
      </c>
      <c r="J997">
        <v>4</v>
      </c>
    </row>
    <row r="998" spans="1:10" x14ac:dyDescent="0.25">
      <c r="A998" t="s">
        <v>374</v>
      </c>
      <c r="B998" t="s">
        <v>98</v>
      </c>
      <c r="C998" t="s">
        <v>1339</v>
      </c>
      <c r="D998" t="s">
        <v>8</v>
      </c>
      <c r="E998">
        <v>21</v>
      </c>
      <c r="F998" t="str">
        <f t="shared" si="15"/>
        <v>Young</v>
      </c>
      <c r="G998" t="s">
        <v>231</v>
      </c>
      <c r="H998" s="3">
        <v>4123</v>
      </c>
      <c r="I998" t="s">
        <v>4</v>
      </c>
      <c r="J998">
        <v>0</v>
      </c>
    </row>
    <row r="999" spans="1:10" x14ac:dyDescent="0.25">
      <c r="A999" t="s">
        <v>346</v>
      </c>
      <c r="B999" t="s">
        <v>98</v>
      </c>
      <c r="C999" t="s">
        <v>1340</v>
      </c>
      <c r="D999" t="s">
        <v>3</v>
      </c>
      <c r="E999">
        <v>35</v>
      </c>
      <c r="F999" t="str">
        <f t="shared" si="15"/>
        <v>Middle Age</v>
      </c>
      <c r="G999" t="s">
        <v>150</v>
      </c>
      <c r="H999" s="3">
        <v>1753</v>
      </c>
      <c r="I999" t="s">
        <v>4</v>
      </c>
      <c r="J999">
        <v>1</v>
      </c>
    </row>
    <row r="1000" spans="1:10" x14ac:dyDescent="0.25">
      <c r="A1000" t="s">
        <v>316</v>
      </c>
      <c r="B1000" t="s">
        <v>236</v>
      </c>
      <c r="C1000" t="s">
        <v>1341</v>
      </c>
      <c r="D1000" t="s">
        <v>8</v>
      </c>
      <c r="E1000">
        <v>21</v>
      </c>
      <c r="F1000" t="str">
        <f t="shared" si="15"/>
        <v>Young</v>
      </c>
      <c r="G1000" t="s">
        <v>225</v>
      </c>
      <c r="H1000" s="3">
        <v>5982</v>
      </c>
      <c r="I1000" t="s">
        <v>14</v>
      </c>
      <c r="J1000">
        <v>5</v>
      </c>
    </row>
    <row r="1001" spans="1:10" x14ac:dyDescent="0.25">
      <c r="A1001" t="s">
        <v>534</v>
      </c>
      <c r="B1001" t="s">
        <v>34</v>
      </c>
      <c r="C1001" t="s">
        <v>1342</v>
      </c>
      <c r="D1001" t="s">
        <v>3</v>
      </c>
      <c r="E1001">
        <v>58</v>
      </c>
      <c r="F1001" t="str">
        <f t="shared" si="15"/>
        <v>Old</v>
      </c>
      <c r="G1001" t="s">
        <v>9</v>
      </c>
      <c r="H1001" s="3">
        <v>7075</v>
      </c>
      <c r="I1001" t="s">
        <v>14</v>
      </c>
      <c r="J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C7C9-445A-433C-A5F9-971BBAAD10E8}">
  <dimension ref="A5:L60"/>
  <sheetViews>
    <sheetView workbookViewId="0">
      <selection activeCell="B45" sqref="B45"/>
    </sheetView>
  </sheetViews>
  <sheetFormatPr defaultRowHeight="13.8" x14ac:dyDescent="0.25"/>
  <cols>
    <col min="1" max="1" width="12.59765625" bestFit="1" customWidth="1"/>
    <col min="2" max="2" width="20.59765625" bestFit="1" customWidth="1"/>
    <col min="3" max="3" width="14.3984375" bestFit="1" customWidth="1"/>
    <col min="4" max="4" width="11.296875" bestFit="1" customWidth="1"/>
    <col min="5" max="5" width="9.5" bestFit="1" customWidth="1"/>
    <col min="6" max="6" width="12.69921875" bestFit="1" customWidth="1"/>
    <col min="7" max="7" width="7.69921875" bestFit="1" customWidth="1"/>
    <col min="8" max="8" width="13" bestFit="1" customWidth="1"/>
    <col min="9" max="9" width="7.69921875" bestFit="1" customWidth="1"/>
    <col min="10" max="10" width="12" bestFit="1" customWidth="1"/>
    <col min="11" max="11" width="9.09765625" bestFit="1" customWidth="1"/>
    <col min="12" max="12" width="14.5" bestFit="1" customWidth="1"/>
    <col min="13" max="13" width="9.8984375" bestFit="1" customWidth="1"/>
    <col min="14" max="14" width="9" bestFit="1" customWidth="1"/>
    <col min="15" max="15" width="9.8984375" bestFit="1" customWidth="1"/>
    <col min="16" max="18" width="7.69921875" bestFit="1" customWidth="1"/>
    <col min="19" max="19" width="8.8984375" bestFit="1" customWidth="1"/>
    <col min="20" max="20" width="10.19921875" bestFit="1" customWidth="1"/>
    <col min="21" max="21" width="11.59765625" bestFit="1" customWidth="1"/>
    <col min="22" max="22" width="16" bestFit="1" customWidth="1"/>
    <col min="23" max="23" width="8.19921875" bestFit="1" customWidth="1"/>
    <col min="24" max="24" width="9.09765625" bestFit="1" customWidth="1"/>
    <col min="25" max="25" width="7.69921875" bestFit="1" customWidth="1"/>
    <col min="26" max="26" width="8.296875" bestFit="1" customWidth="1"/>
    <col min="27" max="27" width="8.09765625" bestFit="1" customWidth="1"/>
    <col min="28" max="28" width="7.69921875" bestFit="1" customWidth="1"/>
    <col min="29" max="29" width="10.09765625" bestFit="1" customWidth="1"/>
    <col min="30" max="30" width="10.3984375" bestFit="1" customWidth="1"/>
    <col min="31" max="31" width="8.09765625" bestFit="1" customWidth="1"/>
    <col min="32" max="32" width="8" bestFit="1" customWidth="1"/>
    <col min="33" max="33" width="7.69921875" bestFit="1" customWidth="1"/>
    <col min="34" max="34" width="9.296875" bestFit="1" customWidth="1"/>
    <col min="35" max="35" width="10" bestFit="1" customWidth="1"/>
    <col min="36" max="36" width="10.69921875" bestFit="1" customWidth="1"/>
    <col min="37" max="37" width="9.3984375" bestFit="1" customWidth="1"/>
    <col min="38" max="38" width="10.59765625" bestFit="1" customWidth="1"/>
    <col min="39" max="39" width="7.69921875" bestFit="1" customWidth="1"/>
    <col min="40" max="40" width="10.8984375" bestFit="1" customWidth="1"/>
    <col min="41" max="41" width="15.3984375" bestFit="1" customWidth="1"/>
    <col min="42" max="42" width="16.5" bestFit="1" customWidth="1"/>
    <col min="43" max="43" width="13" bestFit="1" customWidth="1"/>
    <col min="44" max="44" width="7.8984375" bestFit="1" customWidth="1"/>
    <col min="45" max="45" width="14.296875" bestFit="1" customWidth="1"/>
    <col min="46" max="46" width="11.09765625" bestFit="1" customWidth="1"/>
    <col min="47" max="48" width="7.69921875" bestFit="1" customWidth="1"/>
    <col min="49" max="49" width="11.8984375" bestFit="1" customWidth="1"/>
    <col min="50" max="50" width="9" bestFit="1" customWidth="1"/>
    <col min="51" max="51" width="8.19921875" bestFit="1" customWidth="1"/>
    <col min="52" max="53" width="7.69921875" bestFit="1" customWidth="1"/>
    <col min="54" max="54" width="13.09765625" bestFit="1" customWidth="1"/>
    <col min="55" max="55" width="14.5" bestFit="1" customWidth="1"/>
    <col min="56" max="959" width="8"/>
  </cols>
  <sheetData>
    <row r="5" spans="1:4" x14ac:dyDescent="0.25">
      <c r="B5" s="1" t="s">
        <v>1355</v>
      </c>
    </row>
    <row r="6" spans="1:4" x14ac:dyDescent="0.25">
      <c r="B6" t="s">
        <v>8</v>
      </c>
      <c r="C6" t="s">
        <v>3</v>
      </c>
      <c r="D6" t="s">
        <v>1361</v>
      </c>
    </row>
    <row r="7" spans="1:4" x14ac:dyDescent="0.25">
      <c r="A7" t="s">
        <v>1354</v>
      </c>
      <c r="B7" s="5">
        <v>5225.7818930041149</v>
      </c>
      <c r="C7" s="5">
        <v>5376.9066147859921</v>
      </c>
      <c r="D7" s="5">
        <v>5303.46</v>
      </c>
    </row>
    <row r="19" spans="1:5" x14ac:dyDescent="0.25">
      <c r="B19" s="1" t="s">
        <v>1355</v>
      </c>
    </row>
    <row r="20" spans="1:5" x14ac:dyDescent="0.25">
      <c r="B20" t="s">
        <v>1357</v>
      </c>
      <c r="C20" t="s">
        <v>1358</v>
      </c>
      <c r="D20" t="s">
        <v>1359</v>
      </c>
      <c r="E20" t="s">
        <v>1361</v>
      </c>
    </row>
    <row r="21" spans="1:5" x14ac:dyDescent="0.25">
      <c r="A21" t="s">
        <v>1354</v>
      </c>
      <c r="B21" s="5">
        <v>5194.485042735043</v>
      </c>
      <c r="C21" s="5">
        <v>5209.3109243697481</v>
      </c>
      <c r="D21" s="5">
        <v>5553.1462585034014</v>
      </c>
      <c r="E21" s="5">
        <v>5303.46</v>
      </c>
    </row>
    <row r="36" spans="1:12" x14ac:dyDescent="0.25">
      <c r="B36" s="1" t="s">
        <v>1355</v>
      </c>
    </row>
    <row r="37" spans="1:12" x14ac:dyDescent="0.25">
      <c r="B37" t="s">
        <v>182</v>
      </c>
      <c r="C37" t="s">
        <v>13</v>
      </c>
      <c r="D37" t="s">
        <v>373</v>
      </c>
      <c r="E37" t="s">
        <v>382</v>
      </c>
      <c r="F37" t="s">
        <v>36</v>
      </c>
      <c r="G37" t="s">
        <v>29</v>
      </c>
      <c r="H37" t="s">
        <v>172</v>
      </c>
      <c r="I37" t="s">
        <v>124</v>
      </c>
      <c r="J37" t="s">
        <v>134</v>
      </c>
      <c r="K37" t="s">
        <v>169</v>
      </c>
      <c r="L37" t="s">
        <v>1362</v>
      </c>
    </row>
    <row r="38" spans="1:12" x14ac:dyDescent="0.25">
      <c r="A38" t="s">
        <v>1354</v>
      </c>
      <c r="B38" s="5">
        <v>6884.5</v>
      </c>
      <c r="C38" s="5">
        <v>6691.166666666667</v>
      </c>
      <c r="D38" s="5">
        <v>6615</v>
      </c>
      <c r="E38" s="5">
        <v>6578.6</v>
      </c>
      <c r="F38" s="5">
        <v>6554.8666666666668</v>
      </c>
      <c r="G38" s="5">
        <v>6206.7142857142853</v>
      </c>
      <c r="H38" s="5">
        <v>6166.3157894736842</v>
      </c>
      <c r="I38" s="5">
        <v>6125.5</v>
      </c>
      <c r="J38" s="5">
        <v>6117.3</v>
      </c>
      <c r="K38" s="5">
        <v>6035.1428571428569</v>
      </c>
      <c r="L38" s="5">
        <v>6367.7192982456145</v>
      </c>
    </row>
    <row r="57" spans="1:2" x14ac:dyDescent="0.25">
      <c r="A57" s="1" t="s">
        <v>1352</v>
      </c>
      <c r="B57" t="s">
        <v>1360</v>
      </c>
    </row>
    <row r="58" spans="1:2" x14ac:dyDescent="0.25">
      <c r="A58" s="2" t="s">
        <v>4</v>
      </c>
      <c r="B58">
        <v>1175</v>
      </c>
    </row>
    <row r="59" spans="1:2" x14ac:dyDescent="0.25">
      <c r="A59" s="2" t="s">
        <v>14</v>
      </c>
      <c r="B59">
        <v>1272</v>
      </c>
    </row>
    <row r="60" spans="1:2" x14ac:dyDescent="0.25">
      <c r="A60" s="2" t="s">
        <v>1353</v>
      </c>
      <c r="B60">
        <v>2447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B84B5-2B2F-44EE-917B-087F2633701C}">
  <dimension ref="A1:S4"/>
  <sheetViews>
    <sheetView showGridLines="0" zoomScale="54" zoomScaleNormal="70" workbookViewId="0">
      <selection activeCell="W22" sqref="W22"/>
    </sheetView>
  </sheetViews>
  <sheetFormatPr defaultRowHeight="13.8" x14ac:dyDescent="0.25"/>
  <sheetData>
    <row r="1" spans="1:19" x14ac:dyDescent="0.25">
      <c r="A1" s="27" t="s">
        <v>1363</v>
      </c>
      <c r="B1" s="27"/>
      <c r="C1" s="27"/>
      <c r="D1" s="27"/>
      <c r="E1" s="27"/>
      <c r="F1" s="27"/>
      <c r="G1" s="27"/>
      <c r="H1" s="27"/>
      <c r="I1" s="27"/>
      <c r="J1" s="27"/>
      <c r="K1" s="27"/>
      <c r="L1" s="27"/>
      <c r="M1" s="27"/>
      <c r="N1" s="27"/>
      <c r="O1" s="27"/>
      <c r="P1" s="27"/>
      <c r="Q1" s="27"/>
      <c r="R1" s="27"/>
      <c r="S1" s="27"/>
    </row>
    <row r="2" spans="1:19" x14ac:dyDescent="0.25">
      <c r="A2" s="27"/>
      <c r="B2" s="27"/>
      <c r="C2" s="27"/>
      <c r="D2" s="27"/>
      <c r="E2" s="27"/>
      <c r="F2" s="27"/>
      <c r="G2" s="27"/>
      <c r="H2" s="27"/>
      <c r="I2" s="27"/>
      <c r="J2" s="27"/>
      <c r="K2" s="27"/>
      <c r="L2" s="27"/>
      <c r="M2" s="27"/>
      <c r="N2" s="27"/>
      <c r="O2" s="27"/>
      <c r="P2" s="27"/>
      <c r="Q2" s="27"/>
      <c r="R2" s="27"/>
      <c r="S2" s="27"/>
    </row>
    <row r="3" spans="1:19" x14ac:dyDescent="0.25">
      <c r="A3" s="27"/>
      <c r="B3" s="27"/>
      <c r="C3" s="27"/>
      <c r="D3" s="27"/>
      <c r="E3" s="27"/>
      <c r="F3" s="27"/>
      <c r="G3" s="27"/>
      <c r="H3" s="27"/>
      <c r="I3" s="27"/>
      <c r="J3" s="27"/>
      <c r="K3" s="27"/>
      <c r="L3" s="27"/>
      <c r="M3" s="27"/>
      <c r="N3" s="27"/>
      <c r="O3" s="27"/>
      <c r="P3" s="27"/>
      <c r="Q3" s="27"/>
      <c r="R3" s="27"/>
      <c r="S3" s="27"/>
    </row>
    <row r="4" spans="1:19" x14ac:dyDescent="0.25">
      <c r="A4" s="27"/>
      <c r="B4" s="27"/>
      <c r="C4" s="27"/>
      <c r="D4" s="27"/>
      <c r="E4" s="27"/>
      <c r="F4" s="27"/>
      <c r="G4" s="27"/>
      <c r="H4" s="27"/>
      <c r="I4" s="27"/>
      <c r="J4" s="27"/>
      <c r="K4" s="27"/>
      <c r="L4" s="27"/>
      <c r="M4" s="27"/>
      <c r="N4" s="27"/>
      <c r="O4" s="27"/>
      <c r="P4" s="27"/>
      <c r="Q4" s="27"/>
      <c r="R4" s="27"/>
      <c r="S4" s="27"/>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899B-A392-48EE-A182-44CF256C4A7A}">
  <dimension ref="A1:AA26"/>
  <sheetViews>
    <sheetView showGridLines="0" workbookViewId="0">
      <selection activeCell="T9" sqref="T9"/>
    </sheetView>
  </sheetViews>
  <sheetFormatPr defaultColWidth="6" defaultRowHeight="13.8" x14ac:dyDescent="0.25"/>
  <cols>
    <col min="1" max="2" width="4.3984375" customWidth="1"/>
    <col min="3" max="3" width="9.09765625" customWidth="1"/>
  </cols>
  <sheetData>
    <row r="1" spans="1:27" x14ac:dyDescent="0.25">
      <c r="A1" s="28" t="s">
        <v>1385</v>
      </c>
      <c r="B1" s="29"/>
      <c r="C1" s="29"/>
      <c r="D1" s="29"/>
      <c r="E1" s="29"/>
      <c r="F1" s="29"/>
      <c r="G1" s="29"/>
      <c r="H1" s="29"/>
      <c r="I1" s="29"/>
      <c r="J1" s="29"/>
      <c r="K1" s="29"/>
      <c r="L1" s="29"/>
      <c r="M1" s="29"/>
      <c r="N1" s="29"/>
      <c r="O1" s="29"/>
      <c r="P1" s="29"/>
      <c r="Q1" s="29"/>
      <c r="R1" s="29"/>
      <c r="S1" s="29"/>
      <c r="T1" s="29"/>
      <c r="U1" s="29"/>
      <c r="V1" s="29"/>
      <c r="W1" s="29"/>
      <c r="X1" s="29"/>
      <c r="Y1" s="29"/>
      <c r="Z1" s="29"/>
      <c r="AA1" s="29"/>
    </row>
    <row r="2" spans="1:27" x14ac:dyDescent="0.25">
      <c r="A2" s="29"/>
      <c r="B2" s="29"/>
      <c r="C2" s="29"/>
      <c r="D2" s="29"/>
      <c r="E2" s="29"/>
      <c r="F2" s="29"/>
      <c r="G2" s="29"/>
      <c r="H2" s="29"/>
      <c r="I2" s="29"/>
      <c r="J2" s="29"/>
      <c r="K2" s="29"/>
      <c r="L2" s="29"/>
      <c r="M2" s="29"/>
      <c r="N2" s="29"/>
      <c r="O2" s="29"/>
      <c r="P2" s="29"/>
      <c r="Q2" s="29"/>
      <c r="R2" s="29"/>
      <c r="S2" s="29"/>
      <c r="T2" s="29"/>
      <c r="U2" s="29"/>
      <c r="V2" s="29"/>
      <c r="W2" s="29"/>
      <c r="X2" s="29"/>
      <c r="Y2" s="29"/>
      <c r="Z2" s="29"/>
      <c r="AA2" s="29"/>
    </row>
    <row r="3" spans="1:27" x14ac:dyDescent="0.25">
      <c r="A3" s="29"/>
      <c r="B3" s="29"/>
      <c r="C3" s="29"/>
      <c r="D3" s="29"/>
      <c r="E3" s="29"/>
      <c r="F3" s="29"/>
      <c r="G3" s="29"/>
      <c r="H3" s="29"/>
      <c r="I3" s="29"/>
      <c r="J3" s="29"/>
      <c r="K3" s="29"/>
      <c r="L3" s="29"/>
      <c r="M3" s="29"/>
      <c r="N3" s="29"/>
      <c r="O3" s="29"/>
      <c r="P3" s="29"/>
      <c r="Q3" s="29"/>
      <c r="R3" s="29"/>
      <c r="S3" s="29"/>
      <c r="T3" s="29"/>
      <c r="U3" s="29"/>
      <c r="V3" s="29"/>
      <c r="W3" s="29"/>
      <c r="X3" s="29"/>
      <c r="Y3" s="29"/>
      <c r="Z3" s="29"/>
      <c r="AA3" s="29"/>
    </row>
    <row r="5" spans="1:27" x14ac:dyDescent="0.25">
      <c r="A5" s="7">
        <v>1</v>
      </c>
      <c r="B5" s="7"/>
      <c r="C5" s="8" t="s">
        <v>1365</v>
      </c>
    </row>
    <row r="6" spans="1:27" x14ac:dyDescent="0.25">
      <c r="A6" s="7">
        <v>2</v>
      </c>
      <c r="B6" s="7"/>
      <c r="C6" s="9" t="s">
        <v>1366</v>
      </c>
    </row>
    <row r="7" spans="1:27" x14ac:dyDescent="0.25">
      <c r="A7" s="7">
        <v>3</v>
      </c>
      <c r="B7" s="7"/>
      <c r="C7" s="8" t="s">
        <v>1367</v>
      </c>
    </row>
    <row r="8" spans="1:27" x14ac:dyDescent="0.25">
      <c r="A8" s="7">
        <v>4</v>
      </c>
      <c r="B8" s="7"/>
      <c r="C8" s="8" t="s">
        <v>1368</v>
      </c>
    </row>
    <row r="9" spans="1:27" x14ac:dyDescent="0.25">
      <c r="A9" s="7">
        <v>5</v>
      </c>
      <c r="B9" s="7"/>
      <c r="C9" s="8" t="s">
        <v>1369</v>
      </c>
    </row>
    <row r="10" spans="1:27" x14ac:dyDescent="0.25">
      <c r="A10" s="7">
        <v>6</v>
      </c>
      <c r="B10" s="7"/>
      <c r="C10" s="8" t="s">
        <v>1370</v>
      </c>
    </row>
    <row r="11" spans="1:27" x14ac:dyDescent="0.25">
      <c r="A11" s="7">
        <v>7</v>
      </c>
      <c r="B11" s="7"/>
      <c r="C11" s="8" t="s">
        <v>1371</v>
      </c>
    </row>
    <row r="12" spans="1:27" x14ac:dyDescent="0.25">
      <c r="A12" s="7">
        <v>8</v>
      </c>
      <c r="B12" s="7"/>
      <c r="C12" s="8" t="s">
        <v>1372</v>
      </c>
    </row>
    <row r="13" spans="1:27" x14ac:dyDescent="0.25">
      <c r="A13" s="7">
        <v>9</v>
      </c>
      <c r="B13" s="7"/>
      <c r="C13" s="8" t="s">
        <v>1373</v>
      </c>
    </row>
    <row r="14" spans="1:27" x14ac:dyDescent="0.25">
      <c r="A14" s="7">
        <v>10</v>
      </c>
      <c r="B14" s="7"/>
      <c r="C14" s="8" t="s">
        <v>1374</v>
      </c>
    </row>
    <row r="15" spans="1:27" x14ac:dyDescent="0.25">
      <c r="A15" s="7">
        <v>11</v>
      </c>
      <c r="B15" s="7"/>
      <c r="C15" s="8" t="s">
        <v>1375</v>
      </c>
    </row>
    <row r="16" spans="1:27" x14ac:dyDescent="0.25">
      <c r="A16" s="7">
        <v>12</v>
      </c>
      <c r="B16" s="7"/>
      <c r="C16" s="8" t="s">
        <v>1376</v>
      </c>
    </row>
    <row r="17" spans="1:3" x14ac:dyDescent="0.25">
      <c r="A17" s="7">
        <v>13</v>
      </c>
      <c r="B17" s="7"/>
      <c r="C17" s="8" t="s">
        <v>1377</v>
      </c>
    </row>
    <row r="18" spans="1:3" x14ac:dyDescent="0.25">
      <c r="A18" s="7">
        <v>14</v>
      </c>
      <c r="B18" s="7"/>
      <c r="C18" s="8" t="s">
        <v>1378</v>
      </c>
    </row>
    <row r="19" spans="1:3" x14ac:dyDescent="0.25">
      <c r="A19" s="7">
        <v>15</v>
      </c>
      <c r="B19" s="7"/>
      <c r="C19" s="8" t="s">
        <v>1379</v>
      </c>
    </row>
    <row r="20" spans="1:3" x14ac:dyDescent="0.25">
      <c r="A20" s="7">
        <v>16</v>
      </c>
      <c r="B20" s="7"/>
      <c r="C20" s="8" t="s">
        <v>1380</v>
      </c>
    </row>
    <row r="21" spans="1:3" x14ac:dyDescent="0.25">
      <c r="A21" s="7">
        <v>17</v>
      </c>
      <c r="B21" s="7"/>
      <c r="C21" s="8" t="s">
        <v>1381</v>
      </c>
    </row>
    <row r="22" spans="1:3" x14ac:dyDescent="0.25">
      <c r="A22" s="7">
        <v>18</v>
      </c>
      <c r="B22" s="7"/>
      <c r="C22" s="8" t="s">
        <v>1382</v>
      </c>
    </row>
    <row r="23" spans="1:3" x14ac:dyDescent="0.25">
      <c r="A23" s="7">
        <v>19</v>
      </c>
      <c r="B23" s="7"/>
      <c r="C23" s="8" t="s">
        <v>1383</v>
      </c>
    </row>
    <row r="24" spans="1:3" x14ac:dyDescent="0.25">
      <c r="A24" s="7">
        <v>20</v>
      </c>
      <c r="B24" s="7"/>
      <c r="C24" s="8" t="s">
        <v>1384</v>
      </c>
    </row>
    <row r="25" spans="1:3" ht="14.4" x14ac:dyDescent="0.25">
      <c r="A25" s="11"/>
      <c r="B25" s="10"/>
    </row>
    <row r="26" spans="1:3" x14ac:dyDescent="0.25">
      <c r="A26" s="6"/>
    </row>
  </sheetData>
  <mergeCells count="1">
    <mergeCell ref="A1:A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B28E9-E640-4618-A753-4D28DEFBC28B}">
  <dimension ref="A2:A28"/>
  <sheetViews>
    <sheetView showGridLines="0" topLeftCell="D1" workbookViewId="0">
      <selection activeCell="A12" sqref="A12"/>
    </sheetView>
  </sheetViews>
  <sheetFormatPr defaultRowHeight="13.8" x14ac:dyDescent="0.25"/>
  <cols>
    <col min="1" max="1" width="132.796875" bestFit="1" customWidth="1"/>
  </cols>
  <sheetData>
    <row r="2" spans="1:1" ht="14.4" x14ac:dyDescent="0.25">
      <c r="A2" s="12" t="s">
        <v>1386</v>
      </c>
    </row>
    <row r="3" spans="1:1" ht="14.4" x14ac:dyDescent="0.25">
      <c r="A3" s="10" t="s">
        <v>1387</v>
      </c>
    </row>
    <row r="4" spans="1:1" ht="14.4" x14ac:dyDescent="0.25">
      <c r="A4" s="10" t="s">
        <v>1388</v>
      </c>
    </row>
    <row r="5" spans="1:1" ht="14.4" x14ac:dyDescent="0.25">
      <c r="A5" s="10" t="s">
        <v>1389</v>
      </c>
    </row>
    <row r="6" spans="1:1" ht="14.4" x14ac:dyDescent="0.25">
      <c r="A6" s="10" t="s">
        <v>1390</v>
      </c>
    </row>
    <row r="7" spans="1:1" ht="14.4" x14ac:dyDescent="0.25">
      <c r="A7" s="10" t="s">
        <v>1391</v>
      </c>
    </row>
    <row r="8" spans="1:1" ht="14.4" x14ac:dyDescent="0.25">
      <c r="A8" s="10" t="s">
        <v>1392</v>
      </c>
    </row>
    <row r="9" spans="1:1" ht="14.4" x14ac:dyDescent="0.25">
      <c r="A9" s="10" t="s">
        <v>1393</v>
      </c>
    </row>
    <row r="10" spans="1:1" ht="14.4" x14ac:dyDescent="0.25">
      <c r="A10" s="10" t="s">
        <v>1394</v>
      </c>
    </row>
    <row r="11" spans="1:1" ht="14.4" x14ac:dyDescent="0.25">
      <c r="A11" s="10" t="s">
        <v>1395</v>
      </c>
    </row>
    <row r="12" spans="1:1" ht="14.4" x14ac:dyDescent="0.25">
      <c r="A12" s="10" t="s">
        <v>1396</v>
      </c>
    </row>
    <row r="13" spans="1:1" ht="14.4" x14ac:dyDescent="0.25">
      <c r="A13" s="13"/>
    </row>
    <row r="14" spans="1:1" ht="14.4" x14ac:dyDescent="0.25">
      <c r="A14" s="12" t="s">
        <v>1397</v>
      </c>
    </row>
    <row r="15" spans="1:1" ht="14.4" x14ac:dyDescent="0.25">
      <c r="A15" s="14" t="s">
        <v>1398</v>
      </c>
    </row>
    <row r="16" spans="1:1" ht="14.4" x14ac:dyDescent="0.25">
      <c r="A16" s="14" t="s">
        <v>1399</v>
      </c>
    </row>
    <row r="17" spans="1:1" ht="14.4" x14ac:dyDescent="0.25">
      <c r="A17" s="14" t="s">
        <v>1400</v>
      </c>
    </row>
    <row r="18" spans="1:1" ht="14.4" x14ac:dyDescent="0.25">
      <c r="A18" s="13"/>
    </row>
    <row r="19" spans="1:1" ht="14.4" x14ac:dyDescent="0.25">
      <c r="A19" s="12" t="s">
        <v>1401</v>
      </c>
    </row>
    <row r="20" spans="1:1" ht="14.4" x14ac:dyDescent="0.25">
      <c r="A20" s="14" t="s">
        <v>1402</v>
      </c>
    </row>
    <row r="21" spans="1:1" ht="14.4" x14ac:dyDescent="0.25">
      <c r="A21" s="15" t="s">
        <v>1403</v>
      </c>
    </row>
    <row r="22" spans="1:1" ht="14.4" x14ac:dyDescent="0.25">
      <c r="A22" s="15" t="s">
        <v>1404</v>
      </c>
    </row>
    <row r="23" spans="1:1" ht="14.4" x14ac:dyDescent="0.25">
      <c r="A23" s="14" t="s">
        <v>1405</v>
      </c>
    </row>
    <row r="24" spans="1:1" ht="14.4" x14ac:dyDescent="0.25">
      <c r="A24" s="15" t="s">
        <v>1406</v>
      </c>
    </row>
    <row r="25" spans="1:1" ht="14.4" x14ac:dyDescent="0.25">
      <c r="A25" s="15" t="s">
        <v>1407</v>
      </c>
    </row>
    <row r="26" spans="1:1" ht="14.4" x14ac:dyDescent="0.25">
      <c r="A26" s="15"/>
    </row>
    <row r="27" spans="1:1" ht="14.4" x14ac:dyDescent="0.25">
      <c r="A27" s="12" t="s">
        <v>1408</v>
      </c>
    </row>
    <row r="28" spans="1:1" ht="14.4" x14ac:dyDescent="0.25">
      <c r="A28" s="12" t="s">
        <v>1409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73FF-D628-49D8-8E97-4174CBB3D7E4}">
  <dimension ref="B2:M178"/>
  <sheetViews>
    <sheetView workbookViewId="0">
      <selection activeCell="D3" sqref="D3"/>
    </sheetView>
  </sheetViews>
  <sheetFormatPr defaultRowHeight="13.8" x14ac:dyDescent="0.25"/>
  <cols>
    <col min="4" max="4" width="10" bestFit="1" customWidth="1"/>
    <col min="5" max="5" width="12.5" bestFit="1" customWidth="1"/>
    <col min="6" max="6" width="22.09765625" bestFit="1" customWidth="1"/>
    <col min="7" max="7" width="7.69921875" bestFit="1" customWidth="1"/>
    <col min="8" max="8" width="4.796875" bestFit="1" customWidth="1"/>
    <col min="9" max="9" width="12" bestFit="1" customWidth="1"/>
    <col min="10" max="10" width="16.09765625" bestFit="1" customWidth="1"/>
    <col min="11" max="11" width="6.09765625" bestFit="1" customWidth="1"/>
    <col min="12" max="12" width="12.59765625" bestFit="1" customWidth="1"/>
    <col min="13" max="13" width="14" bestFit="1" customWidth="1"/>
  </cols>
  <sheetData>
    <row r="2" spans="2:13" ht="15" x14ac:dyDescent="0.25">
      <c r="B2" s="16" t="s">
        <v>1346</v>
      </c>
      <c r="C2" s="16"/>
      <c r="D2" s="17" t="s">
        <v>1343</v>
      </c>
      <c r="E2" s="17" t="s">
        <v>1344</v>
      </c>
      <c r="F2" s="17" t="s">
        <v>1345</v>
      </c>
      <c r="G2" s="17" t="s">
        <v>1346</v>
      </c>
      <c r="H2" s="17" t="s">
        <v>1347</v>
      </c>
      <c r="I2" s="17" t="s">
        <v>1356</v>
      </c>
      <c r="J2" s="17" t="s">
        <v>1348</v>
      </c>
      <c r="K2" s="17" t="s">
        <v>1349</v>
      </c>
      <c r="L2" s="17" t="s">
        <v>1350</v>
      </c>
      <c r="M2" s="17" t="s">
        <v>1351</v>
      </c>
    </row>
    <row r="3" spans="2:13" x14ac:dyDescent="0.25">
      <c r="B3" t="s">
        <v>3</v>
      </c>
      <c r="D3" t="str" cm="1">
        <f t="array" ref="D3:M178">_xlfn._xlws.FILTER(Sheet1!$A:$J,(Sheet1!$D:$D=Filter_function!$B$3)*(Sheet1!$H:$H&gt;5000)*(Sheet1!J:J&gt;=2))</f>
        <v>Jacob</v>
      </c>
      <c r="E3" t="str">
        <v>Robinson</v>
      </c>
      <c r="F3" t="str">
        <v>Jacob Robinson</v>
      </c>
      <c r="G3" t="str">
        <v>Male</v>
      </c>
      <c r="H3">
        <v>58</v>
      </c>
      <c r="I3" t="str">
        <v>Old</v>
      </c>
      <c r="J3" t="str">
        <v>Lawyer</v>
      </c>
      <c r="K3">
        <v>6779</v>
      </c>
      <c r="L3" t="str">
        <v>Married</v>
      </c>
      <c r="M3">
        <v>2</v>
      </c>
    </row>
    <row r="4" spans="2:13" x14ac:dyDescent="0.25">
      <c r="D4" t="str">
        <v>Kellan</v>
      </c>
      <c r="E4" t="str">
        <v>Williams</v>
      </c>
      <c r="F4" t="str">
        <v>Kellan Williams</v>
      </c>
      <c r="G4" t="str">
        <v>Male</v>
      </c>
      <c r="H4">
        <v>38</v>
      </c>
      <c r="I4" t="str">
        <v>Middle Age</v>
      </c>
      <c r="J4" t="str">
        <v>Police Officer</v>
      </c>
      <c r="K4">
        <v>8337</v>
      </c>
      <c r="L4" t="str">
        <v>Married</v>
      </c>
      <c r="M4">
        <v>4</v>
      </c>
    </row>
    <row r="5" spans="2:13" x14ac:dyDescent="0.25">
      <c r="D5" t="str">
        <v>Richard</v>
      </c>
      <c r="E5" t="str">
        <v>Richards</v>
      </c>
      <c r="F5" t="str">
        <v>Richard Richards</v>
      </c>
      <c r="G5" t="str">
        <v>Male</v>
      </c>
      <c r="H5">
        <v>56</v>
      </c>
      <c r="I5" t="str">
        <v>Old</v>
      </c>
      <c r="J5" t="str">
        <v>Engineer</v>
      </c>
      <c r="K5">
        <v>6229</v>
      </c>
      <c r="L5" t="str">
        <v>Single</v>
      </c>
      <c r="M5">
        <v>2</v>
      </c>
    </row>
    <row r="6" spans="2:13" x14ac:dyDescent="0.25">
      <c r="D6" t="str">
        <v>Alan</v>
      </c>
      <c r="E6" t="str">
        <v>Allen</v>
      </c>
      <c r="F6" t="str">
        <v>Alan Allen</v>
      </c>
      <c r="G6" t="str">
        <v>Male</v>
      </c>
      <c r="H6">
        <v>57</v>
      </c>
      <c r="I6" t="str">
        <v>Old</v>
      </c>
      <c r="J6" t="str">
        <v>Singer</v>
      </c>
      <c r="K6">
        <v>5461</v>
      </c>
      <c r="L6" t="str">
        <v>Single</v>
      </c>
      <c r="M6">
        <v>2</v>
      </c>
    </row>
    <row r="7" spans="2:13" x14ac:dyDescent="0.25">
      <c r="D7" t="str">
        <v>Sawyer</v>
      </c>
      <c r="E7" t="str">
        <v>Carter</v>
      </c>
      <c r="F7" t="str">
        <v>Sawyer Carter</v>
      </c>
      <c r="G7" t="str">
        <v>Male</v>
      </c>
      <c r="H7">
        <v>26</v>
      </c>
      <c r="I7" t="str">
        <v>Young</v>
      </c>
      <c r="J7" t="str">
        <v>Medic</v>
      </c>
      <c r="K7">
        <v>9039</v>
      </c>
      <c r="L7" t="str">
        <v>Married</v>
      </c>
      <c r="M7">
        <v>4</v>
      </c>
    </row>
    <row r="8" spans="2:13" x14ac:dyDescent="0.25">
      <c r="D8" t="str">
        <v>Frederick</v>
      </c>
      <c r="E8" t="str">
        <v>Johnson</v>
      </c>
      <c r="F8" t="str">
        <v>Frederick Johnson</v>
      </c>
      <c r="G8" t="str">
        <v>Male</v>
      </c>
      <c r="H8">
        <v>49</v>
      </c>
      <c r="I8" t="str">
        <v>Middle Age</v>
      </c>
      <c r="J8" t="str">
        <v>Programmer</v>
      </c>
      <c r="K8">
        <v>5998</v>
      </c>
      <c r="L8" t="str">
        <v>Married</v>
      </c>
      <c r="M8">
        <v>2</v>
      </c>
    </row>
    <row r="9" spans="2:13" x14ac:dyDescent="0.25">
      <c r="D9" t="str">
        <v>Roman</v>
      </c>
      <c r="E9" t="str">
        <v>Campbell</v>
      </c>
      <c r="F9" t="str">
        <v>Roman Campbell</v>
      </c>
      <c r="G9" t="str">
        <v>Male</v>
      </c>
      <c r="H9">
        <v>23</v>
      </c>
      <c r="I9" t="str">
        <v>Young</v>
      </c>
      <c r="J9" t="str">
        <v>Aeroplane Pilot</v>
      </c>
      <c r="K9">
        <v>9654</v>
      </c>
      <c r="L9" t="str">
        <v>Single</v>
      </c>
      <c r="M9">
        <v>2</v>
      </c>
    </row>
    <row r="10" spans="2:13" x14ac:dyDescent="0.25">
      <c r="D10" t="str">
        <v>Fenton</v>
      </c>
      <c r="E10" t="str">
        <v>Kelly</v>
      </c>
      <c r="F10" t="str">
        <v>Fenton Kelly</v>
      </c>
      <c r="G10" t="str">
        <v>Male</v>
      </c>
      <c r="H10">
        <v>46</v>
      </c>
      <c r="I10" t="str">
        <v>Middle Age</v>
      </c>
      <c r="J10" t="str">
        <v>Architect</v>
      </c>
      <c r="K10">
        <v>8547</v>
      </c>
      <c r="L10" t="str">
        <v>Married</v>
      </c>
      <c r="M10">
        <v>4</v>
      </c>
    </row>
    <row r="11" spans="2:13" x14ac:dyDescent="0.25">
      <c r="D11" t="str">
        <v>Jack</v>
      </c>
      <c r="E11" t="str">
        <v>Riley</v>
      </c>
      <c r="F11" t="str">
        <v>Jack Riley</v>
      </c>
      <c r="G11" t="str">
        <v>Male</v>
      </c>
      <c r="H11">
        <v>59</v>
      </c>
      <c r="I11" t="str">
        <v>Old</v>
      </c>
      <c r="J11" t="str">
        <v>Driver</v>
      </c>
      <c r="K11">
        <v>6452</v>
      </c>
      <c r="L11" t="str">
        <v>Single</v>
      </c>
      <c r="M11">
        <v>2</v>
      </c>
    </row>
    <row r="12" spans="2:13" x14ac:dyDescent="0.25">
      <c r="D12" t="str">
        <v>Jared</v>
      </c>
      <c r="E12" t="str">
        <v>Carter</v>
      </c>
      <c r="F12" t="str">
        <v>Jared Carter</v>
      </c>
      <c r="G12" t="str">
        <v>Male</v>
      </c>
      <c r="H12">
        <v>34</v>
      </c>
      <c r="I12" t="str">
        <v>Middle Age</v>
      </c>
      <c r="J12" t="str">
        <v>Meteorologist</v>
      </c>
      <c r="K12">
        <v>8791</v>
      </c>
      <c r="L12" t="str">
        <v>Married</v>
      </c>
      <c r="M12">
        <v>2</v>
      </c>
    </row>
    <row r="13" spans="2:13" x14ac:dyDescent="0.25">
      <c r="D13" t="str">
        <v>Kellan</v>
      </c>
      <c r="E13" t="str">
        <v>Campbell</v>
      </c>
      <c r="F13" t="str">
        <v>Kellan Campbell</v>
      </c>
      <c r="G13" t="str">
        <v>Male</v>
      </c>
      <c r="H13">
        <v>21</v>
      </c>
      <c r="I13" t="str">
        <v>Young</v>
      </c>
      <c r="J13" t="str">
        <v>Police Officer</v>
      </c>
      <c r="K13">
        <v>8410</v>
      </c>
      <c r="L13" t="str">
        <v>Single</v>
      </c>
      <c r="M13">
        <v>5</v>
      </c>
    </row>
    <row r="14" spans="2:13" x14ac:dyDescent="0.25">
      <c r="D14" t="str">
        <v>Maximilian</v>
      </c>
      <c r="E14" t="str">
        <v>Ryan</v>
      </c>
      <c r="F14" t="str">
        <v>Maximilian Ryan</v>
      </c>
      <c r="G14" t="str">
        <v>Male</v>
      </c>
      <c r="H14">
        <v>24</v>
      </c>
      <c r="I14" t="str">
        <v>Young</v>
      </c>
      <c r="J14" t="str">
        <v>Florist</v>
      </c>
      <c r="K14">
        <v>5072</v>
      </c>
      <c r="L14" t="str">
        <v>Single</v>
      </c>
      <c r="M14">
        <v>2</v>
      </c>
    </row>
    <row r="15" spans="2:13" x14ac:dyDescent="0.25">
      <c r="D15" t="str">
        <v>Eric</v>
      </c>
      <c r="E15" t="str">
        <v>Perkins</v>
      </c>
      <c r="F15" t="str">
        <v>Eric Perkins</v>
      </c>
      <c r="G15" t="str">
        <v>Male</v>
      </c>
      <c r="H15">
        <v>40</v>
      </c>
      <c r="I15" t="str">
        <v>Middle Age</v>
      </c>
      <c r="J15" t="str">
        <v>Hairdresser</v>
      </c>
      <c r="K15">
        <v>7506</v>
      </c>
      <c r="L15" t="str">
        <v>Married</v>
      </c>
      <c r="M15">
        <v>4</v>
      </c>
    </row>
    <row r="16" spans="2:13" x14ac:dyDescent="0.25">
      <c r="D16" t="str">
        <v>Eddy</v>
      </c>
      <c r="E16" t="str">
        <v>Richards</v>
      </c>
      <c r="F16" t="str">
        <v>Eddy Richards</v>
      </c>
      <c r="G16" t="str">
        <v>Male</v>
      </c>
      <c r="H16">
        <v>29</v>
      </c>
      <c r="I16" t="str">
        <v>Young</v>
      </c>
      <c r="J16" t="str">
        <v>Salesman</v>
      </c>
      <c r="K16">
        <v>8547</v>
      </c>
      <c r="L16" t="str">
        <v>Single</v>
      </c>
      <c r="M16">
        <v>4</v>
      </c>
    </row>
    <row r="17" spans="4:13" x14ac:dyDescent="0.25">
      <c r="D17" t="str">
        <v>Haris</v>
      </c>
      <c r="E17" t="str">
        <v>Ross</v>
      </c>
      <c r="F17" t="str">
        <v>Haris Ross</v>
      </c>
      <c r="G17" t="str">
        <v>Male</v>
      </c>
      <c r="H17">
        <v>23</v>
      </c>
      <c r="I17" t="str">
        <v>Young</v>
      </c>
      <c r="J17" t="str">
        <v>Fashion Designer</v>
      </c>
      <c r="K17">
        <v>7157</v>
      </c>
      <c r="L17" t="str">
        <v>Single</v>
      </c>
      <c r="M17">
        <v>3</v>
      </c>
    </row>
    <row r="18" spans="4:13" x14ac:dyDescent="0.25">
      <c r="D18" t="str">
        <v>Robert</v>
      </c>
      <c r="E18" t="str">
        <v>Phillips</v>
      </c>
      <c r="F18" t="str">
        <v>Robert Phillips</v>
      </c>
      <c r="G18" t="str">
        <v>Male</v>
      </c>
      <c r="H18">
        <v>25</v>
      </c>
      <c r="I18" t="str">
        <v>Young</v>
      </c>
      <c r="J18" t="str">
        <v>Interpreter</v>
      </c>
      <c r="K18">
        <v>8196</v>
      </c>
      <c r="L18" t="str">
        <v>Single</v>
      </c>
      <c r="M18">
        <v>3</v>
      </c>
    </row>
    <row r="19" spans="4:13" x14ac:dyDescent="0.25">
      <c r="D19" t="str">
        <v>Andrew</v>
      </c>
      <c r="E19" t="str">
        <v>Reed</v>
      </c>
      <c r="F19" t="str">
        <v>Andrew Reed</v>
      </c>
      <c r="G19" t="str">
        <v>Male</v>
      </c>
      <c r="H19">
        <v>57</v>
      </c>
      <c r="I19" t="str">
        <v>Old</v>
      </c>
      <c r="J19" t="str">
        <v>Producer</v>
      </c>
      <c r="K19">
        <v>7802</v>
      </c>
      <c r="L19" t="str">
        <v>Married</v>
      </c>
      <c r="M19">
        <v>5</v>
      </c>
    </row>
    <row r="20" spans="4:13" x14ac:dyDescent="0.25">
      <c r="D20" t="str">
        <v>Vincent</v>
      </c>
      <c r="E20" t="str">
        <v>Hawkins</v>
      </c>
      <c r="F20" t="str">
        <v>Vincent Hawkins</v>
      </c>
      <c r="G20" t="str">
        <v>Male</v>
      </c>
      <c r="H20">
        <v>45</v>
      </c>
      <c r="I20" t="str">
        <v>Middle Age</v>
      </c>
      <c r="J20" t="str">
        <v>Agronomist</v>
      </c>
      <c r="K20">
        <v>9147</v>
      </c>
      <c r="L20" t="str">
        <v>Married</v>
      </c>
      <c r="M20">
        <v>5</v>
      </c>
    </row>
    <row r="21" spans="4:13" x14ac:dyDescent="0.25">
      <c r="D21" t="str">
        <v>Arthur</v>
      </c>
      <c r="E21" t="str">
        <v>Murphy</v>
      </c>
      <c r="F21" t="str">
        <v>Arthur Murphy</v>
      </c>
      <c r="G21" t="str">
        <v>Male</v>
      </c>
      <c r="H21">
        <v>20</v>
      </c>
      <c r="I21" t="str">
        <v>Young</v>
      </c>
      <c r="J21" t="str">
        <v>Singer</v>
      </c>
      <c r="K21">
        <v>8131</v>
      </c>
      <c r="L21" t="str">
        <v>Married</v>
      </c>
      <c r="M21">
        <v>5</v>
      </c>
    </row>
    <row r="22" spans="4:13" x14ac:dyDescent="0.25">
      <c r="D22" t="str">
        <v>Harold</v>
      </c>
      <c r="E22" t="str">
        <v>Phillips</v>
      </c>
      <c r="F22" t="str">
        <v>Harold Phillips</v>
      </c>
      <c r="G22" t="str">
        <v>Male</v>
      </c>
      <c r="H22">
        <v>60</v>
      </c>
      <c r="I22" t="str">
        <v>Old</v>
      </c>
      <c r="J22" t="str">
        <v>Actor</v>
      </c>
      <c r="K22">
        <v>6130</v>
      </c>
      <c r="L22" t="str">
        <v>Single</v>
      </c>
      <c r="M22">
        <v>4</v>
      </c>
    </row>
    <row r="23" spans="4:13" x14ac:dyDescent="0.25">
      <c r="D23" t="str">
        <v>Ryan</v>
      </c>
      <c r="E23" t="str">
        <v>Watson</v>
      </c>
      <c r="F23" t="str">
        <v>Ryan Watson</v>
      </c>
      <c r="G23" t="str">
        <v>Male</v>
      </c>
      <c r="H23">
        <v>21</v>
      </c>
      <c r="I23" t="str">
        <v>Young</v>
      </c>
      <c r="J23" t="str">
        <v>Lecturer</v>
      </c>
      <c r="K23">
        <v>7380</v>
      </c>
      <c r="L23" t="str">
        <v>Married</v>
      </c>
      <c r="M23">
        <v>3</v>
      </c>
    </row>
    <row r="24" spans="4:13" x14ac:dyDescent="0.25">
      <c r="D24" t="str">
        <v>David</v>
      </c>
      <c r="E24" t="str">
        <v>Bailey</v>
      </c>
      <c r="F24" t="str">
        <v>David Bailey</v>
      </c>
      <c r="G24" t="str">
        <v>Male</v>
      </c>
      <c r="H24">
        <v>56</v>
      </c>
      <c r="I24" t="str">
        <v>Old</v>
      </c>
      <c r="J24" t="str">
        <v>Meteorologist</v>
      </c>
      <c r="K24">
        <v>5282</v>
      </c>
      <c r="L24" t="str">
        <v>Married</v>
      </c>
      <c r="M24">
        <v>4</v>
      </c>
    </row>
    <row r="25" spans="4:13" x14ac:dyDescent="0.25">
      <c r="D25" t="str">
        <v>Jack</v>
      </c>
      <c r="E25" t="str">
        <v>Brooks</v>
      </c>
      <c r="F25" t="str">
        <v>Jack Brooks</v>
      </c>
      <c r="G25" t="str">
        <v>Male</v>
      </c>
      <c r="H25">
        <v>51</v>
      </c>
      <c r="I25" t="str">
        <v>Old</v>
      </c>
      <c r="J25" t="str">
        <v>Chef</v>
      </c>
      <c r="K25">
        <v>5967</v>
      </c>
      <c r="L25" t="str">
        <v>Married</v>
      </c>
      <c r="M25">
        <v>3</v>
      </c>
    </row>
    <row r="26" spans="4:13" x14ac:dyDescent="0.25">
      <c r="D26" t="str">
        <v>Ashton</v>
      </c>
      <c r="E26" t="str">
        <v>Dixon</v>
      </c>
      <c r="F26" t="str">
        <v>Ashton Dixon</v>
      </c>
      <c r="G26" t="str">
        <v>Male</v>
      </c>
      <c r="H26">
        <v>44</v>
      </c>
      <c r="I26" t="str">
        <v>Middle Age</v>
      </c>
      <c r="J26" t="str">
        <v>Firefighter</v>
      </c>
      <c r="K26">
        <v>6423</v>
      </c>
      <c r="L26" t="str">
        <v>Married</v>
      </c>
      <c r="M26">
        <v>4</v>
      </c>
    </row>
    <row r="27" spans="4:13" x14ac:dyDescent="0.25">
      <c r="D27" t="str">
        <v>Kelvin</v>
      </c>
      <c r="E27" t="str">
        <v>Hamilton</v>
      </c>
      <c r="F27" t="str">
        <v>Kelvin Hamilton</v>
      </c>
      <c r="G27" t="str">
        <v>Male</v>
      </c>
      <c r="H27">
        <v>30</v>
      </c>
      <c r="I27" t="str">
        <v>Young</v>
      </c>
      <c r="J27" t="str">
        <v>Firefighter</v>
      </c>
      <c r="K27">
        <v>9166</v>
      </c>
      <c r="L27" t="str">
        <v>Single</v>
      </c>
      <c r="M27">
        <v>2</v>
      </c>
    </row>
    <row r="28" spans="4:13" x14ac:dyDescent="0.25">
      <c r="D28" t="str">
        <v>Elian</v>
      </c>
      <c r="E28" t="str">
        <v>Ferguson</v>
      </c>
      <c r="F28" t="str">
        <v>Elian Ferguson</v>
      </c>
      <c r="G28" t="str">
        <v>Male</v>
      </c>
      <c r="H28">
        <v>59</v>
      </c>
      <c r="I28" t="str">
        <v>Old</v>
      </c>
      <c r="J28" t="str">
        <v>Veterinarian</v>
      </c>
      <c r="K28">
        <v>6855</v>
      </c>
      <c r="L28" t="str">
        <v>Married</v>
      </c>
      <c r="M28">
        <v>5</v>
      </c>
    </row>
    <row r="29" spans="4:13" x14ac:dyDescent="0.25">
      <c r="D29" t="str">
        <v>Michael</v>
      </c>
      <c r="E29" t="str">
        <v>Turner</v>
      </c>
      <c r="F29" t="str">
        <v>Michael Turner</v>
      </c>
      <c r="G29" t="str">
        <v>Male</v>
      </c>
      <c r="H29">
        <v>38</v>
      </c>
      <c r="I29" t="str">
        <v>Middle Age</v>
      </c>
      <c r="J29" t="str">
        <v>Interior Designer</v>
      </c>
      <c r="K29">
        <v>8616</v>
      </c>
      <c r="L29" t="str">
        <v>Single</v>
      </c>
      <c r="M29">
        <v>4</v>
      </c>
    </row>
    <row r="30" spans="4:13" x14ac:dyDescent="0.25">
      <c r="D30" t="str">
        <v>Robert</v>
      </c>
      <c r="E30" t="str">
        <v>Ellis</v>
      </c>
      <c r="F30" t="str">
        <v>Robert Ellis</v>
      </c>
      <c r="G30" t="str">
        <v>Male</v>
      </c>
      <c r="H30">
        <v>45</v>
      </c>
      <c r="I30" t="str">
        <v>Middle Age</v>
      </c>
      <c r="J30" t="str">
        <v>Fine Artist</v>
      </c>
      <c r="K30">
        <v>9868</v>
      </c>
      <c r="L30" t="str">
        <v>Single</v>
      </c>
      <c r="M30">
        <v>5</v>
      </c>
    </row>
    <row r="31" spans="4:13" x14ac:dyDescent="0.25">
      <c r="D31" t="str">
        <v>Max</v>
      </c>
      <c r="E31" t="str">
        <v>Edwards</v>
      </c>
      <c r="F31" t="str">
        <v>Max Edwards</v>
      </c>
      <c r="G31" t="str">
        <v>Male</v>
      </c>
      <c r="H31">
        <v>19</v>
      </c>
      <c r="I31" t="str">
        <v>Young</v>
      </c>
      <c r="J31" t="str">
        <v>Astronomer</v>
      </c>
      <c r="K31">
        <v>9366</v>
      </c>
      <c r="L31" t="str">
        <v>Single</v>
      </c>
      <c r="M31">
        <v>4</v>
      </c>
    </row>
    <row r="32" spans="4:13" x14ac:dyDescent="0.25">
      <c r="D32" t="str">
        <v>Bruce</v>
      </c>
      <c r="E32" t="str">
        <v>Carter</v>
      </c>
      <c r="F32" t="str">
        <v>Bruce Carter</v>
      </c>
      <c r="G32" t="str">
        <v>Male</v>
      </c>
      <c r="H32">
        <v>24</v>
      </c>
      <c r="I32" t="str">
        <v>Young</v>
      </c>
      <c r="J32" t="str">
        <v>Chef</v>
      </c>
      <c r="K32">
        <v>6600</v>
      </c>
      <c r="L32" t="str">
        <v>Single</v>
      </c>
      <c r="M32">
        <v>2</v>
      </c>
    </row>
    <row r="33" spans="4:13" x14ac:dyDescent="0.25">
      <c r="D33" t="str">
        <v>Arthur</v>
      </c>
      <c r="E33" t="str">
        <v>Nelson</v>
      </c>
      <c r="F33" t="str">
        <v>Arthur Nelson</v>
      </c>
      <c r="G33" t="str">
        <v>Male</v>
      </c>
      <c r="H33">
        <v>58</v>
      </c>
      <c r="I33" t="str">
        <v>Old</v>
      </c>
      <c r="J33" t="str">
        <v>Economist</v>
      </c>
      <c r="K33">
        <v>7325</v>
      </c>
      <c r="L33" t="str">
        <v>Single</v>
      </c>
      <c r="M33">
        <v>5</v>
      </c>
    </row>
    <row r="34" spans="4:13" x14ac:dyDescent="0.25">
      <c r="D34" t="str">
        <v>Kristian</v>
      </c>
      <c r="E34" t="str">
        <v>Hunt</v>
      </c>
      <c r="F34" t="str">
        <v>Kristian Hunt</v>
      </c>
      <c r="G34" t="str">
        <v>Male</v>
      </c>
      <c r="H34">
        <v>24</v>
      </c>
      <c r="I34" t="str">
        <v>Young</v>
      </c>
      <c r="J34" t="str">
        <v>Insurer</v>
      </c>
      <c r="K34">
        <v>5659</v>
      </c>
      <c r="L34" t="str">
        <v>Single</v>
      </c>
      <c r="M34">
        <v>5</v>
      </c>
    </row>
    <row r="35" spans="4:13" x14ac:dyDescent="0.25">
      <c r="D35" t="str">
        <v>Lyndon</v>
      </c>
      <c r="E35" t="str">
        <v>Adams</v>
      </c>
      <c r="F35" t="str">
        <v>Lyndon Adams</v>
      </c>
      <c r="G35" t="str">
        <v>Male</v>
      </c>
      <c r="H35">
        <v>45</v>
      </c>
      <c r="I35" t="str">
        <v>Middle Age</v>
      </c>
      <c r="J35" t="str">
        <v>Historian</v>
      </c>
      <c r="K35">
        <v>9390</v>
      </c>
      <c r="L35" t="str">
        <v>Single</v>
      </c>
      <c r="M35">
        <v>2</v>
      </c>
    </row>
    <row r="36" spans="4:13" x14ac:dyDescent="0.25">
      <c r="D36" t="str">
        <v>Aldus</v>
      </c>
      <c r="E36" t="str">
        <v>Sullivan</v>
      </c>
      <c r="F36" t="str">
        <v>Aldus Sullivan</v>
      </c>
      <c r="G36" t="str">
        <v>Male</v>
      </c>
      <c r="H36">
        <v>52</v>
      </c>
      <c r="I36" t="str">
        <v>Old</v>
      </c>
      <c r="J36" t="str">
        <v>Carpenter</v>
      </c>
      <c r="K36">
        <v>9726</v>
      </c>
      <c r="L36" t="str">
        <v>Single</v>
      </c>
      <c r="M36">
        <v>3</v>
      </c>
    </row>
    <row r="37" spans="4:13" x14ac:dyDescent="0.25">
      <c r="D37" t="str">
        <v>Victor</v>
      </c>
      <c r="E37" t="str">
        <v>Johnson</v>
      </c>
      <c r="F37" t="str">
        <v>Victor Johnson</v>
      </c>
      <c r="G37" t="str">
        <v>Male</v>
      </c>
      <c r="H37">
        <v>24</v>
      </c>
      <c r="I37" t="str">
        <v>Young</v>
      </c>
      <c r="J37" t="str">
        <v>Photographer</v>
      </c>
      <c r="K37">
        <v>6447</v>
      </c>
      <c r="L37" t="str">
        <v>Single</v>
      </c>
      <c r="M37">
        <v>5</v>
      </c>
    </row>
    <row r="38" spans="4:13" x14ac:dyDescent="0.25">
      <c r="D38" t="str">
        <v>Haris</v>
      </c>
      <c r="E38" t="str">
        <v>Carter</v>
      </c>
      <c r="F38" t="str">
        <v>Haris Carter</v>
      </c>
      <c r="G38" t="str">
        <v>Male</v>
      </c>
      <c r="H38">
        <v>25</v>
      </c>
      <c r="I38" t="str">
        <v>Young</v>
      </c>
      <c r="J38" t="str">
        <v>Interior Designer</v>
      </c>
      <c r="K38">
        <v>5826</v>
      </c>
      <c r="L38" t="str">
        <v>Single</v>
      </c>
      <c r="M38">
        <v>2</v>
      </c>
    </row>
    <row r="39" spans="4:13" x14ac:dyDescent="0.25">
      <c r="D39" t="str">
        <v>Frederick</v>
      </c>
      <c r="E39" t="str">
        <v>Clark</v>
      </c>
      <c r="F39" t="str">
        <v>Frederick Clark</v>
      </c>
      <c r="G39" t="str">
        <v>Male</v>
      </c>
      <c r="H39">
        <v>33</v>
      </c>
      <c r="I39" t="str">
        <v>Middle Age</v>
      </c>
      <c r="J39" t="str">
        <v>Botanist</v>
      </c>
      <c r="K39">
        <v>6961</v>
      </c>
      <c r="L39" t="str">
        <v>Single</v>
      </c>
      <c r="M39">
        <v>2</v>
      </c>
    </row>
    <row r="40" spans="4:13" x14ac:dyDescent="0.25">
      <c r="D40" t="str">
        <v>Alan</v>
      </c>
      <c r="E40" t="str">
        <v>Dixon</v>
      </c>
      <c r="F40" t="str">
        <v>Alan Dixon</v>
      </c>
      <c r="G40" t="str">
        <v>Male</v>
      </c>
      <c r="H40">
        <v>25</v>
      </c>
      <c r="I40" t="str">
        <v>Young</v>
      </c>
      <c r="J40" t="str">
        <v>Programmer</v>
      </c>
      <c r="K40">
        <v>9990</v>
      </c>
      <c r="L40" t="str">
        <v>Married</v>
      </c>
      <c r="M40">
        <v>3</v>
      </c>
    </row>
    <row r="41" spans="4:13" x14ac:dyDescent="0.25">
      <c r="D41" t="str">
        <v>Oscar</v>
      </c>
      <c r="E41" t="str">
        <v>Parker</v>
      </c>
      <c r="F41" t="str">
        <v>Oscar Parker</v>
      </c>
      <c r="G41" t="str">
        <v>Male</v>
      </c>
      <c r="H41">
        <v>51</v>
      </c>
      <c r="I41" t="str">
        <v>Old</v>
      </c>
      <c r="J41" t="str">
        <v>Meteorologist</v>
      </c>
      <c r="K41">
        <v>5242</v>
      </c>
      <c r="L41" t="str">
        <v>Single</v>
      </c>
      <c r="M41">
        <v>3</v>
      </c>
    </row>
    <row r="42" spans="4:13" x14ac:dyDescent="0.25">
      <c r="D42" t="str">
        <v>Reid</v>
      </c>
      <c r="E42" t="str">
        <v>Farrell</v>
      </c>
      <c r="F42" t="str">
        <v>Reid Farrell</v>
      </c>
      <c r="G42" t="str">
        <v>Male</v>
      </c>
      <c r="H42">
        <v>29</v>
      </c>
      <c r="I42" t="str">
        <v>Young</v>
      </c>
      <c r="J42" t="str">
        <v>Carpenter</v>
      </c>
      <c r="K42">
        <v>9418</v>
      </c>
      <c r="L42" t="str">
        <v>Married</v>
      </c>
      <c r="M42">
        <v>5</v>
      </c>
    </row>
    <row r="43" spans="4:13" x14ac:dyDescent="0.25">
      <c r="D43" t="str">
        <v>Jack</v>
      </c>
      <c r="E43" t="str">
        <v>Johnson</v>
      </c>
      <c r="F43" t="str">
        <v>Jack Johnson</v>
      </c>
      <c r="G43" t="str">
        <v>Male</v>
      </c>
      <c r="H43">
        <v>30</v>
      </c>
      <c r="I43" t="str">
        <v>Young</v>
      </c>
      <c r="J43" t="str">
        <v>Architect</v>
      </c>
      <c r="K43">
        <v>7424</v>
      </c>
      <c r="L43" t="str">
        <v>Single</v>
      </c>
      <c r="M43">
        <v>4</v>
      </c>
    </row>
    <row r="44" spans="4:13" x14ac:dyDescent="0.25">
      <c r="D44" t="str">
        <v>Dominik</v>
      </c>
      <c r="E44" t="str">
        <v>Martin</v>
      </c>
      <c r="F44" t="str">
        <v>Dominik Martin</v>
      </c>
      <c r="G44" t="str">
        <v>Male</v>
      </c>
      <c r="H44">
        <v>26</v>
      </c>
      <c r="I44" t="str">
        <v>Young</v>
      </c>
      <c r="J44" t="str">
        <v>Electrician</v>
      </c>
      <c r="K44">
        <v>9164</v>
      </c>
      <c r="L44" t="str">
        <v>Single</v>
      </c>
      <c r="M44">
        <v>3</v>
      </c>
    </row>
    <row r="45" spans="4:13" x14ac:dyDescent="0.25">
      <c r="D45" t="str">
        <v>Arthur</v>
      </c>
      <c r="E45" t="str">
        <v>Dixon</v>
      </c>
      <c r="F45" t="str">
        <v>Arthur Dixon</v>
      </c>
      <c r="G45" t="str">
        <v>Male</v>
      </c>
      <c r="H45">
        <v>42</v>
      </c>
      <c r="I45" t="str">
        <v>Middle Age</v>
      </c>
      <c r="J45" t="str">
        <v>Botanist</v>
      </c>
      <c r="K45">
        <v>6177</v>
      </c>
      <c r="L45" t="str">
        <v>Married</v>
      </c>
      <c r="M45">
        <v>2</v>
      </c>
    </row>
    <row r="46" spans="4:13" x14ac:dyDescent="0.25">
      <c r="D46" t="str">
        <v>Dexter</v>
      </c>
      <c r="E46" t="str">
        <v>Tucker</v>
      </c>
      <c r="F46" t="str">
        <v>Dexter Tucker</v>
      </c>
      <c r="G46" t="str">
        <v>Male</v>
      </c>
      <c r="H46">
        <v>50</v>
      </c>
      <c r="I46" t="str">
        <v>Middle Age</v>
      </c>
      <c r="J46" t="str">
        <v>Astronomer</v>
      </c>
      <c r="K46">
        <v>6852</v>
      </c>
      <c r="L46" t="str">
        <v>Married</v>
      </c>
      <c r="M46">
        <v>2</v>
      </c>
    </row>
    <row r="47" spans="4:13" x14ac:dyDescent="0.25">
      <c r="D47" t="str">
        <v>Elian</v>
      </c>
      <c r="E47" t="str">
        <v>Cole</v>
      </c>
      <c r="F47" t="str">
        <v>Elian Cole</v>
      </c>
      <c r="G47" t="str">
        <v>Male</v>
      </c>
      <c r="H47">
        <v>37</v>
      </c>
      <c r="I47" t="str">
        <v>Middle Age</v>
      </c>
      <c r="J47" t="str">
        <v>Aeroplane Pilot</v>
      </c>
      <c r="K47">
        <v>6212</v>
      </c>
      <c r="L47" t="str">
        <v>Single</v>
      </c>
      <c r="M47">
        <v>3</v>
      </c>
    </row>
    <row r="48" spans="4:13" x14ac:dyDescent="0.25">
      <c r="D48" t="str">
        <v>Lenny</v>
      </c>
      <c r="E48" t="str">
        <v>Montgomery</v>
      </c>
      <c r="F48" t="str">
        <v>Lenny Montgomery</v>
      </c>
      <c r="G48" t="str">
        <v>Male</v>
      </c>
      <c r="H48">
        <v>32</v>
      </c>
      <c r="I48" t="str">
        <v>Middle Age</v>
      </c>
      <c r="J48" t="str">
        <v>Fashion Designer</v>
      </c>
      <c r="K48">
        <v>8019</v>
      </c>
      <c r="L48" t="str">
        <v>Single</v>
      </c>
      <c r="M48">
        <v>4</v>
      </c>
    </row>
    <row r="49" spans="4:13" x14ac:dyDescent="0.25">
      <c r="D49" t="str">
        <v>Jordan</v>
      </c>
      <c r="E49" t="str">
        <v>Myers</v>
      </c>
      <c r="F49" t="str">
        <v>Jordan Myers</v>
      </c>
      <c r="G49" t="str">
        <v>Male</v>
      </c>
      <c r="H49">
        <v>38</v>
      </c>
      <c r="I49" t="str">
        <v>Middle Age</v>
      </c>
      <c r="J49" t="str">
        <v>Journalist</v>
      </c>
      <c r="K49">
        <v>8664</v>
      </c>
      <c r="L49" t="str">
        <v>Married</v>
      </c>
      <c r="M49">
        <v>5</v>
      </c>
    </row>
    <row r="50" spans="4:13" x14ac:dyDescent="0.25">
      <c r="D50" t="str">
        <v>David</v>
      </c>
      <c r="E50" t="str">
        <v>Gray</v>
      </c>
      <c r="F50" t="str">
        <v>David Gray</v>
      </c>
      <c r="G50" t="str">
        <v>Male</v>
      </c>
      <c r="H50">
        <v>41</v>
      </c>
      <c r="I50" t="str">
        <v>Middle Age</v>
      </c>
      <c r="J50" t="str">
        <v>Astronomer</v>
      </c>
      <c r="K50">
        <v>8209</v>
      </c>
      <c r="L50" t="str">
        <v>Single</v>
      </c>
      <c r="M50">
        <v>2</v>
      </c>
    </row>
    <row r="51" spans="4:13" x14ac:dyDescent="0.25">
      <c r="D51" t="str">
        <v>Jack</v>
      </c>
      <c r="E51" t="str">
        <v>Anderson</v>
      </c>
      <c r="F51" t="str">
        <v>Jack Anderson</v>
      </c>
      <c r="G51" t="str">
        <v>Male</v>
      </c>
      <c r="H51">
        <v>48</v>
      </c>
      <c r="I51" t="str">
        <v>Middle Age</v>
      </c>
      <c r="J51" t="str">
        <v>Chef</v>
      </c>
      <c r="K51">
        <v>8554</v>
      </c>
      <c r="L51" t="str">
        <v>Single</v>
      </c>
      <c r="M51">
        <v>4</v>
      </c>
    </row>
    <row r="52" spans="4:13" x14ac:dyDescent="0.25">
      <c r="D52" t="str">
        <v>Ryan</v>
      </c>
      <c r="E52" t="str">
        <v>Grant</v>
      </c>
      <c r="F52" t="str">
        <v>Ryan Grant</v>
      </c>
      <c r="G52" t="str">
        <v>Male</v>
      </c>
      <c r="H52">
        <v>35</v>
      </c>
      <c r="I52" t="str">
        <v>Middle Age</v>
      </c>
      <c r="J52" t="str">
        <v>Medic</v>
      </c>
      <c r="K52">
        <v>7526</v>
      </c>
      <c r="L52" t="str">
        <v>Married</v>
      </c>
      <c r="M52">
        <v>2</v>
      </c>
    </row>
    <row r="53" spans="4:13" x14ac:dyDescent="0.25">
      <c r="D53" t="str">
        <v>Sam</v>
      </c>
      <c r="E53" t="str">
        <v>Johnston</v>
      </c>
      <c r="F53" t="str">
        <v>Sam Johnston</v>
      </c>
      <c r="G53" t="str">
        <v>Male</v>
      </c>
      <c r="H53">
        <v>40</v>
      </c>
      <c r="I53" t="str">
        <v>Middle Age</v>
      </c>
      <c r="J53" t="str">
        <v>Driver</v>
      </c>
      <c r="K53">
        <v>6717</v>
      </c>
      <c r="L53" t="str">
        <v>Single</v>
      </c>
      <c r="M53">
        <v>4</v>
      </c>
    </row>
    <row r="54" spans="4:13" x14ac:dyDescent="0.25">
      <c r="D54" t="str">
        <v>Ryan</v>
      </c>
      <c r="E54" t="str">
        <v>Richards</v>
      </c>
      <c r="F54" t="str">
        <v>Ryan Richards</v>
      </c>
      <c r="G54" t="str">
        <v>Male</v>
      </c>
      <c r="H54">
        <v>18</v>
      </c>
      <c r="I54" t="str">
        <v>Young</v>
      </c>
      <c r="J54" t="str">
        <v>Botanist</v>
      </c>
      <c r="K54">
        <v>6184</v>
      </c>
      <c r="L54" t="str">
        <v>Married</v>
      </c>
      <c r="M54">
        <v>2</v>
      </c>
    </row>
    <row r="55" spans="4:13" x14ac:dyDescent="0.25">
      <c r="D55" t="str">
        <v>Max</v>
      </c>
      <c r="E55" t="str">
        <v>Carroll</v>
      </c>
      <c r="F55" t="str">
        <v>Max Carroll</v>
      </c>
      <c r="G55" t="str">
        <v>Male</v>
      </c>
      <c r="H55">
        <v>18</v>
      </c>
      <c r="I55" t="str">
        <v>Young</v>
      </c>
      <c r="J55" t="str">
        <v>Agronomist</v>
      </c>
      <c r="K55">
        <v>9585</v>
      </c>
      <c r="L55" t="str">
        <v>Single</v>
      </c>
      <c r="M55">
        <v>5</v>
      </c>
    </row>
    <row r="56" spans="4:13" x14ac:dyDescent="0.25">
      <c r="D56" t="str">
        <v>Alen</v>
      </c>
      <c r="E56" t="str">
        <v>Harper</v>
      </c>
      <c r="F56" t="str">
        <v>Alen Harper</v>
      </c>
      <c r="G56" t="str">
        <v>Male</v>
      </c>
      <c r="H56">
        <v>40</v>
      </c>
      <c r="I56" t="str">
        <v>Middle Age</v>
      </c>
      <c r="J56" t="str">
        <v>Florist</v>
      </c>
      <c r="K56">
        <v>7382</v>
      </c>
      <c r="L56" t="str">
        <v>Single</v>
      </c>
      <c r="M56">
        <v>3</v>
      </c>
    </row>
    <row r="57" spans="4:13" x14ac:dyDescent="0.25">
      <c r="D57" t="str">
        <v>Jordan</v>
      </c>
      <c r="E57" t="str">
        <v>Chapman</v>
      </c>
      <c r="F57" t="str">
        <v>Jordan Chapman</v>
      </c>
      <c r="G57" t="str">
        <v>Male</v>
      </c>
      <c r="H57">
        <v>50</v>
      </c>
      <c r="I57" t="str">
        <v>Middle Age</v>
      </c>
      <c r="J57" t="str">
        <v>Architect</v>
      </c>
      <c r="K57">
        <v>6316</v>
      </c>
      <c r="L57" t="str">
        <v>Married</v>
      </c>
      <c r="M57">
        <v>5</v>
      </c>
    </row>
    <row r="58" spans="4:13" x14ac:dyDescent="0.25">
      <c r="D58" t="str">
        <v>Jared</v>
      </c>
      <c r="E58" t="str">
        <v>Barnes</v>
      </c>
      <c r="F58" t="str">
        <v>Jared Barnes</v>
      </c>
      <c r="G58" t="str">
        <v>Male</v>
      </c>
      <c r="H58">
        <v>28</v>
      </c>
      <c r="I58" t="str">
        <v>Young</v>
      </c>
      <c r="J58" t="str">
        <v>Interior Designer</v>
      </c>
      <c r="K58">
        <v>7932</v>
      </c>
      <c r="L58" t="str">
        <v>Married</v>
      </c>
      <c r="M58">
        <v>3</v>
      </c>
    </row>
    <row r="59" spans="4:13" x14ac:dyDescent="0.25">
      <c r="D59" t="str">
        <v>Marcus</v>
      </c>
      <c r="E59" t="str">
        <v>Chapman</v>
      </c>
      <c r="F59" t="str">
        <v>Marcus Chapman</v>
      </c>
      <c r="G59" t="str">
        <v>Male</v>
      </c>
      <c r="H59">
        <v>29</v>
      </c>
      <c r="I59" t="str">
        <v>Young</v>
      </c>
      <c r="J59" t="str">
        <v>Medic</v>
      </c>
      <c r="K59">
        <v>8221</v>
      </c>
      <c r="L59" t="str">
        <v>Married</v>
      </c>
      <c r="M59">
        <v>5</v>
      </c>
    </row>
    <row r="60" spans="4:13" x14ac:dyDescent="0.25">
      <c r="D60" t="str">
        <v>Maximilian</v>
      </c>
      <c r="E60" t="str">
        <v>Crawford</v>
      </c>
      <c r="F60" t="str">
        <v>Maximilian Crawford</v>
      </c>
      <c r="G60" t="str">
        <v>Male</v>
      </c>
      <c r="H60">
        <v>32</v>
      </c>
      <c r="I60" t="str">
        <v>Middle Age</v>
      </c>
      <c r="J60" t="str">
        <v>Mechanic</v>
      </c>
      <c r="K60">
        <v>8786</v>
      </c>
      <c r="L60" t="str">
        <v>Married</v>
      </c>
      <c r="M60">
        <v>3</v>
      </c>
    </row>
    <row r="61" spans="4:13" x14ac:dyDescent="0.25">
      <c r="D61" t="str">
        <v>John</v>
      </c>
      <c r="E61" t="str">
        <v>Gray</v>
      </c>
      <c r="F61" t="str">
        <v>John Gray</v>
      </c>
      <c r="G61" t="str">
        <v>Male</v>
      </c>
      <c r="H61">
        <v>47</v>
      </c>
      <c r="I61" t="str">
        <v>Middle Age</v>
      </c>
      <c r="J61" t="str">
        <v>Lecturer</v>
      </c>
      <c r="K61">
        <v>6344</v>
      </c>
      <c r="L61" t="str">
        <v>Single</v>
      </c>
      <c r="M61">
        <v>2</v>
      </c>
    </row>
    <row r="62" spans="4:13" x14ac:dyDescent="0.25">
      <c r="D62" t="str">
        <v>Jared</v>
      </c>
      <c r="E62" t="str">
        <v>Hunt</v>
      </c>
      <c r="F62" t="str">
        <v>Jared Hunt</v>
      </c>
      <c r="G62" t="str">
        <v>Male</v>
      </c>
      <c r="H62">
        <v>58</v>
      </c>
      <c r="I62" t="str">
        <v>Old</v>
      </c>
      <c r="J62" t="str">
        <v>Geologist</v>
      </c>
      <c r="K62">
        <v>9246</v>
      </c>
      <c r="L62" t="str">
        <v>Married</v>
      </c>
      <c r="M62">
        <v>5</v>
      </c>
    </row>
    <row r="63" spans="4:13" x14ac:dyDescent="0.25">
      <c r="D63" t="str">
        <v>Kelvin</v>
      </c>
      <c r="E63" t="str">
        <v>Warren</v>
      </c>
      <c r="F63" t="str">
        <v>Kelvin Warren</v>
      </c>
      <c r="G63" t="str">
        <v>Male</v>
      </c>
      <c r="H63">
        <v>54</v>
      </c>
      <c r="I63" t="str">
        <v>Old</v>
      </c>
      <c r="J63" t="str">
        <v>Composer</v>
      </c>
      <c r="K63">
        <v>8443</v>
      </c>
      <c r="L63" t="str">
        <v>Married</v>
      </c>
      <c r="M63">
        <v>4</v>
      </c>
    </row>
    <row r="64" spans="4:13" x14ac:dyDescent="0.25">
      <c r="D64" t="str">
        <v>Arnold</v>
      </c>
      <c r="E64" t="str">
        <v>Higgins</v>
      </c>
      <c r="F64" t="str">
        <v>Arnold Higgins</v>
      </c>
      <c r="G64" t="str">
        <v>Male</v>
      </c>
      <c r="H64">
        <v>57</v>
      </c>
      <c r="I64" t="str">
        <v>Old</v>
      </c>
      <c r="J64" t="str">
        <v>Chemist</v>
      </c>
      <c r="K64">
        <v>7500</v>
      </c>
      <c r="L64" t="str">
        <v>Single</v>
      </c>
      <c r="M64">
        <v>4</v>
      </c>
    </row>
    <row r="65" spans="4:13" x14ac:dyDescent="0.25">
      <c r="D65" t="str">
        <v>Frederick</v>
      </c>
      <c r="E65" t="str">
        <v>Parker</v>
      </c>
      <c r="F65" t="str">
        <v>Frederick Parker</v>
      </c>
      <c r="G65" t="str">
        <v>Male</v>
      </c>
      <c r="H65">
        <v>57</v>
      </c>
      <c r="I65" t="str">
        <v>Old</v>
      </c>
      <c r="J65" t="str">
        <v>Biochemist</v>
      </c>
      <c r="K65">
        <v>9129</v>
      </c>
      <c r="L65" t="str">
        <v>Single</v>
      </c>
      <c r="M65">
        <v>3</v>
      </c>
    </row>
    <row r="66" spans="4:13" x14ac:dyDescent="0.25">
      <c r="D66" t="str">
        <v>Paul</v>
      </c>
      <c r="E66" t="str">
        <v>Harrison</v>
      </c>
      <c r="F66" t="str">
        <v>Paul Harrison</v>
      </c>
      <c r="G66" t="str">
        <v>Male</v>
      </c>
      <c r="H66">
        <v>34</v>
      </c>
      <c r="I66" t="str">
        <v>Middle Age</v>
      </c>
      <c r="J66" t="str">
        <v>Graphic Designer</v>
      </c>
      <c r="K66">
        <v>6988</v>
      </c>
      <c r="L66" t="str">
        <v>Married</v>
      </c>
      <c r="M66">
        <v>4</v>
      </c>
    </row>
    <row r="67" spans="4:13" x14ac:dyDescent="0.25">
      <c r="D67" t="str">
        <v>Dale</v>
      </c>
      <c r="E67" t="str">
        <v>Elliott</v>
      </c>
      <c r="F67" t="str">
        <v>Dale Elliott</v>
      </c>
      <c r="G67" t="str">
        <v>Male</v>
      </c>
      <c r="H67">
        <v>44</v>
      </c>
      <c r="I67" t="str">
        <v>Middle Age</v>
      </c>
      <c r="J67" t="str">
        <v>Interior Designer</v>
      </c>
      <c r="K67">
        <v>5309</v>
      </c>
      <c r="L67" t="str">
        <v>Single</v>
      </c>
      <c r="M67">
        <v>5</v>
      </c>
    </row>
    <row r="68" spans="4:13" x14ac:dyDescent="0.25">
      <c r="D68" t="str">
        <v>Edgar</v>
      </c>
      <c r="E68" t="str">
        <v>Barnes</v>
      </c>
      <c r="F68" t="str">
        <v>Edgar Barnes</v>
      </c>
      <c r="G68" t="str">
        <v>Male</v>
      </c>
      <c r="H68">
        <v>54</v>
      </c>
      <c r="I68" t="str">
        <v>Old</v>
      </c>
      <c r="J68" t="str">
        <v>Teacher</v>
      </c>
      <c r="K68">
        <v>8068</v>
      </c>
      <c r="L68" t="str">
        <v>Single</v>
      </c>
      <c r="M68">
        <v>4</v>
      </c>
    </row>
    <row r="69" spans="4:13" x14ac:dyDescent="0.25">
      <c r="D69" t="str">
        <v>Sawyer</v>
      </c>
      <c r="E69" t="str">
        <v>Wright</v>
      </c>
      <c r="F69" t="str">
        <v>Sawyer Wright</v>
      </c>
      <c r="G69" t="str">
        <v>Male</v>
      </c>
      <c r="H69">
        <v>32</v>
      </c>
      <c r="I69" t="str">
        <v>Middle Age</v>
      </c>
      <c r="J69" t="str">
        <v>Singer</v>
      </c>
      <c r="K69">
        <v>6181</v>
      </c>
      <c r="L69" t="str">
        <v>Married</v>
      </c>
      <c r="M69">
        <v>4</v>
      </c>
    </row>
    <row r="70" spans="4:13" x14ac:dyDescent="0.25">
      <c r="D70" t="str">
        <v>Aiden</v>
      </c>
      <c r="E70" t="str">
        <v>Armstrong</v>
      </c>
      <c r="F70" t="str">
        <v>Aiden Armstrong</v>
      </c>
      <c r="G70" t="str">
        <v>Male</v>
      </c>
      <c r="H70">
        <v>39</v>
      </c>
      <c r="I70" t="str">
        <v>Middle Age</v>
      </c>
      <c r="J70" t="str">
        <v>Engineer</v>
      </c>
      <c r="K70">
        <v>9370</v>
      </c>
      <c r="L70" t="str">
        <v>Single</v>
      </c>
      <c r="M70">
        <v>3</v>
      </c>
    </row>
    <row r="71" spans="4:13" x14ac:dyDescent="0.25">
      <c r="D71" t="str">
        <v>Thomas</v>
      </c>
      <c r="E71" t="str">
        <v>Armstrong</v>
      </c>
      <c r="F71" t="str">
        <v>Thomas Armstrong</v>
      </c>
      <c r="G71" t="str">
        <v>Male</v>
      </c>
      <c r="H71">
        <v>29</v>
      </c>
      <c r="I71" t="str">
        <v>Young</v>
      </c>
      <c r="J71" t="str">
        <v>Police Officer</v>
      </c>
      <c r="K71">
        <v>9850</v>
      </c>
      <c r="L71" t="str">
        <v>Single</v>
      </c>
      <c r="M71">
        <v>4</v>
      </c>
    </row>
    <row r="72" spans="4:13" x14ac:dyDescent="0.25">
      <c r="D72" t="str">
        <v>Chester</v>
      </c>
      <c r="E72" t="str">
        <v>Sullivan</v>
      </c>
      <c r="F72" t="str">
        <v>Chester Sullivan</v>
      </c>
      <c r="G72" t="str">
        <v>Male</v>
      </c>
      <c r="H72">
        <v>44</v>
      </c>
      <c r="I72" t="str">
        <v>Middle Age</v>
      </c>
      <c r="J72" t="str">
        <v>Architect</v>
      </c>
      <c r="K72">
        <v>6793</v>
      </c>
      <c r="L72" t="str">
        <v>Single</v>
      </c>
      <c r="M72">
        <v>3</v>
      </c>
    </row>
    <row r="73" spans="4:13" x14ac:dyDescent="0.25">
      <c r="D73" t="str">
        <v>Marcus</v>
      </c>
      <c r="E73" t="str">
        <v>Roberts</v>
      </c>
      <c r="F73" t="str">
        <v>Marcus Roberts</v>
      </c>
      <c r="G73" t="str">
        <v>Male</v>
      </c>
      <c r="H73">
        <v>42</v>
      </c>
      <c r="I73" t="str">
        <v>Middle Age</v>
      </c>
      <c r="J73" t="str">
        <v>Composer</v>
      </c>
      <c r="K73">
        <v>8015</v>
      </c>
      <c r="L73" t="str">
        <v>Single</v>
      </c>
      <c r="M73">
        <v>5</v>
      </c>
    </row>
    <row r="74" spans="4:13" x14ac:dyDescent="0.25">
      <c r="D74" t="str">
        <v>David</v>
      </c>
      <c r="E74" t="str">
        <v>Myers</v>
      </c>
      <c r="F74" t="str">
        <v>David Myers</v>
      </c>
      <c r="G74" t="str">
        <v>Male</v>
      </c>
      <c r="H74">
        <v>23</v>
      </c>
      <c r="I74" t="str">
        <v>Young</v>
      </c>
      <c r="J74" t="str">
        <v>Insurer</v>
      </c>
      <c r="K74">
        <v>7096</v>
      </c>
      <c r="L74" t="str">
        <v>Married</v>
      </c>
      <c r="M74">
        <v>2</v>
      </c>
    </row>
    <row r="75" spans="4:13" x14ac:dyDescent="0.25">
      <c r="D75" t="str">
        <v>Oscar</v>
      </c>
      <c r="E75" t="str">
        <v>Richards</v>
      </c>
      <c r="F75" t="str">
        <v>Oscar Richards</v>
      </c>
      <c r="G75" t="str">
        <v>Male</v>
      </c>
      <c r="H75">
        <v>19</v>
      </c>
      <c r="I75" t="str">
        <v>Young</v>
      </c>
      <c r="J75" t="str">
        <v>Teacher</v>
      </c>
      <c r="K75">
        <v>6572</v>
      </c>
      <c r="L75" t="str">
        <v>Married</v>
      </c>
      <c r="M75">
        <v>2</v>
      </c>
    </row>
    <row r="76" spans="4:13" x14ac:dyDescent="0.25">
      <c r="D76" t="str">
        <v>Roland</v>
      </c>
      <c r="E76" t="str">
        <v>Watson</v>
      </c>
      <c r="F76" t="str">
        <v>Roland Watson</v>
      </c>
      <c r="G76" t="str">
        <v>Male</v>
      </c>
      <c r="H76">
        <v>42</v>
      </c>
      <c r="I76" t="str">
        <v>Middle Age</v>
      </c>
      <c r="J76" t="str">
        <v>Insurer</v>
      </c>
      <c r="K76">
        <v>9377</v>
      </c>
      <c r="L76" t="str">
        <v>Single</v>
      </c>
      <c r="M76">
        <v>3</v>
      </c>
    </row>
    <row r="77" spans="4:13" x14ac:dyDescent="0.25">
      <c r="D77" t="str">
        <v>Lucas</v>
      </c>
      <c r="E77" t="str">
        <v>Kelly</v>
      </c>
      <c r="F77" t="str">
        <v>Lucas Kelly</v>
      </c>
      <c r="G77" t="str">
        <v>Male</v>
      </c>
      <c r="H77">
        <v>48</v>
      </c>
      <c r="I77" t="str">
        <v>Middle Age</v>
      </c>
      <c r="J77" t="str">
        <v>Graphic Designer</v>
      </c>
      <c r="K77">
        <v>5213</v>
      </c>
      <c r="L77" t="str">
        <v>Single</v>
      </c>
      <c r="M77">
        <v>3</v>
      </c>
    </row>
    <row r="78" spans="4:13" x14ac:dyDescent="0.25">
      <c r="D78" t="str">
        <v>Spike</v>
      </c>
      <c r="E78" t="str">
        <v>Hunt</v>
      </c>
      <c r="F78" t="str">
        <v>Spike Hunt</v>
      </c>
      <c r="G78" t="str">
        <v>Male</v>
      </c>
      <c r="H78">
        <v>25</v>
      </c>
      <c r="I78" t="str">
        <v>Young</v>
      </c>
      <c r="J78" t="str">
        <v>Engineer</v>
      </c>
      <c r="K78">
        <v>6903</v>
      </c>
      <c r="L78" t="str">
        <v>Single</v>
      </c>
      <c r="M78">
        <v>4</v>
      </c>
    </row>
    <row r="79" spans="4:13" x14ac:dyDescent="0.25">
      <c r="D79" t="str">
        <v>David</v>
      </c>
      <c r="E79" t="str">
        <v>Barrett</v>
      </c>
      <c r="F79" t="str">
        <v>David Barrett</v>
      </c>
      <c r="G79" t="str">
        <v>Male</v>
      </c>
      <c r="H79">
        <v>42</v>
      </c>
      <c r="I79" t="str">
        <v>Middle Age</v>
      </c>
      <c r="J79" t="str">
        <v>Lecturer</v>
      </c>
      <c r="K79">
        <v>7295</v>
      </c>
      <c r="L79" t="str">
        <v>Married</v>
      </c>
      <c r="M79">
        <v>5</v>
      </c>
    </row>
    <row r="80" spans="4:13" x14ac:dyDescent="0.25">
      <c r="D80" t="str">
        <v>Steven</v>
      </c>
      <c r="E80" t="str">
        <v>Kelly</v>
      </c>
      <c r="F80" t="str">
        <v>Steven Kelly</v>
      </c>
      <c r="G80" t="str">
        <v>Male</v>
      </c>
      <c r="H80">
        <v>40</v>
      </c>
      <c r="I80" t="str">
        <v>Middle Age</v>
      </c>
      <c r="J80" t="str">
        <v>Police Officer</v>
      </c>
      <c r="K80">
        <v>6173</v>
      </c>
      <c r="L80" t="str">
        <v>Single</v>
      </c>
      <c r="M80">
        <v>2</v>
      </c>
    </row>
    <row r="81" spans="4:13" x14ac:dyDescent="0.25">
      <c r="D81" t="str">
        <v>Mike</v>
      </c>
      <c r="E81" t="str">
        <v>Henderson</v>
      </c>
      <c r="F81" t="str">
        <v>Mike Henderson</v>
      </c>
      <c r="G81" t="str">
        <v>Male</v>
      </c>
      <c r="H81">
        <v>50</v>
      </c>
      <c r="I81" t="str">
        <v>Middle Age</v>
      </c>
      <c r="J81" t="str">
        <v>Police Officer</v>
      </c>
      <c r="K81">
        <v>9570</v>
      </c>
      <c r="L81" t="str">
        <v>Married</v>
      </c>
      <c r="M81">
        <v>5</v>
      </c>
    </row>
    <row r="82" spans="4:13" x14ac:dyDescent="0.25">
      <c r="D82" t="str">
        <v>Arthur</v>
      </c>
      <c r="E82" t="str">
        <v>Myers</v>
      </c>
      <c r="F82" t="str">
        <v>Arthur Myers</v>
      </c>
      <c r="G82" t="str">
        <v>Male</v>
      </c>
      <c r="H82">
        <v>54</v>
      </c>
      <c r="I82" t="str">
        <v>Old</v>
      </c>
      <c r="J82" t="str">
        <v>Meteorologist</v>
      </c>
      <c r="K82">
        <v>5880</v>
      </c>
      <c r="L82" t="str">
        <v>Single</v>
      </c>
      <c r="M82">
        <v>5</v>
      </c>
    </row>
    <row r="83" spans="4:13" x14ac:dyDescent="0.25">
      <c r="D83" t="str">
        <v>Tyler</v>
      </c>
      <c r="E83" t="str">
        <v>Andrews</v>
      </c>
      <c r="F83" t="str">
        <v>Tyler Andrews</v>
      </c>
      <c r="G83" t="str">
        <v>Male</v>
      </c>
      <c r="H83">
        <v>33</v>
      </c>
      <c r="I83" t="str">
        <v>Middle Age</v>
      </c>
      <c r="J83" t="str">
        <v>Engineer</v>
      </c>
      <c r="K83">
        <v>5199</v>
      </c>
      <c r="L83" t="str">
        <v>Single</v>
      </c>
      <c r="M83">
        <v>2</v>
      </c>
    </row>
    <row r="84" spans="4:13" x14ac:dyDescent="0.25">
      <c r="D84" t="str">
        <v>Michael</v>
      </c>
      <c r="E84" t="str">
        <v>Alexander</v>
      </c>
      <c r="F84" t="str">
        <v>Michael Alexander</v>
      </c>
      <c r="G84" t="str">
        <v>Male</v>
      </c>
      <c r="H84">
        <v>50</v>
      </c>
      <c r="I84" t="str">
        <v>Middle Age</v>
      </c>
      <c r="J84" t="str">
        <v>Pharmacist</v>
      </c>
      <c r="K84">
        <v>7188</v>
      </c>
      <c r="L84" t="str">
        <v>Single</v>
      </c>
      <c r="M84">
        <v>4</v>
      </c>
    </row>
    <row r="85" spans="4:13" x14ac:dyDescent="0.25">
      <c r="D85" t="str">
        <v>Maximilian</v>
      </c>
      <c r="E85" t="str">
        <v>Perry</v>
      </c>
      <c r="F85" t="str">
        <v>Maximilian Perry</v>
      </c>
      <c r="G85" t="str">
        <v>Male</v>
      </c>
      <c r="H85">
        <v>51</v>
      </c>
      <c r="I85" t="str">
        <v>Old</v>
      </c>
      <c r="J85" t="str">
        <v>Baker</v>
      </c>
      <c r="K85">
        <v>9745</v>
      </c>
      <c r="L85" t="str">
        <v>Married</v>
      </c>
      <c r="M85">
        <v>2</v>
      </c>
    </row>
    <row r="86" spans="4:13" x14ac:dyDescent="0.25">
      <c r="D86" t="str">
        <v>James</v>
      </c>
      <c r="E86" t="str">
        <v>Harrison</v>
      </c>
      <c r="F86" t="str">
        <v>James Harrison</v>
      </c>
      <c r="G86" t="str">
        <v>Male</v>
      </c>
      <c r="H86">
        <v>54</v>
      </c>
      <c r="I86" t="str">
        <v>Old</v>
      </c>
      <c r="J86" t="str">
        <v>Scientist</v>
      </c>
      <c r="K86">
        <v>5610</v>
      </c>
      <c r="L86" t="str">
        <v>Single</v>
      </c>
      <c r="M86">
        <v>5</v>
      </c>
    </row>
    <row r="87" spans="4:13" x14ac:dyDescent="0.25">
      <c r="D87" t="str">
        <v>Elian</v>
      </c>
      <c r="E87" t="str">
        <v>Stevens</v>
      </c>
      <c r="F87" t="str">
        <v>Elian Stevens</v>
      </c>
      <c r="G87" t="str">
        <v>Male</v>
      </c>
      <c r="H87">
        <v>60</v>
      </c>
      <c r="I87" t="str">
        <v>Old</v>
      </c>
      <c r="J87" t="str">
        <v>Economist</v>
      </c>
      <c r="K87">
        <v>8318</v>
      </c>
      <c r="L87" t="str">
        <v>Single</v>
      </c>
      <c r="M87">
        <v>2</v>
      </c>
    </row>
    <row r="88" spans="4:13" x14ac:dyDescent="0.25">
      <c r="D88" t="str">
        <v>Jordan</v>
      </c>
      <c r="E88" t="str">
        <v>Chapman</v>
      </c>
      <c r="F88" t="str">
        <v>Jordan Chapman</v>
      </c>
      <c r="G88" t="str">
        <v>Male</v>
      </c>
      <c r="H88">
        <v>19</v>
      </c>
      <c r="I88" t="str">
        <v>Young</v>
      </c>
      <c r="J88" t="str">
        <v>Composer</v>
      </c>
      <c r="K88">
        <v>9324</v>
      </c>
      <c r="L88" t="str">
        <v>Married</v>
      </c>
      <c r="M88">
        <v>5</v>
      </c>
    </row>
    <row r="89" spans="4:13" x14ac:dyDescent="0.25">
      <c r="D89" t="str">
        <v>Bruce</v>
      </c>
      <c r="E89" t="str">
        <v>Thompson</v>
      </c>
      <c r="F89" t="str">
        <v>Bruce Thompson</v>
      </c>
      <c r="G89" t="str">
        <v>Male</v>
      </c>
      <c r="H89">
        <v>29</v>
      </c>
      <c r="I89" t="str">
        <v>Young</v>
      </c>
      <c r="J89" t="str">
        <v>Botanist</v>
      </c>
      <c r="K89">
        <v>8930</v>
      </c>
      <c r="L89" t="str">
        <v>Single</v>
      </c>
      <c r="M89">
        <v>4</v>
      </c>
    </row>
    <row r="90" spans="4:13" x14ac:dyDescent="0.25">
      <c r="D90" t="str">
        <v>Fenton</v>
      </c>
      <c r="E90" t="str">
        <v>Davis</v>
      </c>
      <c r="F90" t="str">
        <v>Fenton Davis</v>
      </c>
      <c r="G90" t="str">
        <v>Male</v>
      </c>
      <c r="H90">
        <v>35</v>
      </c>
      <c r="I90" t="str">
        <v>Middle Age</v>
      </c>
      <c r="J90" t="str">
        <v>Historian</v>
      </c>
      <c r="K90">
        <v>6097</v>
      </c>
      <c r="L90" t="str">
        <v>Single</v>
      </c>
      <c r="M90">
        <v>3</v>
      </c>
    </row>
    <row r="91" spans="4:13" x14ac:dyDescent="0.25">
      <c r="D91" t="str">
        <v>Frederick</v>
      </c>
      <c r="E91" t="str">
        <v>Martin</v>
      </c>
      <c r="F91" t="str">
        <v>Frederick Martin</v>
      </c>
      <c r="G91" t="str">
        <v>Male</v>
      </c>
      <c r="H91">
        <v>46</v>
      </c>
      <c r="I91" t="str">
        <v>Middle Age</v>
      </c>
      <c r="J91" t="str">
        <v>Electrician</v>
      </c>
      <c r="K91">
        <v>8508</v>
      </c>
      <c r="L91" t="str">
        <v>Married</v>
      </c>
      <c r="M91">
        <v>3</v>
      </c>
    </row>
    <row r="92" spans="4:13" x14ac:dyDescent="0.25">
      <c r="D92" t="str">
        <v>Vincent</v>
      </c>
      <c r="E92" t="str">
        <v>Russell</v>
      </c>
      <c r="F92" t="str">
        <v>Vincent Russell</v>
      </c>
      <c r="G92" t="str">
        <v>Male</v>
      </c>
      <c r="H92">
        <v>25</v>
      </c>
      <c r="I92" t="str">
        <v>Young</v>
      </c>
      <c r="J92" t="str">
        <v>Singer</v>
      </c>
      <c r="K92">
        <v>7486</v>
      </c>
      <c r="L92" t="str">
        <v>Married</v>
      </c>
      <c r="M92">
        <v>4</v>
      </c>
    </row>
    <row r="93" spans="4:13" x14ac:dyDescent="0.25">
      <c r="D93" t="str">
        <v>Ned</v>
      </c>
      <c r="E93" t="str">
        <v>Brown</v>
      </c>
      <c r="F93" t="str">
        <v>Ned Brown</v>
      </c>
      <c r="G93" t="str">
        <v>Male</v>
      </c>
      <c r="H93">
        <v>35</v>
      </c>
      <c r="I93" t="str">
        <v>Middle Age</v>
      </c>
      <c r="J93" t="str">
        <v>Electrician</v>
      </c>
      <c r="K93">
        <v>9296</v>
      </c>
      <c r="L93" t="str">
        <v>Married</v>
      </c>
      <c r="M93">
        <v>5</v>
      </c>
    </row>
    <row r="94" spans="4:13" x14ac:dyDescent="0.25">
      <c r="D94" t="str">
        <v>Nicholas</v>
      </c>
      <c r="E94" t="str">
        <v>Turner</v>
      </c>
      <c r="F94" t="str">
        <v>Nicholas Turner</v>
      </c>
      <c r="G94" t="str">
        <v>Male</v>
      </c>
      <c r="H94">
        <v>59</v>
      </c>
      <c r="I94" t="str">
        <v>Old</v>
      </c>
      <c r="J94" t="str">
        <v>Composer</v>
      </c>
      <c r="K94">
        <v>7464</v>
      </c>
      <c r="L94" t="str">
        <v>Married</v>
      </c>
      <c r="M94">
        <v>5</v>
      </c>
    </row>
    <row r="95" spans="4:13" x14ac:dyDescent="0.25">
      <c r="D95" t="str">
        <v>Byron</v>
      </c>
      <c r="E95" t="str">
        <v>Chapman</v>
      </c>
      <c r="F95" t="str">
        <v>Byron Chapman</v>
      </c>
      <c r="G95" t="str">
        <v>Male</v>
      </c>
      <c r="H95">
        <v>42</v>
      </c>
      <c r="I95" t="str">
        <v>Middle Age</v>
      </c>
      <c r="J95" t="str">
        <v>Actor</v>
      </c>
      <c r="K95">
        <v>9544</v>
      </c>
      <c r="L95" t="str">
        <v>Married</v>
      </c>
      <c r="M95">
        <v>4</v>
      </c>
    </row>
    <row r="96" spans="4:13" x14ac:dyDescent="0.25">
      <c r="D96" t="str">
        <v>Bruce</v>
      </c>
      <c r="E96" t="str">
        <v>Parker</v>
      </c>
      <c r="F96" t="str">
        <v>Bruce Parker</v>
      </c>
      <c r="G96" t="str">
        <v>Male</v>
      </c>
      <c r="H96">
        <v>51</v>
      </c>
      <c r="I96" t="str">
        <v>Old</v>
      </c>
      <c r="J96" t="str">
        <v>Medic</v>
      </c>
      <c r="K96">
        <v>8701</v>
      </c>
      <c r="L96" t="str">
        <v>Single</v>
      </c>
      <c r="M96">
        <v>2</v>
      </c>
    </row>
    <row r="97" spans="4:13" x14ac:dyDescent="0.25">
      <c r="D97" t="str">
        <v>Max</v>
      </c>
      <c r="E97" t="str">
        <v>Grant</v>
      </c>
      <c r="F97" t="str">
        <v>Max Grant</v>
      </c>
      <c r="G97" t="str">
        <v>Male</v>
      </c>
      <c r="H97">
        <v>44</v>
      </c>
      <c r="I97" t="str">
        <v>Middle Age</v>
      </c>
      <c r="J97" t="str">
        <v>Insurer</v>
      </c>
      <c r="K97">
        <v>5798</v>
      </c>
      <c r="L97" t="str">
        <v>Married</v>
      </c>
      <c r="M97">
        <v>4</v>
      </c>
    </row>
    <row r="98" spans="4:13" x14ac:dyDescent="0.25">
      <c r="D98" t="str">
        <v>Arthur</v>
      </c>
      <c r="E98" t="str">
        <v>Nelson</v>
      </c>
      <c r="F98" t="str">
        <v>Arthur Nelson</v>
      </c>
      <c r="G98" t="str">
        <v>Male</v>
      </c>
      <c r="H98">
        <v>53</v>
      </c>
      <c r="I98" t="str">
        <v>Old</v>
      </c>
      <c r="J98" t="str">
        <v>Producer</v>
      </c>
      <c r="K98">
        <v>8258</v>
      </c>
      <c r="L98" t="str">
        <v>Single</v>
      </c>
      <c r="M98">
        <v>2</v>
      </c>
    </row>
    <row r="99" spans="4:13" x14ac:dyDescent="0.25">
      <c r="D99" t="str">
        <v>Julian</v>
      </c>
      <c r="E99" t="str">
        <v>Phillips</v>
      </c>
      <c r="F99" t="str">
        <v>Julian Phillips</v>
      </c>
      <c r="G99" t="str">
        <v>Male</v>
      </c>
      <c r="H99">
        <v>50</v>
      </c>
      <c r="I99" t="str">
        <v>Middle Age</v>
      </c>
      <c r="J99" t="str">
        <v>Electrician</v>
      </c>
      <c r="K99">
        <v>9443</v>
      </c>
      <c r="L99" t="str">
        <v>Married</v>
      </c>
      <c r="M99">
        <v>5</v>
      </c>
    </row>
    <row r="100" spans="4:13" x14ac:dyDescent="0.25">
      <c r="D100" t="str">
        <v>Robert</v>
      </c>
      <c r="E100" t="str">
        <v>Harper</v>
      </c>
      <c r="F100" t="str">
        <v>Robert Harper</v>
      </c>
      <c r="G100" t="str">
        <v>Male</v>
      </c>
      <c r="H100">
        <v>43</v>
      </c>
      <c r="I100" t="str">
        <v>Middle Age</v>
      </c>
      <c r="J100" t="str">
        <v>Police Officer</v>
      </c>
      <c r="K100">
        <v>8386</v>
      </c>
      <c r="L100" t="str">
        <v>Married</v>
      </c>
      <c r="M100">
        <v>3</v>
      </c>
    </row>
    <row r="101" spans="4:13" x14ac:dyDescent="0.25">
      <c r="D101" t="str">
        <v>Oscar</v>
      </c>
      <c r="E101" t="str">
        <v>Myers</v>
      </c>
      <c r="F101" t="str">
        <v>Oscar Myers</v>
      </c>
      <c r="G101" t="str">
        <v>Male</v>
      </c>
      <c r="H101">
        <v>51</v>
      </c>
      <c r="I101" t="str">
        <v>Old</v>
      </c>
      <c r="J101" t="str">
        <v>Physicist</v>
      </c>
      <c r="K101">
        <v>9792</v>
      </c>
      <c r="L101" t="str">
        <v>Married</v>
      </c>
      <c r="M101">
        <v>4</v>
      </c>
    </row>
    <row r="102" spans="4:13" x14ac:dyDescent="0.25">
      <c r="D102" t="str">
        <v>Blake</v>
      </c>
      <c r="E102" t="str">
        <v>Richards</v>
      </c>
      <c r="F102" t="str">
        <v>Blake Richards</v>
      </c>
      <c r="G102" t="str">
        <v>Male</v>
      </c>
      <c r="H102">
        <v>26</v>
      </c>
      <c r="I102" t="str">
        <v>Young</v>
      </c>
      <c r="J102" t="str">
        <v>Composer</v>
      </c>
      <c r="K102">
        <v>5807</v>
      </c>
      <c r="L102" t="str">
        <v>Single</v>
      </c>
      <c r="M102">
        <v>5</v>
      </c>
    </row>
    <row r="103" spans="4:13" x14ac:dyDescent="0.25">
      <c r="D103" t="str">
        <v>Jared</v>
      </c>
      <c r="E103" t="str">
        <v>Morris</v>
      </c>
      <c r="F103" t="str">
        <v>Jared Morris</v>
      </c>
      <c r="G103" t="str">
        <v>Male</v>
      </c>
      <c r="H103">
        <v>27</v>
      </c>
      <c r="I103" t="str">
        <v>Young</v>
      </c>
      <c r="J103" t="str">
        <v>Driver</v>
      </c>
      <c r="K103">
        <v>7431</v>
      </c>
      <c r="L103" t="str">
        <v>Single</v>
      </c>
      <c r="M103">
        <v>2</v>
      </c>
    </row>
    <row r="104" spans="4:13" x14ac:dyDescent="0.25">
      <c r="D104" t="str">
        <v>Jordan</v>
      </c>
      <c r="E104" t="str">
        <v>Williams</v>
      </c>
      <c r="F104" t="str">
        <v>Jordan Williams</v>
      </c>
      <c r="G104" t="str">
        <v>Male</v>
      </c>
      <c r="H104">
        <v>27</v>
      </c>
      <c r="I104" t="str">
        <v>Young</v>
      </c>
      <c r="J104" t="str">
        <v>Agronomist</v>
      </c>
      <c r="K104">
        <v>5177</v>
      </c>
      <c r="L104" t="str">
        <v>Married</v>
      </c>
      <c r="M104">
        <v>3</v>
      </c>
    </row>
    <row r="105" spans="4:13" x14ac:dyDescent="0.25">
      <c r="D105" t="str">
        <v>Clark</v>
      </c>
      <c r="E105" t="str">
        <v>Wells</v>
      </c>
      <c r="F105" t="str">
        <v>Clark Wells</v>
      </c>
      <c r="G105" t="str">
        <v>Male</v>
      </c>
      <c r="H105">
        <v>27</v>
      </c>
      <c r="I105" t="str">
        <v>Young</v>
      </c>
      <c r="J105" t="str">
        <v>Mathematician</v>
      </c>
      <c r="K105">
        <v>5272</v>
      </c>
      <c r="L105" t="str">
        <v>Single</v>
      </c>
      <c r="M105">
        <v>3</v>
      </c>
    </row>
    <row r="106" spans="4:13" x14ac:dyDescent="0.25">
      <c r="D106" t="str">
        <v>Patrick</v>
      </c>
      <c r="E106" t="str">
        <v>Bennett</v>
      </c>
      <c r="F106" t="str">
        <v>Patrick Bennett</v>
      </c>
      <c r="G106" t="str">
        <v>Male</v>
      </c>
      <c r="H106">
        <v>23</v>
      </c>
      <c r="I106" t="str">
        <v>Young</v>
      </c>
      <c r="J106" t="str">
        <v>Archeologist</v>
      </c>
      <c r="K106">
        <v>7336</v>
      </c>
      <c r="L106" t="str">
        <v>Single</v>
      </c>
      <c r="M106">
        <v>3</v>
      </c>
    </row>
    <row r="107" spans="4:13" x14ac:dyDescent="0.25">
      <c r="D107" t="str">
        <v>Sam</v>
      </c>
      <c r="E107" t="str">
        <v>Perry</v>
      </c>
      <c r="F107" t="str">
        <v>Sam Perry</v>
      </c>
      <c r="G107" t="str">
        <v>Male</v>
      </c>
      <c r="H107">
        <v>30</v>
      </c>
      <c r="I107" t="str">
        <v>Young</v>
      </c>
      <c r="J107" t="str">
        <v>Singer</v>
      </c>
      <c r="K107">
        <v>9225</v>
      </c>
      <c r="L107" t="str">
        <v>Single</v>
      </c>
      <c r="M107">
        <v>4</v>
      </c>
    </row>
    <row r="108" spans="4:13" x14ac:dyDescent="0.25">
      <c r="D108" t="str">
        <v>Edgar</v>
      </c>
      <c r="E108" t="str">
        <v>Owens</v>
      </c>
      <c r="F108" t="str">
        <v>Edgar Owens</v>
      </c>
      <c r="G108" t="str">
        <v>Male</v>
      </c>
      <c r="H108">
        <v>44</v>
      </c>
      <c r="I108" t="str">
        <v>Middle Age</v>
      </c>
      <c r="J108" t="str">
        <v>Programmer</v>
      </c>
      <c r="K108">
        <v>5623</v>
      </c>
      <c r="L108" t="str">
        <v>Single</v>
      </c>
      <c r="M108">
        <v>4</v>
      </c>
    </row>
    <row r="109" spans="4:13" x14ac:dyDescent="0.25">
      <c r="D109" t="str">
        <v>Abraham</v>
      </c>
      <c r="E109" t="str">
        <v>Perry</v>
      </c>
      <c r="F109" t="str">
        <v>Abraham Perry</v>
      </c>
      <c r="G109" t="str">
        <v>Male</v>
      </c>
      <c r="H109">
        <v>40</v>
      </c>
      <c r="I109" t="str">
        <v>Middle Age</v>
      </c>
      <c r="J109" t="str">
        <v>Accountant</v>
      </c>
      <c r="K109">
        <v>6540</v>
      </c>
      <c r="L109" t="str">
        <v>Married</v>
      </c>
      <c r="M109">
        <v>3</v>
      </c>
    </row>
    <row r="110" spans="4:13" x14ac:dyDescent="0.25">
      <c r="D110" t="str">
        <v>Michael</v>
      </c>
      <c r="E110" t="str">
        <v>Harper</v>
      </c>
      <c r="F110" t="str">
        <v>Michael Harper</v>
      </c>
      <c r="G110" t="str">
        <v>Male</v>
      </c>
      <c r="H110">
        <v>58</v>
      </c>
      <c r="I110" t="str">
        <v>Old</v>
      </c>
      <c r="J110" t="str">
        <v>Accountant</v>
      </c>
      <c r="K110">
        <v>8863</v>
      </c>
      <c r="L110" t="str">
        <v>Married</v>
      </c>
      <c r="M110">
        <v>2</v>
      </c>
    </row>
    <row r="111" spans="4:13" x14ac:dyDescent="0.25">
      <c r="D111" t="str">
        <v>Bruce</v>
      </c>
      <c r="E111" t="str">
        <v>Hall</v>
      </c>
      <c r="F111" t="str">
        <v>Bruce Hall</v>
      </c>
      <c r="G111" t="str">
        <v>Male</v>
      </c>
      <c r="H111">
        <v>58</v>
      </c>
      <c r="I111" t="str">
        <v>Old</v>
      </c>
      <c r="J111" t="str">
        <v>Manager</v>
      </c>
      <c r="K111">
        <v>8625</v>
      </c>
      <c r="L111" t="str">
        <v>Single</v>
      </c>
      <c r="M111">
        <v>3</v>
      </c>
    </row>
    <row r="112" spans="4:13" x14ac:dyDescent="0.25">
      <c r="D112" t="str">
        <v>Leonardo</v>
      </c>
      <c r="E112" t="str">
        <v>Montgomery</v>
      </c>
      <c r="F112" t="str">
        <v>Leonardo Montgomery</v>
      </c>
      <c r="G112" t="str">
        <v>Male</v>
      </c>
      <c r="H112">
        <v>40</v>
      </c>
      <c r="I112" t="str">
        <v>Middle Age</v>
      </c>
      <c r="J112" t="str">
        <v>Firefighter</v>
      </c>
      <c r="K112">
        <v>6422</v>
      </c>
      <c r="L112" t="str">
        <v>Single</v>
      </c>
      <c r="M112">
        <v>5</v>
      </c>
    </row>
    <row r="113" spans="4:13" x14ac:dyDescent="0.25">
      <c r="D113" t="str">
        <v>Lyndon</v>
      </c>
      <c r="E113" t="str">
        <v>Casey</v>
      </c>
      <c r="F113" t="str">
        <v>Lyndon Casey</v>
      </c>
      <c r="G113" t="str">
        <v>Male</v>
      </c>
      <c r="H113">
        <v>19</v>
      </c>
      <c r="I113" t="str">
        <v>Young</v>
      </c>
      <c r="J113" t="str">
        <v>Driver</v>
      </c>
      <c r="K113">
        <v>9027</v>
      </c>
      <c r="L113" t="str">
        <v>Single</v>
      </c>
      <c r="M113">
        <v>4</v>
      </c>
    </row>
    <row r="114" spans="4:13" x14ac:dyDescent="0.25">
      <c r="D114" t="str">
        <v>Nicholas</v>
      </c>
      <c r="E114" t="str">
        <v>Russell</v>
      </c>
      <c r="F114" t="str">
        <v>Nicholas Russell</v>
      </c>
      <c r="G114" t="str">
        <v>Male</v>
      </c>
      <c r="H114">
        <v>38</v>
      </c>
      <c r="I114" t="str">
        <v>Middle Age</v>
      </c>
      <c r="J114" t="str">
        <v>Pharmacist</v>
      </c>
      <c r="K114">
        <v>6459</v>
      </c>
      <c r="L114" t="str">
        <v>Single</v>
      </c>
      <c r="M114">
        <v>4</v>
      </c>
    </row>
    <row r="115" spans="4:13" x14ac:dyDescent="0.25">
      <c r="D115" t="str">
        <v>Kristian</v>
      </c>
      <c r="E115" t="str">
        <v>Hunt</v>
      </c>
      <c r="F115" t="str">
        <v>Kristian Hunt</v>
      </c>
      <c r="G115" t="str">
        <v>Male</v>
      </c>
      <c r="H115">
        <v>50</v>
      </c>
      <c r="I115" t="str">
        <v>Middle Age</v>
      </c>
      <c r="J115" t="str">
        <v>Composer</v>
      </c>
      <c r="K115">
        <v>7468</v>
      </c>
      <c r="L115" t="str">
        <v>Single</v>
      </c>
      <c r="M115">
        <v>2</v>
      </c>
    </row>
    <row r="116" spans="4:13" x14ac:dyDescent="0.25">
      <c r="D116" t="str">
        <v>Sawyer</v>
      </c>
      <c r="E116" t="str">
        <v>Clark</v>
      </c>
      <c r="F116" t="str">
        <v>Sawyer Clark</v>
      </c>
      <c r="G116" t="str">
        <v>Male</v>
      </c>
      <c r="H116">
        <v>25</v>
      </c>
      <c r="I116" t="str">
        <v>Young</v>
      </c>
      <c r="J116" t="str">
        <v>Medic</v>
      </c>
      <c r="K116">
        <v>6459</v>
      </c>
      <c r="L116" t="str">
        <v>Single</v>
      </c>
      <c r="M116">
        <v>5</v>
      </c>
    </row>
    <row r="117" spans="4:13" x14ac:dyDescent="0.25">
      <c r="D117" t="str">
        <v>Wilson</v>
      </c>
      <c r="E117" t="str">
        <v>Davis</v>
      </c>
      <c r="F117" t="str">
        <v>Wilson Davis</v>
      </c>
      <c r="G117" t="str">
        <v>Male</v>
      </c>
      <c r="H117">
        <v>47</v>
      </c>
      <c r="I117" t="str">
        <v>Middle Age</v>
      </c>
      <c r="J117" t="str">
        <v>Police Officer</v>
      </c>
      <c r="K117">
        <v>9297</v>
      </c>
      <c r="L117" t="str">
        <v>Married</v>
      </c>
      <c r="M117">
        <v>2</v>
      </c>
    </row>
    <row r="118" spans="4:13" x14ac:dyDescent="0.25">
      <c r="D118" t="str">
        <v>Henry</v>
      </c>
      <c r="E118" t="str">
        <v>Craig</v>
      </c>
      <c r="F118" t="str">
        <v>Henry Craig</v>
      </c>
      <c r="G118" t="str">
        <v>Male</v>
      </c>
      <c r="H118">
        <v>33</v>
      </c>
      <c r="I118" t="str">
        <v>Middle Age</v>
      </c>
      <c r="J118" t="str">
        <v>Agronomist</v>
      </c>
      <c r="K118">
        <v>9717</v>
      </c>
      <c r="L118" t="str">
        <v>Single</v>
      </c>
      <c r="M118">
        <v>2</v>
      </c>
    </row>
    <row r="119" spans="4:13" x14ac:dyDescent="0.25">
      <c r="D119" t="str">
        <v>Reid</v>
      </c>
      <c r="E119" t="str">
        <v>Armstrong</v>
      </c>
      <c r="F119" t="str">
        <v>Reid Armstrong</v>
      </c>
      <c r="G119" t="str">
        <v>Male</v>
      </c>
      <c r="H119">
        <v>43</v>
      </c>
      <c r="I119" t="str">
        <v>Middle Age</v>
      </c>
      <c r="J119" t="str">
        <v>Dancer</v>
      </c>
      <c r="K119">
        <v>8271</v>
      </c>
      <c r="L119" t="str">
        <v>Married</v>
      </c>
      <c r="M119">
        <v>3</v>
      </c>
    </row>
    <row r="120" spans="4:13" x14ac:dyDescent="0.25">
      <c r="D120" t="str">
        <v>Eddy</v>
      </c>
      <c r="E120" t="str">
        <v>Murray</v>
      </c>
      <c r="F120" t="str">
        <v>Eddy Murray</v>
      </c>
      <c r="G120" t="str">
        <v>Male</v>
      </c>
      <c r="H120">
        <v>29</v>
      </c>
      <c r="I120" t="str">
        <v>Young</v>
      </c>
      <c r="J120" t="str">
        <v>Chef</v>
      </c>
      <c r="K120">
        <v>7812</v>
      </c>
      <c r="L120" t="str">
        <v>Single</v>
      </c>
      <c r="M120">
        <v>3</v>
      </c>
    </row>
    <row r="121" spans="4:13" x14ac:dyDescent="0.25">
      <c r="D121" t="str">
        <v>Alan</v>
      </c>
      <c r="E121" t="str">
        <v>Grant</v>
      </c>
      <c r="F121" t="str">
        <v>Alan Grant</v>
      </c>
      <c r="G121" t="str">
        <v>Male</v>
      </c>
      <c r="H121">
        <v>23</v>
      </c>
      <c r="I121" t="str">
        <v>Young</v>
      </c>
      <c r="J121" t="str">
        <v>Mechanic</v>
      </c>
      <c r="K121">
        <v>9620</v>
      </c>
      <c r="L121" t="str">
        <v>Single</v>
      </c>
      <c r="M121">
        <v>4</v>
      </c>
    </row>
    <row r="122" spans="4:13" x14ac:dyDescent="0.25">
      <c r="D122" t="str">
        <v>James</v>
      </c>
      <c r="E122" t="str">
        <v>Anderson</v>
      </c>
      <c r="F122" t="str">
        <v>James Anderson</v>
      </c>
      <c r="G122" t="str">
        <v>Male</v>
      </c>
      <c r="H122">
        <v>27</v>
      </c>
      <c r="I122" t="str">
        <v>Young</v>
      </c>
      <c r="J122" t="str">
        <v>Mechanic</v>
      </c>
      <c r="K122">
        <v>9409</v>
      </c>
      <c r="L122" t="str">
        <v>Single</v>
      </c>
      <c r="M122">
        <v>4</v>
      </c>
    </row>
    <row r="123" spans="4:13" x14ac:dyDescent="0.25">
      <c r="D123" t="str">
        <v>Byron</v>
      </c>
      <c r="E123" t="str">
        <v>Thomas</v>
      </c>
      <c r="F123" t="str">
        <v>Byron Thomas</v>
      </c>
      <c r="G123" t="str">
        <v>Male</v>
      </c>
      <c r="H123">
        <v>45</v>
      </c>
      <c r="I123" t="str">
        <v>Middle Age</v>
      </c>
      <c r="J123" t="str">
        <v>Teacher</v>
      </c>
      <c r="K123">
        <v>8088</v>
      </c>
      <c r="L123" t="str">
        <v>Single</v>
      </c>
      <c r="M123">
        <v>4</v>
      </c>
    </row>
    <row r="124" spans="4:13" x14ac:dyDescent="0.25">
      <c r="D124" t="str">
        <v>Edgar</v>
      </c>
      <c r="E124" t="str">
        <v>Higgins</v>
      </c>
      <c r="F124" t="str">
        <v>Edgar Higgins</v>
      </c>
      <c r="G124" t="str">
        <v>Male</v>
      </c>
      <c r="H124">
        <v>25</v>
      </c>
      <c r="I124" t="str">
        <v>Young</v>
      </c>
      <c r="J124" t="str">
        <v>Lecturer</v>
      </c>
      <c r="K124">
        <v>6699</v>
      </c>
      <c r="L124" t="str">
        <v>Married</v>
      </c>
      <c r="M124">
        <v>2</v>
      </c>
    </row>
    <row r="125" spans="4:13" x14ac:dyDescent="0.25">
      <c r="D125" t="str">
        <v>John</v>
      </c>
      <c r="E125" t="str">
        <v>Edwards</v>
      </c>
      <c r="F125" t="str">
        <v>John Edwards</v>
      </c>
      <c r="G125" t="str">
        <v>Male</v>
      </c>
      <c r="H125">
        <v>48</v>
      </c>
      <c r="I125" t="str">
        <v>Middle Age</v>
      </c>
      <c r="J125" t="str">
        <v>Biochemist</v>
      </c>
      <c r="K125">
        <v>5530</v>
      </c>
      <c r="L125" t="str">
        <v>Married</v>
      </c>
      <c r="M125">
        <v>5</v>
      </c>
    </row>
    <row r="126" spans="4:13" x14ac:dyDescent="0.25">
      <c r="D126" t="str">
        <v>Michael</v>
      </c>
      <c r="E126" t="str">
        <v>Perkins</v>
      </c>
      <c r="F126" t="str">
        <v>Michael Perkins</v>
      </c>
      <c r="G126" t="str">
        <v>Male</v>
      </c>
      <c r="H126">
        <v>23</v>
      </c>
      <c r="I126" t="str">
        <v>Young</v>
      </c>
      <c r="J126" t="str">
        <v>Medic</v>
      </c>
      <c r="K126">
        <v>7929</v>
      </c>
      <c r="L126" t="str">
        <v>Single</v>
      </c>
      <c r="M126">
        <v>4</v>
      </c>
    </row>
    <row r="127" spans="4:13" x14ac:dyDescent="0.25">
      <c r="D127" t="str">
        <v>Adison</v>
      </c>
      <c r="E127" t="str">
        <v>Bailey</v>
      </c>
      <c r="F127" t="str">
        <v>Adison Bailey</v>
      </c>
      <c r="G127" t="str">
        <v>Male</v>
      </c>
      <c r="H127">
        <v>32</v>
      </c>
      <c r="I127" t="str">
        <v>Middle Age</v>
      </c>
      <c r="J127" t="str">
        <v>Composer</v>
      </c>
      <c r="K127">
        <v>8239</v>
      </c>
      <c r="L127" t="str">
        <v>Married</v>
      </c>
      <c r="M127">
        <v>4</v>
      </c>
    </row>
    <row r="128" spans="4:13" x14ac:dyDescent="0.25">
      <c r="D128" t="str">
        <v>Nicholas</v>
      </c>
      <c r="E128" t="str">
        <v>Evans</v>
      </c>
      <c r="F128" t="str">
        <v>Nicholas Evans</v>
      </c>
      <c r="G128" t="str">
        <v>Male</v>
      </c>
      <c r="H128">
        <v>28</v>
      </c>
      <c r="I128" t="str">
        <v>Young</v>
      </c>
      <c r="J128" t="str">
        <v>Journalist</v>
      </c>
      <c r="K128">
        <v>8089</v>
      </c>
      <c r="L128" t="str">
        <v>Married</v>
      </c>
      <c r="M128">
        <v>2</v>
      </c>
    </row>
    <row r="129" spans="4:13" x14ac:dyDescent="0.25">
      <c r="D129" t="str">
        <v>Brad</v>
      </c>
      <c r="E129" t="str">
        <v>Howard</v>
      </c>
      <c r="F129" t="str">
        <v>Brad Howard</v>
      </c>
      <c r="G129" t="str">
        <v>Male</v>
      </c>
      <c r="H129">
        <v>19</v>
      </c>
      <c r="I129" t="str">
        <v>Young</v>
      </c>
      <c r="J129" t="str">
        <v>Auditor</v>
      </c>
      <c r="K129">
        <v>6610</v>
      </c>
      <c r="L129" t="str">
        <v>Married</v>
      </c>
      <c r="M129">
        <v>2</v>
      </c>
    </row>
    <row r="130" spans="4:13" x14ac:dyDescent="0.25">
      <c r="D130" t="str">
        <v>Eric</v>
      </c>
      <c r="E130" t="str">
        <v>Barrett</v>
      </c>
      <c r="F130" t="str">
        <v>Eric Barrett</v>
      </c>
      <c r="G130" t="str">
        <v>Male</v>
      </c>
      <c r="H130">
        <v>19</v>
      </c>
      <c r="I130" t="str">
        <v>Young</v>
      </c>
      <c r="J130" t="str">
        <v>Programmer</v>
      </c>
      <c r="K130">
        <v>6050</v>
      </c>
      <c r="L130" t="str">
        <v>Single</v>
      </c>
      <c r="M130">
        <v>5</v>
      </c>
    </row>
    <row r="131" spans="4:13" x14ac:dyDescent="0.25">
      <c r="D131" t="str">
        <v>Ted</v>
      </c>
      <c r="E131" t="str">
        <v>Evans</v>
      </c>
      <c r="F131" t="str">
        <v>Ted Evans</v>
      </c>
      <c r="G131" t="str">
        <v>Male</v>
      </c>
      <c r="H131">
        <v>18</v>
      </c>
      <c r="I131" t="str">
        <v>Young</v>
      </c>
      <c r="J131" t="str">
        <v>Firefighter</v>
      </c>
      <c r="K131">
        <v>7494</v>
      </c>
      <c r="L131" t="str">
        <v>Married</v>
      </c>
      <c r="M131">
        <v>2</v>
      </c>
    </row>
    <row r="132" spans="4:13" x14ac:dyDescent="0.25">
      <c r="D132" t="str">
        <v>William</v>
      </c>
      <c r="E132" t="str">
        <v>Carroll</v>
      </c>
      <c r="F132" t="str">
        <v>William Carroll</v>
      </c>
      <c r="G132" t="str">
        <v>Male</v>
      </c>
      <c r="H132">
        <v>42</v>
      </c>
      <c r="I132" t="str">
        <v>Middle Age</v>
      </c>
      <c r="J132" t="str">
        <v>Programmer</v>
      </c>
      <c r="K132">
        <v>6569</v>
      </c>
      <c r="L132" t="str">
        <v>Married</v>
      </c>
      <c r="M132">
        <v>5</v>
      </c>
    </row>
    <row r="133" spans="4:13" x14ac:dyDescent="0.25">
      <c r="D133" t="str">
        <v>Ryan</v>
      </c>
      <c r="E133" t="str">
        <v>Roberts</v>
      </c>
      <c r="F133" t="str">
        <v>Ryan Roberts</v>
      </c>
      <c r="G133" t="str">
        <v>Male</v>
      </c>
      <c r="H133">
        <v>32</v>
      </c>
      <c r="I133" t="str">
        <v>Middle Age</v>
      </c>
      <c r="J133" t="str">
        <v>Salesman</v>
      </c>
      <c r="K133">
        <v>5172</v>
      </c>
      <c r="L133" t="str">
        <v>Married</v>
      </c>
      <c r="M133">
        <v>5</v>
      </c>
    </row>
    <row r="134" spans="4:13" x14ac:dyDescent="0.25">
      <c r="D134" t="str">
        <v>Blake</v>
      </c>
      <c r="E134" t="str">
        <v>Morgan</v>
      </c>
      <c r="F134" t="str">
        <v>Blake Morgan</v>
      </c>
      <c r="G134" t="str">
        <v>Male</v>
      </c>
      <c r="H134">
        <v>42</v>
      </c>
      <c r="I134" t="str">
        <v>Middle Age</v>
      </c>
      <c r="J134" t="str">
        <v>Mathematician</v>
      </c>
      <c r="K134">
        <v>8359</v>
      </c>
      <c r="L134" t="str">
        <v>Single</v>
      </c>
      <c r="M134">
        <v>5</v>
      </c>
    </row>
    <row r="135" spans="4:13" x14ac:dyDescent="0.25">
      <c r="D135" t="str">
        <v>Reid</v>
      </c>
      <c r="E135" t="str">
        <v>West</v>
      </c>
      <c r="F135" t="str">
        <v>Reid West</v>
      </c>
      <c r="G135" t="str">
        <v>Male</v>
      </c>
      <c r="H135">
        <v>43</v>
      </c>
      <c r="I135" t="str">
        <v>Middle Age</v>
      </c>
      <c r="J135" t="str">
        <v>Archeologist</v>
      </c>
      <c r="K135">
        <v>6052</v>
      </c>
      <c r="L135" t="str">
        <v>Married</v>
      </c>
      <c r="M135">
        <v>5</v>
      </c>
    </row>
    <row r="136" spans="4:13" x14ac:dyDescent="0.25">
      <c r="D136" t="str">
        <v>Edgar</v>
      </c>
      <c r="E136" t="str">
        <v>Carter</v>
      </c>
      <c r="F136" t="str">
        <v>Edgar Carter</v>
      </c>
      <c r="G136" t="str">
        <v>Male</v>
      </c>
      <c r="H136">
        <v>49</v>
      </c>
      <c r="I136" t="str">
        <v>Middle Age</v>
      </c>
      <c r="J136" t="str">
        <v>Journalist</v>
      </c>
      <c r="K136">
        <v>6984</v>
      </c>
      <c r="L136" t="str">
        <v>Single</v>
      </c>
      <c r="M136">
        <v>3</v>
      </c>
    </row>
    <row r="137" spans="4:13" x14ac:dyDescent="0.25">
      <c r="D137" t="str">
        <v>Julian</v>
      </c>
      <c r="E137" t="str">
        <v>Reed</v>
      </c>
      <c r="F137" t="str">
        <v>Julian Reed</v>
      </c>
      <c r="G137" t="str">
        <v>Male</v>
      </c>
      <c r="H137">
        <v>41</v>
      </c>
      <c r="I137" t="str">
        <v>Middle Age</v>
      </c>
      <c r="J137" t="str">
        <v>Interpreter</v>
      </c>
      <c r="K137">
        <v>9971</v>
      </c>
      <c r="L137" t="str">
        <v>Married</v>
      </c>
      <c r="M137">
        <v>4</v>
      </c>
    </row>
    <row r="138" spans="4:13" x14ac:dyDescent="0.25">
      <c r="D138" t="str">
        <v>Jack</v>
      </c>
      <c r="E138" t="str">
        <v>Henderson</v>
      </c>
      <c r="F138" t="str">
        <v>Jack Henderson</v>
      </c>
      <c r="G138" t="str">
        <v>Male</v>
      </c>
      <c r="H138">
        <v>58</v>
      </c>
      <c r="I138" t="str">
        <v>Old</v>
      </c>
      <c r="J138" t="str">
        <v>Scientist</v>
      </c>
      <c r="K138">
        <v>7987</v>
      </c>
      <c r="L138" t="str">
        <v>Married</v>
      </c>
      <c r="M138">
        <v>3</v>
      </c>
    </row>
    <row r="139" spans="4:13" x14ac:dyDescent="0.25">
      <c r="D139" t="str">
        <v>Derek</v>
      </c>
      <c r="E139" t="str">
        <v>Parker</v>
      </c>
      <c r="F139" t="str">
        <v>Derek Parker</v>
      </c>
      <c r="G139" t="str">
        <v>Male</v>
      </c>
      <c r="H139">
        <v>30</v>
      </c>
      <c r="I139" t="str">
        <v>Young</v>
      </c>
      <c r="J139" t="str">
        <v>Insurer</v>
      </c>
      <c r="K139">
        <v>9137</v>
      </c>
      <c r="L139" t="str">
        <v>Single</v>
      </c>
      <c r="M139">
        <v>2</v>
      </c>
    </row>
    <row r="140" spans="4:13" x14ac:dyDescent="0.25">
      <c r="D140" t="str">
        <v>Elian</v>
      </c>
      <c r="E140" t="str">
        <v>Riley</v>
      </c>
      <c r="F140" t="str">
        <v>Elian Riley</v>
      </c>
      <c r="G140" t="str">
        <v>Male</v>
      </c>
      <c r="H140">
        <v>50</v>
      </c>
      <c r="I140" t="str">
        <v>Middle Age</v>
      </c>
      <c r="J140" t="str">
        <v>Lawyer</v>
      </c>
      <c r="K140">
        <v>5999</v>
      </c>
      <c r="L140" t="str">
        <v>Married</v>
      </c>
      <c r="M140">
        <v>5</v>
      </c>
    </row>
    <row r="141" spans="4:13" x14ac:dyDescent="0.25">
      <c r="D141" t="str">
        <v>Adison</v>
      </c>
      <c r="E141" t="str">
        <v>Johnston</v>
      </c>
      <c r="F141" t="str">
        <v>Adison Johnston</v>
      </c>
      <c r="G141" t="str">
        <v>Male</v>
      </c>
      <c r="H141">
        <v>24</v>
      </c>
      <c r="I141" t="str">
        <v>Young</v>
      </c>
      <c r="J141" t="str">
        <v>Chemist</v>
      </c>
      <c r="K141">
        <v>9109</v>
      </c>
      <c r="L141" t="str">
        <v>Married</v>
      </c>
      <c r="M141">
        <v>2</v>
      </c>
    </row>
    <row r="142" spans="4:13" x14ac:dyDescent="0.25">
      <c r="D142" t="str">
        <v>Michael</v>
      </c>
      <c r="E142" t="str">
        <v>Johnson</v>
      </c>
      <c r="F142" t="str">
        <v>Michael Johnson</v>
      </c>
      <c r="G142" t="str">
        <v>Male</v>
      </c>
      <c r="H142">
        <v>45</v>
      </c>
      <c r="I142" t="str">
        <v>Middle Age</v>
      </c>
      <c r="J142" t="str">
        <v>Lawyer</v>
      </c>
      <c r="K142">
        <v>5343</v>
      </c>
      <c r="L142" t="str">
        <v>Married</v>
      </c>
      <c r="M142">
        <v>5</v>
      </c>
    </row>
    <row r="143" spans="4:13" x14ac:dyDescent="0.25">
      <c r="D143" t="str">
        <v>Daryl</v>
      </c>
      <c r="E143" t="str">
        <v>Carroll</v>
      </c>
      <c r="F143" t="str">
        <v>Daryl Carroll</v>
      </c>
      <c r="G143" t="str">
        <v>Male</v>
      </c>
      <c r="H143">
        <v>36</v>
      </c>
      <c r="I143" t="str">
        <v>Middle Age</v>
      </c>
      <c r="J143" t="str">
        <v>Geologist</v>
      </c>
      <c r="K143">
        <v>7866</v>
      </c>
      <c r="L143" t="str">
        <v>Married</v>
      </c>
      <c r="M143">
        <v>4</v>
      </c>
    </row>
    <row r="144" spans="4:13" x14ac:dyDescent="0.25">
      <c r="D144" t="str">
        <v>Kevin</v>
      </c>
      <c r="E144" t="str">
        <v>Grant</v>
      </c>
      <c r="F144" t="str">
        <v>Kevin Grant</v>
      </c>
      <c r="G144" t="str">
        <v>Male</v>
      </c>
      <c r="H144">
        <v>35</v>
      </c>
      <c r="I144" t="str">
        <v>Middle Age</v>
      </c>
      <c r="J144" t="str">
        <v>Composer</v>
      </c>
      <c r="K144">
        <v>7033</v>
      </c>
      <c r="L144" t="str">
        <v>Single</v>
      </c>
      <c r="M144">
        <v>2</v>
      </c>
    </row>
    <row r="145" spans="4:13" x14ac:dyDescent="0.25">
      <c r="D145" t="str">
        <v>Adrian</v>
      </c>
      <c r="E145" t="str">
        <v>Wilson</v>
      </c>
      <c r="F145" t="str">
        <v>Adrian Wilson</v>
      </c>
      <c r="G145" t="str">
        <v>Male</v>
      </c>
      <c r="H145">
        <v>32</v>
      </c>
      <c r="I145" t="str">
        <v>Middle Age</v>
      </c>
      <c r="J145" t="str">
        <v>Dancer</v>
      </c>
      <c r="K145">
        <v>7586</v>
      </c>
      <c r="L145" t="str">
        <v>Single</v>
      </c>
      <c r="M145">
        <v>5</v>
      </c>
    </row>
    <row r="146" spans="4:13" x14ac:dyDescent="0.25">
      <c r="D146" t="str">
        <v>Roland</v>
      </c>
      <c r="E146" t="str">
        <v>Taylor</v>
      </c>
      <c r="F146" t="str">
        <v>Roland Taylor</v>
      </c>
      <c r="G146" t="str">
        <v>Male</v>
      </c>
      <c r="H146">
        <v>51</v>
      </c>
      <c r="I146" t="str">
        <v>Old</v>
      </c>
      <c r="J146" t="str">
        <v>Meteorologist</v>
      </c>
      <c r="K146">
        <v>7352</v>
      </c>
      <c r="L146" t="str">
        <v>Married</v>
      </c>
      <c r="M146">
        <v>5</v>
      </c>
    </row>
    <row r="147" spans="4:13" x14ac:dyDescent="0.25">
      <c r="D147" t="str">
        <v>Adrian</v>
      </c>
      <c r="E147" t="str">
        <v>Carter</v>
      </c>
      <c r="F147" t="str">
        <v>Adrian Carter</v>
      </c>
      <c r="G147" t="str">
        <v>Male</v>
      </c>
      <c r="H147">
        <v>21</v>
      </c>
      <c r="I147" t="str">
        <v>Young</v>
      </c>
      <c r="J147" t="str">
        <v>Astronomer</v>
      </c>
      <c r="K147">
        <v>6971</v>
      </c>
      <c r="L147" t="str">
        <v>Single</v>
      </c>
      <c r="M147">
        <v>3</v>
      </c>
    </row>
    <row r="148" spans="4:13" x14ac:dyDescent="0.25">
      <c r="D148" t="str">
        <v>Garry</v>
      </c>
      <c r="E148" t="str">
        <v>Turner</v>
      </c>
      <c r="F148" t="str">
        <v>Garry Turner</v>
      </c>
      <c r="G148" t="str">
        <v>Male</v>
      </c>
      <c r="H148">
        <v>45</v>
      </c>
      <c r="I148" t="str">
        <v>Middle Age</v>
      </c>
      <c r="J148" t="str">
        <v>Chemist</v>
      </c>
      <c r="K148">
        <v>6702</v>
      </c>
      <c r="L148" t="str">
        <v>Married</v>
      </c>
      <c r="M148">
        <v>4</v>
      </c>
    </row>
    <row r="149" spans="4:13" x14ac:dyDescent="0.25">
      <c r="D149" t="str">
        <v>Patrick</v>
      </c>
      <c r="E149" t="str">
        <v>Cooper</v>
      </c>
      <c r="F149" t="str">
        <v>Patrick Cooper</v>
      </c>
      <c r="G149" t="str">
        <v>Male</v>
      </c>
      <c r="H149">
        <v>23</v>
      </c>
      <c r="I149" t="str">
        <v>Young</v>
      </c>
      <c r="J149" t="str">
        <v>Architect</v>
      </c>
      <c r="K149">
        <v>6310</v>
      </c>
      <c r="L149" t="str">
        <v>Married</v>
      </c>
      <c r="M149">
        <v>4</v>
      </c>
    </row>
    <row r="150" spans="4:13" x14ac:dyDescent="0.25">
      <c r="D150" t="str">
        <v>Justin</v>
      </c>
      <c r="E150" t="str">
        <v>Cole</v>
      </c>
      <c r="F150" t="str">
        <v>Justin Cole</v>
      </c>
      <c r="G150" t="str">
        <v>Male</v>
      </c>
      <c r="H150">
        <v>56</v>
      </c>
      <c r="I150" t="str">
        <v>Old</v>
      </c>
      <c r="J150" t="str">
        <v>Accountant</v>
      </c>
      <c r="K150">
        <v>8853</v>
      </c>
      <c r="L150" t="str">
        <v>Single</v>
      </c>
      <c r="M150">
        <v>3</v>
      </c>
    </row>
    <row r="151" spans="4:13" x14ac:dyDescent="0.25">
      <c r="D151" t="str">
        <v>Ned</v>
      </c>
      <c r="E151" t="str">
        <v>Thompson</v>
      </c>
      <c r="F151" t="str">
        <v>Ned Thompson</v>
      </c>
      <c r="G151" t="str">
        <v>Male</v>
      </c>
      <c r="H151">
        <v>34</v>
      </c>
      <c r="I151" t="str">
        <v>Middle Age</v>
      </c>
      <c r="J151" t="str">
        <v>Agronomist</v>
      </c>
      <c r="K151">
        <v>8227</v>
      </c>
      <c r="L151" t="str">
        <v>Married</v>
      </c>
      <c r="M151">
        <v>4</v>
      </c>
    </row>
    <row r="152" spans="4:13" x14ac:dyDescent="0.25">
      <c r="D152" t="str">
        <v>Clark</v>
      </c>
      <c r="E152" t="str">
        <v>Stewart</v>
      </c>
      <c r="F152" t="str">
        <v>Clark Stewart</v>
      </c>
      <c r="G152" t="str">
        <v>Male</v>
      </c>
      <c r="H152">
        <v>45</v>
      </c>
      <c r="I152" t="str">
        <v>Middle Age</v>
      </c>
      <c r="J152" t="str">
        <v>Mechanic</v>
      </c>
      <c r="K152">
        <v>6553</v>
      </c>
      <c r="L152" t="str">
        <v>Married</v>
      </c>
      <c r="M152">
        <v>4</v>
      </c>
    </row>
    <row r="153" spans="4:13" x14ac:dyDescent="0.25">
      <c r="D153" t="str">
        <v>Julian</v>
      </c>
      <c r="E153" t="str">
        <v>Clark</v>
      </c>
      <c r="F153" t="str">
        <v>Julian Clark</v>
      </c>
      <c r="G153" t="str">
        <v>Male</v>
      </c>
      <c r="H153">
        <v>25</v>
      </c>
      <c r="I153" t="str">
        <v>Young</v>
      </c>
      <c r="J153" t="str">
        <v>Singer</v>
      </c>
      <c r="K153">
        <v>9644</v>
      </c>
      <c r="L153" t="str">
        <v>Married</v>
      </c>
      <c r="M153">
        <v>4</v>
      </c>
    </row>
    <row r="154" spans="4:13" x14ac:dyDescent="0.25">
      <c r="D154" t="str">
        <v>Maximilian</v>
      </c>
      <c r="E154" t="str">
        <v>Cunningham</v>
      </c>
      <c r="F154" t="str">
        <v>Maximilian Cunningham</v>
      </c>
      <c r="G154" t="str">
        <v>Male</v>
      </c>
      <c r="H154">
        <v>18</v>
      </c>
      <c r="I154" t="str">
        <v>Young</v>
      </c>
      <c r="J154" t="str">
        <v>Dancer</v>
      </c>
      <c r="K154">
        <v>9745</v>
      </c>
      <c r="L154" t="str">
        <v>Married</v>
      </c>
      <c r="M154">
        <v>5</v>
      </c>
    </row>
    <row r="155" spans="4:13" x14ac:dyDescent="0.25">
      <c r="D155" t="str">
        <v>Lyndon</v>
      </c>
      <c r="E155" t="str">
        <v>Watson</v>
      </c>
      <c r="F155" t="str">
        <v>Lyndon Watson</v>
      </c>
      <c r="G155" t="str">
        <v>Male</v>
      </c>
      <c r="H155">
        <v>26</v>
      </c>
      <c r="I155" t="str">
        <v>Young</v>
      </c>
      <c r="J155" t="str">
        <v>Hairdresser</v>
      </c>
      <c r="K155">
        <v>9906</v>
      </c>
      <c r="L155" t="str">
        <v>Single</v>
      </c>
      <c r="M155">
        <v>4</v>
      </c>
    </row>
    <row r="156" spans="4:13" x14ac:dyDescent="0.25">
      <c r="D156" t="str">
        <v>Edward</v>
      </c>
      <c r="E156" t="str">
        <v>Kelly</v>
      </c>
      <c r="F156" t="str">
        <v>Edward Kelly</v>
      </c>
      <c r="G156" t="str">
        <v>Male</v>
      </c>
      <c r="H156">
        <v>50</v>
      </c>
      <c r="I156" t="str">
        <v>Middle Age</v>
      </c>
      <c r="J156" t="str">
        <v>Dancer</v>
      </c>
      <c r="K156">
        <v>8757</v>
      </c>
      <c r="L156" t="str">
        <v>Single</v>
      </c>
      <c r="M156">
        <v>3</v>
      </c>
    </row>
    <row r="157" spans="4:13" x14ac:dyDescent="0.25">
      <c r="D157" t="str">
        <v>James</v>
      </c>
      <c r="E157" t="str">
        <v>Johnston</v>
      </c>
      <c r="F157" t="str">
        <v>James Johnston</v>
      </c>
      <c r="G157" t="str">
        <v>Male</v>
      </c>
      <c r="H157">
        <v>41</v>
      </c>
      <c r="I157" t="str">
        <v>Middle Age</v>
      </c>
      <c r="J157" t="str">
        <v>Geologist</v>
      </c>
      <c r="K157">
        <v>7048</v>
      </c>
      <c r="L157" t="str">
        <v>Single</v>
      </c>
      <c r="M157">
        <v>5</v>
      </c>
    </row>
    <row r="158" spans="4:13" x14ac:dyDescent="0.25">
      <c r="D158" t="str">
        <v>Aiden</v>
      </c>
      <c r="E158" t="str">
        <v>Cameron</v>
      </c>
      <c r="F158" t="str">
        <v>Aiden Cameron</v>
      </c>
      <c r="G158" t="str">
        <v>Male</v>
      </c>
      <c r="H158">
        <v>60</v>
      </c>
      <c r="I158" t="str">
        <v>Old</v>
      </c>
      <c r="J158" t="str">
        <v>Engineer</v>
      </c>
      <c r="K158">
        <v>9242</v>
      </c>
      <c r="L158" t="str">
        <v>Single</v>
      </c>
      <c r="M158">
        <v>3</v>
      </c>
    </row>
    <row r="159" spans="4:13" x14ac:dyDescent="0.25">
      <c r="D159" t="str">
        <v>John</v>
      </c>
      <c r="E159" t="str">
        <v>Mason</v>
      </c>
      <c r="F159" t="str">
        <v>John Mason</v>
      </c>
      <c r="G159" t="str">
        <v>Male</v>
      </c>
      <c r="H159">
        <v>37</v>
      </c>
      <c r="I159" t="str">
        <v>Middle Age</v>
      </c>
      <c r="J159" t="str">
        <v>Insurer</v>
      </c>
      <c r="K159">
        <v>8788</v>
      </c>
      <c r="L159" t="str">
        <v>Married</v>
      </c>
      <c r="M159">
        <v>4</v>
      </c>
    </row>
    <row r="160" spans="4:13" x14ac:dyDescent="0.25">
      <c r="D160" t="str">
        <v>Arnold</v>
      </c>
      <c r="E160" t="str">
        <v>Barnes</v>
      </c>
      <c r="F160" t="str">
        <v>Arnold Barnes</v>
      </c>
      <c r="G160" t="str">
        <v>Male</v>
      </c>
      <c r="H160">
        <v>50</v>
      </c>
      <c r="I160" t="str">
        <v>Middle Age</v>
      </c>
      <c r="J160" t="str">
        <v>Driver</v>
      </c>
      <c r="K160">
        <v>9834</v>
      </c>
      <c r="L160" t="str">
        <v>Single</v>
      </c>
      <c r="M160">
        <v>2</v>
      </c>
    </row>
    <row r="161" spans="4:13" x14ac:dyDescent="0.25">
      <c r="D161" t="str">
        <v>Alford</v>
      </c>
      <c r="E161" t="str">
        <v>Hamilton</v>
      </c>
      <c r="F161" t="str">
        <v>Alford Hamilton</v>
      </c>
      <c r="G161" t="str">
        <v>Male</v>
      </c>
      <c r="H161">
        <v>36</v>
      </c>
      <c r="I161" t="str">
        <v>Middle Age</v>
      </c>
      <c r="J161" t="str">
        <v>Jeweller</v>
      </c>
      <c r="K161">
        <v>5829</v>
      </c>
      <c r="L161" t="str">
        <v>Married</v>
      </c>
      <c r="M161">
        <v>5</v>
      </c>
    </row>
    <row r="162" spans="4:13" x14ac:dyDescent="0.25">
      <c r="D162" t="str">
        <v>Bruce</v>
      </c>
      <c r="E162" t="str">
        <v>Wright</v>
      </c>
      <c r="F162" t="str">
        <v>Bruce Wright</v>
      </c>
      <c r="G162" t="str">
        <v>Male</v>
      </c>
      <c r="H162">
        <v>32</v>
      </c>
      <c r="I162" t="str">
        <v>Middle Age</v>
      </c>
      <c r="J162" t="str">
        <v>Meteorologist</v>
      </c>
      <c r="K162">
        <v>8829</v>
      </c>
      <c r="L162" t="str">
        <v>Single</v>
      </c>
      <c r="M162">
        <v>3</v>
      </c>
    </row>
    <row r="163" spans="4:13" x14ac:dyDescent="0.25">
      <c r="D163" t="str">
        <v>Mike</v>
      </c>
      <c r="E163" t="str">
        <v>Miller</v>
      </c>
      <c r="F163" t="str">
        <v>Mike Miller</v>
      </c>
      <c r="G163" t="str">
        <v>Male</v>
      </c>
      <c r="H163">
        <v>58</v>
      </c>
      <c r="I163" t="str">
        <v>Old</v>
      </c>
      <c r="J163" t="str">
        <v>Florist</v>
      </c>
      <c r="K163">
        <v>6952</v>
      </c>
      <c r="L163" t="str">
        <v>Married</v>
      </c>
      <c r="M163">
        <v>3</v>
      </c>
    </row>
    <row r="164" spans="4:13" x14ac:dyDescent="0.25">
      <c r="D164" t="str">
        <v>Aiden</v>
      </c>
      <c r="E164" t="str">
        <v>Nelson</v>
      </c>
      <c r="F164" t="str">
        <v>Aiden Nelson</v>
      </c>
      <c r="G164" t="str">
        <v>Male</v>
      </c>
      <c r="H164">
        <v>45</v>
      </c>
      <c r="I164" t="str">
        <v>Middle Age</v>
      </c>
      <c r="J164" t="str">
        <v>Interpreter</v>
      </c>
      <c r="K164">
        <v>7865</v>
      </c>
      <c r="L164" t="str">
        <v>Single</v>
      </c>
      <c r="M164">
        <v>2</v>
      </c>
    </row>
    <row r="165" spans="4:13" x14ac:dyDescent="0.25">
      <c r="D165" t="str">
        <v>Byron</v>
      </c>
      <c r="E165" t="str">
        <v>Tucker</v>
      </c>
      <c r="F165" t="str">
        <v>Byron Tucker</v>
      </c>
      <c r="G165" t="str">
        <v>Male</v>
      </c>
      <c r="H165">
        <v>37</v>
      </c>
      <c r="I165" t="str">
        <v>Middle Age</v>
      </c>
      <c r="J165" t="str">
        <v>Biochemist</v>
      </c>
      <c r="K165">
        <v>5054</v>
      </c>
      <c r="L165" t="str">
        <v>Married</v>
      </c>
      <c r="M165">
        <v>5</v>
      </c>
    </row>
    <row r="166" spans="4:13" x14ac:dyDescent="0.25">
      <c r="D166" t="str">
        <v>Eddy</v>
      </c>
      <c r="E166" t="str">
        <v>Hamilton</v>
      </c>
      <c r="F166" t="str">
        <v>Eddy Hamilton</v>
      </c>
      <c r="G166" t="str">
        <v>Male</v>
      </c>
      <c r="H166">
        <v>58</v>
      </c>
      <c r="I166" t="str">
        <v>Old</v>
      </c>
      <c r="J166" t="str">
        <v>Salesman</v>
      </c>
      <c r="K166">
        <v>8153</v>
      </c>
      <c r="L166" t="str">
        <v>Married</v>
      </c>
      <c r="M166">
        <v>4</v>
      </c>
    </row>
    <row r="167" spans="4:13" x14ac:dyDescent="0.25">
      <c r="D167" t="str">
        <v>Patrick</v>
      </c>
      <c r="E167" t="str">
        <v>Evans</v>
      </c>
      <c r="F167" t="str">
        <v>Patrick Evans</v>
      </c>
      <c r="G167" t="str">
        <v>Male</v>
      </c>
      <c r="H167">
        <v>19</v>
      </c>
      <c r="I167" t="str">
        <v>Young</v>
      </c>
      <c r="J167" t="str">
        <v>Engineer</v>
      </c>
      <c r="K167">
        <v>5631</v>
      </c>
      <c r="L167" t="str">
        <v>Single</v>
      </c>
      <c r="M167">
        <v>3</v>
      </c>
    </row>
    <row r="168" spans="4:13" x14ac:dyDescent="0.25">
      <c r="D168" t="str">
        <v>Dexter</v>
      </c>
      <c r="E168" t="str">
        <v>Robinson</v>
      </c>
      <c r="F168" t="str">
        <v>Dexter Robinson</v>
      </c>
      <c r="G168" t="str">
        <v>Male</v>
      </c>
      <c r="H168">
        <v>26</v>
      </c>
      <c r="I168" t="str">
        <v>Young</v>
      </c>
      <c r="J168" t="str">
        <v>Driver</v>
      </c>
      <c r="K168">
        <v>7686</v>
      </c>
      <c r="L168" t="str">
        <v>Single</v>
      </c>
      <c r="M168">
        <v>5</v>
      </c>
    </row>
    <row r="169" spans="4:13" x14ac:dyDescent="0.25">
      <c r="D169" t="str">
        <v>Ted</v>
      </c>
      <c r="E169" t="str">
        <v>Foster</v>
      </c>
      <c r="F169" t="str">
        <v>Ted Foster</v>
      </c>
      <c r="G169" t="str">
        <v>Male</v>
      </c>
      <c r="H169">
        <v>35</v>
      </c>
      <c r="I169" t="str">
        <v>Middle Age</v>
      </c>
      <c r="J169" t="str">
        <v>Architect</v>
      </c>
      <c r="K169">
        <v>5036</v>
      </c>
      <c r="L169" t="str">
        <v>Married</v>
      </c>
      <c r="M169">
        <v>5</v>
      </c>
    </row>
    <row r="170" spans="4:13" x14ac:dyDescent="0.25">
      <c r="D170" t="str">
        <v>Carlos</v>
      </c>
      <c r="E170" t="str">
        <v>Edwards</v>
      </c>
      <c r="F170" t="str">
        <v>Carlos Edwards</v>
      </c>
      <c r="G170" t="str">
        <v>Male</v>
      </c>
      <c r="H170">
        <v>52</v>
      </c>
      <c r="I170" t="str">
        <v>Old</v>
      </c>
      <c r="J170" t="str">
        <v>Lawyer</v>
      </c>
      <c r="K170">
        <v>5391</v>
      </c>
      <c r="L170" t="str">
        <v>Single</v>
      </c>
      <c r="M170">
        <v>4</v>
      </c>
    </row>
    <row r="171" spans="4:13" x14ac:dyDescent="0.25">
      <c r="D171" t="str">
        <v>Lyndon</v>
      </c>
      <c r="E171" t="str">
        <v>Kelley</v>
      </c>
      <c r="F171" t="str">
        <v>Lyndon Kelley</v>
      </c>
      <c r="G171" t="str">
        <v>Male</v>
      </c>
      <c r="H171">
        <v>46</v>
      </c>
      <c r="I171" t="str">
        <v>Middle Age</v>
      </c>
      <c r="J171" t="str">
        <v>Firefighter</v>
      </c>
      <c r="K171">
        <v>9186</v>
      </c>
      <c r="L171" t="str">
        <v>Single</v>
      </c>
      <c r="M171">
        <v>3</v>
      </c>
    </row>
    <row r="172" spans="4:13" x14ac:dyDescent="0.25">
      <c r="D172" t="str">
        <v>Aldus</v>
      </c>
      <c r="E172" t="str">
        <v>Higgins</v>
      </c>
      <c r="F172" t="str">
        <v>Aldus Higgins</v>
      </c>
      <c r="G172" t="str">
        <v>Male</v>
      </c>
      <c r="H172">
        <v>55</v>
      </c>
      <c r="I172" t="str">
        <v>Old</v>
      </c>
      <c r="J172" t="str">
        <v>Economist</v>
      </c>
      <c r="K172">
        <v>5113</v>
      </c>
      <c r="L172" t="str">
        <v>Married</v>
      </c>
      <c r="M172">
        <v>5</v>
      </c>
    </row>
    <row r="173" spans="4:13" x14ac:dyDescent="0.25">
      <c r="D173" t="str">
        <v>Byron</v>
      </c>
      <c r="E173" t="str">
        <v>Warren</v>
      </c>
      <c r="F173" t="str">
        <v>Byron Warren</v>
      </c>
      <c r="G173" t="str">
        <v>Male</v>
      </c>
      <c r="H173">
        <v>60</v>
      </c>
      <c r="I173" t="str">
        <v>Old</v>
      </c>
      <c r="J173" t="str">
        <v>Baker</v>
      </c>
      <c r="K173">
        <v>8826</v>
      </c>
      <c r="L173" t="str">
        <v>Married</v>
      </c>
      <c r="M173">
        <v>4</v>
      </c>
    </row>
    <row r="174" spans="4:13" x14ac:dyDescent="0.25">
      <c r="D174" t="str">
        <v>Edwin</v>
      </c>
      <c r="E174" t="str">
        <v>Crawford</v>
      </c>
      <c r="F174" t="str">
        <v>Edwin Crawford</v>
      </c>
      <c r="G174" t="str">
        <v>Male</v>
      </c>
      <c r="H174">
        <v>38</v>
      </c>
      <c r="I174" t="str">
        <v>Middle Age</v>
      </c>
      <c r="J174" t="str">
        <v>Programmer</v>
      </c>
      <c r="K174">
        <v>8864</v>
      </c>
      <c r="L174" t="str">
        <v>Single</v>
      </c>
      <c r="M174">
        <v>4</v>
      </c>
    </row>
    <row r="175" spans="4:13" x14ac:dyDescent="0.25">
      <c r="D175" t="str">
        <v>Reid</v>
      </c>
      <c r="E175" t="str">
        <v>Scott</v>
      </c>
      <c r="F175" t="str">
        <v>Reid Scott</v>
      </c>
      <c r="G175" t="str">
        <v>Male</v>
      </c>
      <c r="H175">
        <v>49</v>
      </c>
      <c r="I175" t="str">
        <v>Middle Age</v>
      </c>
      <c r="J175" t="str">
        <v>Meteorologist</v>
      </c>
      <c r="K175">
        <v>9999</v>
      </c>
      <c r="L175" t="str">
        <v>Single</v>
      </c>
      <c r="M175">
        <v>5</v>
      </c>
    </row>
    <row r="176" spans="4:13" x14ac:dyDescent="0.25">
      <c r="D176" t="str">
        <v>Aiden</v>
      </c>
      <c r="E176" t="str">
        <v>Foster</v>
      </c>
      <c r="F176" t="str">
        <v>Aiden Foster</v>
      </c>
      <c r="G176" t="str">
        <v>Male</v>
      </c>
      <c r="H176">
        <v>57</v>
      </c>
      <c r="I176" t="str">
        <v>Old</v>
      </c>
      <c r="J176" t="str">
        <v>Programmer</v>
      </c>
      <c r="K176">
        <v>7915</v>
      </c>
      <c r="L176" t="str">
        <v>Single</v>
      </c>
      <c r="M176">
        <v>2</v>
      </c>
    </row>
    <row r="177" spans="4:13" x14ac:dyDescent="0.25">
      <c r="D177" t="str">
        <v>Ryan</v>
      </c>
      <c r="E177" t="str">
        <v>Thomas</v>
      </c>
      <c r="F177" t="str">
        <v>Ryan Thomas</v>
      </c>
      <c r="G177" t="str">
        <v>Male</v>
      </c>
      <c r="H177">
        <v>60</v>
      </c>
      <c r="I177" t="str">
        <v>Old</v>
      </c>
      <c r="J177" t="str">
        <v>Carpenter</v>
      </c>
      <c r="K177">
        <v>7813</v>
      </c>
      <c r="L177" t="str">
        <v>Single</v>
      </c>
      <c r="M177">
        <v>4</v>
      </c>
    </row>
    <row r="178" spans="4:13" x14ac:dyDescent="0.25">
      <c r="D178" t="str">
        <v>Roman</v>
      </c>
      <c r="E178" t="str">
        <v>Martin</v>
      </c>
      <c r="F178" t="str">
        <v>Roman Martin</v>
      </c>
      <c r="G178" t="str">
        <v>Male</v>
      </c>
      <c r="H178">
        <v>26</v>
      </c>
      <c r="I178" t="str">
        <v>Young</v>
      </c>
      <c r="J178" t="str">
        <v>Pharmacist</v>
      </c>
      <c r="K178">
        <v>6532</v>
      </c>
      <c r="L178" t="str">
        <v>Single</v>
      </c>
      <c r="M178">
        <v>4</v>
      </c>
    </row>
  </sheetData>
  <autoFilter ref="D2:M167" xr:uid="{FF6473FF-D628-49D8-8E97-4174CBB3D7E4}"/>
  <dataValidations count="1">
    <dataValidation type="list" allowBlank="1" showInputMessage="1" showErrorMessage="1" sqref="B3:C3" xr:uid="{0A1B79D7-C4E6-4583-96BC-A7298B808A6E}">
      <formula1>"Male,Female"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0D2C-4DAD-4B94-908C-B0630E1B60C3}">
  <dimension ref="C1:N515"/>
  <sheetViews>
    <sheetView topLeftCell="E1" workbookViewId="0">
      <selection activeCell="M13" sqref="M13"/>
    </sheetView>
  </sheetViews>
  <sheetFormatPr defaultRowHeight="13.8" x14ac:dyDescent="0.25"/>
  <cols>
    <col min="3" max="3" width="13.796875" bestFit="1" customWidth="1"/>
    <col min="4" max="4" width="22.09765625" bestFit="1" customWidth="1"/>
    <col min="5" max="5" width="12.5" bestFit="1" customWidth="1"/>
    <col min="6" max="6" width="14" bestFit="1" customWidth="1"/>
    <col min="7" max="7" width="12" bestFit="1" customWidth="1"/>
    <col min="11" max="11" width="22.09765625" bestFit="1" customWidth="1"/>
    <col min="12" max="12" width="11.19921875" bestFit="1" customWidth="1"/>
    <col min="13" max="13" width="14" bestFit="1" customWidth="1"/>
    <col min="14" max="14" width="12" bestFit="1" customWidth="1"/>
  </cols>
  <sheetData>
    <row r="1" spans="3:14" ht="15" x14ac:dyDescent="0.25">
      <c r="C1" s="16" t="s">
        <v>1350</v>
      </c>
    </row>
    <row r="2" spans="3:14" ht="15" x14ac:dyDescent="0.25">
      <c r="C2" s="16" t="s">
        <v>14</v>
      </c>
      <c r="D2" s="16" t="s">
        <v>1345</v>
      </c>
      <c r="E2" s="16" t="s">
        <v>1344</v>
      </c>
      <c r="F2" s="16" t="s">
        <v>1351</v>
      </c>
      <c r="G2" s="16" t="s">
        <v>1356</v>
      </c>
      <c r="H2" s="16"/>
      <c r="I2" s="16"/>
      <c r="J2" s="16" t="s">
        <v>4</v>
      </c>
      <c r="K2" s="16" t="s">
        <v>1345</v>
      </c>
      <c r="L2" s="16" t="s">
        <v>1344</v>
      </c>
      <c r="M2" s="16" t="s">
        <v>1351</v>
      </c>
      <c r="N2" s="16" t="s">
        <v>1356</v>
      </c>
    </row>
    <row r="3" spans="3:14" x14ac:dyDescent="0.25">
      <c r="D3" t="str" cm="1">
        <f t="array" ref="D3:D515">_xlfn._xlws.FILTER(Sheet1!C:C,Sheet1!I:I='index match'!C2)</f>
        <v>Charlie Wilson</v>
      </c>
      <c r="E3" t="str">
        <f>INDEX(Sheet1!$A:$J,MATCH('index match'!$D3,Sheet1!$C:$C,0),MATCH('index match'!E$2,Sheet1!$1:$1,0))</f>
        <v>Wilson</v>
      </c>
      <c r="F3">
        <f>INDEX(Sheet1!$A:$J,MATCH('index match'!$D3,Sheet1!$C:$C,0),MATCH('index match'!F$2,Sheet1!$1:$1,0))</f>
        <v>0</v>
      </c>
      <c r="G3" t="str">
        <f>INDEX(Sheet1!$A:$J,MATCH('index match'!$D3,Sheet1!$C:$C,0),MATCH('index match'!G$2,Sheet1!$1:$1,0))</f>
        <v>Old</v>
      </c>
      <c r="K3" t="str" cm="1">
        <f t="array" ref="K3:K489">_xlfn._xlws.FILTER(Sheet1!C:C,Sheet1!I:I='index match'!J2)</f>
        <v>Jacob Robinson</v>
      </c>
      <c r="L3" t="str">
        <f>INDEX(Sheet1!$A:$J,MATCH('index match'!$K3,Sheet1!$C:$C,0),MATCH('index match'!L$2,Sheet1!$A$1:$J$1,0))</f>
        <v>Robinson</v>
      </c>
      <c r="M3">
        <f>INDEX(Sheet1!$A:$J,MATCH('index match'!$K3,Sheet1!$C:$C,0),MATCH('index match'!M$2,Sheet1!$A$1:$J$1,0))</f>
        <v>2</v>
      </c>
      <c r="N3" t="str">
        <f>INDEX(Sheet1!$A:$J,MATCH('index match'!$K3,Sheet1!$C:$C,0),MATCH('index match'!N$2,Sheet1!$A$1:$J$1,0))</f>
        <v>Old</v>
      </c>
    </row>
    <row r="4" spans="3:14" x14ac:dyDescent="0.25">
      <c r="D4" t="str">
        <v>Lucas Brooks</v>
      </c>
      <c r="E4" t="str">
        <f>INDEX(Sheet1!$A:$J,MATCH('index match'!$D4,Sheet1!$C:$C,0),MATCH('index match'!E$2,Sheet1!$1:$1,0))</f>
        <v>Brooks</v>
      </c>
      <c r="F4">
        <f>INDEX(Sheet1!$A:$J,MATCH('index match'!$D4,Sheet1!$C:$C,0),MATCH('index match'!F$2,Sheet1!$1:$1,0))</f>
        <v>1</v>
      </c>
      <c r="G4" t="str">
        <f>INDEX(Sheet1!$A:$J,MATCH('index match'!$D4,Sheet1!$C:$C,0),MATCH('index match'!G$2,Sheet1!$1:$1,0))</f>
        <v>Middle Age</v>
      </c>
      <c r="K4" t="str">
        <v>Grace Taylor</v>
      </c>
      <c r="L4" t="str">
        <f>INDEX(Sheet1!$A:$J,MATCH('index match'!$K4,Sheet1!$C:$C,0),MATCH('index match'!L$2,Sheet1!$A$1:$J$1,0))</f>
        <v>Taylor</v>
      </c>
      <c r="M4">
        <f>INDEX(Sheet1!$A:$J,MATCH('index match'!$K4,Sheet1!$C:$C,0),MATCH('index match'!M$2,Sheet1!$A$1:$J$1,0))</f>
        <v>1</v>
      </c>
      <c r="N4" t="str">
        <f>INDEX(Sheet1!$A:$J,MATCH('index match'!$K4,Sheet1!$C:$C,0),MATCH('index match'!N$2,Sheet1!$A$1:$J$1,0))</f>
        <v>Middle Age</v>
      </c>
    </row>
    <row r="5" spans="3:14" x14ac:dyDescent="0.25">
      <c r="D5" t="str">
        <v>Alina Russell</v>
      </c>
      <c r="E5" t="str">
        <f>INDEX(Sheet1!$A:$J,MATCH('index match'!$D5,Sheet1!$C:$C,0),MATCH('index match'!E$2,Sheet1!$1:$1,0))</f>
        <v>Russell</v>
      </c>
      <c r="F5">
        <f>INDEX(Sheet1!$A:$J,MATCH('index match'!$D5,Sheet1!$C:$C,0),MATCH('index match'!F$2,Sheet1!$1:$1,0))</f>
        <v>0</v>
      </c>
      <c r="G5" t="str">
        <f>INDEX(Sheet1!$A:$J,MATCH('index match'!$D5,Sheet1!$C:$C,0),MATCH('index match'!G$2,Sheet1!$1:$1,0))</f>
        <v>Old</v>
      </c>
      <c r="K5" t="str">
        <v>Vanessa Farrell</v>
      </c>
      <c r="L5" t="str">
        <f>INDEX(Sheet1!$A:$J,MATCH('index match'!$K5,Sheet1!$C:$C,0),MATCH('index match'!L$2,Sheet1!$A$1:$J$1,0))</f>
        <v>Farrell</v>
      </c>
      <c r="M5">
        <f>INDEX(Sheet1!$A:$J,MATCH('index match'!$K5,Sheet1!$C:$C,0),MATCH('index match'!M$2,Sheet1!$A$1:$J$1,0))</f>
        <v>2</v>
      </c>
      <c r="N5" t="str">
        <f>INDEX(Sheet1!$A:$J,MATCH('index match'!$K5,Sheet1!$C:$C,0),MATCH('index match'!N$2,Sheet1!$A$1:$J$1,0))</f>
        <v>Young</v>
      </c>
    </row>
    <row r="6" spans="3:14" x14ac:dyDescent="0.25">
      <c r="D6" t="str">
        <v>Tiana Wright</v>
      </c>
      <c r="E6" t="str">
        <f>INDEX(Sheet1!$A:$J,MATCH('index match'!$D6,Sheet1!$C:$C,0),MATCH('index match'!E$2,Sheet1!$1:$1,0))</f>
        <v>Wright</v>
      </c>
      <c r="F6">
        <f>INDEX(Sheet1!$A:$J,MATCH('index match'!$D6,Sheet1!$C:$C,0),MATCH('index match'!F$2,Sheet1!$1:$1,0))</f>
        <v>4</v>
      </c>
      <c r="G6" t="str">
        <f>INDEX(Sheet1!$A:$J,MATCH('index match'!$D6,Sheet1!$C:$C,0),MATCH('index match'!G$2,Sheet1!$1:$1,0))</f>
        <v>Old</v>
      </c>
      <c r="K6" t="str">
        <v>Fenton Harrison</v>
      </c>
      <c r="L6" t="str">
        <f>INDEX(Sheet1!$A:$J,MATCH('index match'!$K6,Sheet1!$C:$C,0),MATCH('index match'!L$2,Sheet1!$A$1:$J$1,0))</f>
        <v>Harrison</v>
      </c>
      <c r="M6">
        <f>INDEX(Sheet1!$A:$J,MATCH('index match'!$K6,Sheet1!$C:$C,0),MATCH('index match'!M$2,Sheet1!$A$1:$J$1,0))</f>
        <v>0</v>
      </c>
      <c r="N6" t="str">
        <f>INDEX(Sheet1!$A:$J,MATCH('index match'!$K6,Sheet1!$C:$C,0),MATCH('index match'!N$2,Sheet1!$A$1:$J$1,0))</f>
        <v>Young</v>
      </c>
    </row>
    <row r="7" spans="3:14" x14ac:dyDescent="0.25">
      <c r="D7" t="str">
        <v>Kimberly Rogers</v>
      </c>
      <c r="E7" t="str">
        <f>INDEX(Sheet1!$A:$J,MATCH('index match'!$D7,Sheet1!$C:$C,0),MATCH('index match'!E$2,Sheet1!$1:$1,0))</f>
        <v>Rogers</v>
      </c>
      <c r="F7">
        <f>INDEX(Sheet1!$A:$J,MATCH('index match'!$D7,Sheet1!$C:$C,0),MATCH('index match'!F$2,Sheet1!$1:$1,0))</f>
        <v>2</v>
      </c>
      <c r="G7" t="str">
        <f>INDEX(Sheet1!$A:$J,MATCH('index match'!$D7,Sheet1!$C:$C,0),MATCH('index match'!G$2,Sheet1!$1:$1,0))</f>
        <v>Old</v>
      </c>
      <c r="K7" t="str">
        <v>Belinda Spencer</v>
      </c>
      <c r="L7" t="str">
        <f>INDEX(Sheet1!$A:$J,MATCH('index match'!$K7,Sheet1!$C:$C,0),MATCH('index match'!L$2,Sheet1!$A$1:$J$1,0))</f>
        <v>Spencer</v>
      </c>
      <c r="M7">
        <f>INDEX(Sheet1!$A:$J,MATCH('index match'!$K7,Sheet1!$C:$C,0),MATCH('index match'!M$2,Sheet1!$A$1:$J$1,0))</f>
        <v>5</v>
      </c>
      <c r="N7" t="str">
        <f>INDEX(Sheet1!$A:$J,MATCH('index match'!$K7,Sheet1!$C:$C,0),MATCH('index match'!N$2,Sheet1!$A$1:$J$1,0))</f>
        <v>Young</v>
      </c>
    </row>
    <row r="8" spans="3:14" x14ac:dyDescent="0.25">
      <c r="D8" t="str">
        <v>Amelia Craig</v>
      </c>
      <c r="E8" t="str">
        <f>INDEX(Sheet1!$A:$J,MATCH('index match'!$D8,Sheet1!$C:$C,0),MATCH('index match'!E$2,Sheet1!$1:$1,0))</f>
        <v>Craig</v>
      </c>
      <c r="F8">
        <f>INDEX(Sheet1!$A:$J,MATCH('index match'!$D8,Sheet1!$C:$C,0),MATCH('index match'!F$2,Sheet1!$1:$1,0))</f>
        <v>2</v>
      </c>
      <c r="G8" t="str">
        <f>INDEX(Sheet1!$A:$J,MATCH('index match'!$D8,Sheet1!$C:$C,0),MATCH('index match'!G$2,Sheet1!$1:$1,0))</f>
        <v>Old</v>
      </c>
      <c r="K8" t="str">
        <v>Ashton Farrell</v>
      </c>
      <c r="L8" t="str">
        <f>INDEX(Sheet1!$A:$J,MATCH('index match'!$K8,Sheet1!$C:$C,0),MATCH('index match'!L$2,Sheet1!$A$1:$J$1,0))</f>
        <v>Farrell</v>
      </c>
      <c r="M8">
        <f>INDEX(Sheet1!$A:$J,MATCH('index match'!$K8,Sheet1!$C:$C,0),MATCH('index match'!M$2,Sheet1!$A$1:$J$1,0))</f>
        <v>1</v>
      </c>
      <c r="N8" t="str">
        <f>INDEX(Sheet1!$A:$J,MATCH('index match'!$K8,Sheet1!$C:$C,0),MATCH('index match'!N$2,Sheet1!$A$1:$J$1,0))</f>
        <v>Young</v>
      </c>
    </row>
    <row r="9" spans="3:14" x14ac:dyDescent="0.25">
      <c r="D9" t="str">
        <v>Connie Martin</v>
      </c>
      <c r="E9" t="str">
        <f>INDEX(Sheet1!$A:$J,MATCH('index match'!$D9,Sheet1!$C:$C,0),MATCH('index match'!E$2,Sheet1!$1:$1,0))</f>
        <v>Martin</v>
      </c>
      <c r="F9">
        <f>INDEX(Sheet1!$A:$J,MATCH('index match'!$D9,Sheet1!$C:$C,0),MATCH('index match'!F$2,Sheet1!$1:$1,0))</f>
        <v>1</v>
      </c>
      <c r="G9" t="str">
        <f>INDEX(Sheet1!$A:$J,MATCH('index match'!$D9,Sheet1!$C:$C,0),MATCH('index match'!G$2,Sheet1!$1:$1,0))</f>
        <v>Old</v>
      </c>
      <c r="K9" t="str">
        <v>Kellan Williams</v>
      </c>
      <c r="L9" t="str">
        <f>INDEX(Sheet1!$A:$J,MATCH('index match'!$K9,Sheet1!$C:$C,0),MATCH('index match'!L$2,Sheet1!$A$1:$J$1,0))</f>
        <v>Williams</v>
      </c>
      <c r="M9">
        <f>INDEX(Sheet1!$A:$J,MATCH('index match'!$K9,Sheet1!$C:$C,0),MATCH('index match'!M$2,Sheet1!$A$1:$J$1,0))</f>
        <v>4</v>
      </c>
      <c r="N9" t="str">
        <f>INDEX(Sheet1!$A:$J,MATCH('index match'!$K9,Sheet1!$C:$C,0),MATCH('index match'!N$2,Sheet1!$A$1:$J$1,0))</f>
        <v>Middle Age</v>
      </c>
    </row>
    <row r="10" spans="3:14" x14ac:dyDescent="0.25">
      <c r="D10" t="str">
        <v>Steven Johnson</v>
      </c>
      <c r="E10" t="str">
        <f>INDEX(Sheet1!$A:$J,MATCH('index match'!$D10,Sheet1!$C:$C,0),MATCH('index match'!E$2,Sheet1!$1:$1,0))</f>
        <v>Johnson</v>
      </c>
      <c r="F10">
        <f>INDEX(Sheet1!$A:$J,MATCH('index match'!$D10,Sheet1!$C:$C,0),MATCH('index match'!F$2,Sheet1!$1:$1,0))</f>
        <v>5</v>
      </c>
      <c r="G10" t="str">
        <f>INDEX(Sheet1!$A:$J,MATCH('index match'!$D10,Sheet1!$C:$C,0),MATCH('index match'!G$2,Sheet1!$1:$1,0))</f>
        <v>Middle Age</v>
      </c>
      <c r="K10" t="str">
        <v>Tyler Davis</v>
      </c>
      <c r="L10" t="str">
        <f>INDEX(Sheet1!$A:$J,MATCH('index match'!$K10,Sheet1!$C:$C,0),MATCH('index match'!L$2,Sheet1!$A$1:$J$1,0))</f>
        <v>Davis</v>
      </c>
      <c r="M10">
        <f>INDEX(Sheet1!$A:$J,MATCH('index match'!$K10,Sheet1!$C:$C,0),MATCH('index match'!M$2,Sheet1!$A$1:$J$1,0))</f>
        <v>1</v>
      </c>
      <c r="N10" t="str">
        <f>INDEX(Sheet1!$A:$J,MATCH('index match'!$K10,Sheet1!$C:$C,0),MATCH('index match'!N$2,Sheet1!$A$1:$J$1,0))</f>
        <v>Old</v>
      </c>
    </row>
    <row r="11" spans="3:14" x14ac:dyDescent="0.25">
      <c r="D11" t="str">
        <v>Charlie Hall</v>
      </c>
      <c r="E11" t="str">
        <f>INDEX(Sheet1!$A:$J,MATCH('index match'!$D11,Sheet1!$C:$C,0),MATCH('index match'!E$2,Sheet1!$1:$1,0))</f>
        <v>Hall</v>
      </c>
      <c r="F11">
        <f>INDEX(Sheet1!$A:$J,MATCH('index match'!$D11,Sheet1!$C:$C,0),MATCH('index match'!F$2,Sheet1!$1:$1,0))</f>
        <v>4</v>
      </c>
      <c r="G11" t="str">
        <f>INDEX(Sheet1!$A:$J,MATCH('index match'!$D11,Sheet1!$C:$C,0),MATCH('index match'!G$2,Sheet1!$1:$1,0))</f>
        <v>Middle Age</v>
      </c>
      <c r="K11" t="str">
        <v>Edgar Thomas</v>
      </c>
      <c r="L11" t="str">
        <f>INDEX(Sheet1!$A:$J,MATCH('index match'!$K11,Sheet1!$C:$C,0),MATCH('index match'!L$2,Sheet1!$A$1:$J$1,0))</f>
        <v>Thomas</v>
      </c>
      <c r="M11">
        <f>INDEX(Sheet1!$A:$J,MATCH('index match'!$K11,Sheet1!$C:$C,0),MATCH('index match'!M$2,Sheet1!$A$1:$J$1,0))</f>
        <v>3</v>
      </c>
      <c r="N11" t="str">
        <f>INDEX(Sheet1!$A:$J,MATCH('index match'!$K11,Sheet1!$C:$C,0),MATCH('index match'!N$2,Sheet1!$A$1:$J$1,0))</f>
        <v>Middle Age</v>
      </c>
    </row>
    <row r="12" spans="3:14" x14ac:dyDescent="0.25">
      <c r="D12" t="str">
        <v>Richard Richards</v>
      </c>
      <c r="E12" t="str">
        <f>INDEX(Sheet1!$A:$J,MATCH('index match'!$D12,Sheet1!$C:$C,0),MATCH('index match'!E$2,Sheet1!$1:$1,0))</f>
        <v>Richards</v>
      </c>
      <c r="F12">
        <f>INDEX(Sheet1!$A:$J,MATCH('index match'!$D12,Sheet1!$C:$C,0),MATCH('index match'!F$2,Sheet1!$1:$1,0))</f>
        <v>2</v>
      </c>
      <c r="G12" t="str">
        <f>INDEX(Sheet1!$A:$J,MATCH('index match'!$D12,Sheet1!$C:$C,0),MATCH('index match'!G$2,Sheet1!$1:$1,0))</f>
        <v>Old</v>
      </c>
      <c r="K12" t="str">
        <v>Nicholas Owens</v>
      </c>
      <c r="L12" t="str">
        <f>INDEX(Sheet1!$A:$J,MATCH('index match'!$K12,Sheet1!$C:$C,0),MATCH('index match'!L$2,Sheet1!$A$1:$J$1,0))</f>
        <v>Owens</v>
      </c>
      <c r="M12">
        <f>INDEX(Sheet1!$A:$J,MATCH('index match'!$K12,Sheet1!$C:$C,0),MATCH('index match'!M$2,Sheet1!$A$1:$J$1,0))</f>
        <v>3</v>
      </c>
      <c r="N12" t="str">
        <f>INDEX(Sheet1!$A:$J,MATCH('index match'!$K12,Sheet1!$C:$C,0),MATCH('index match'!N$2,Sheet1!$A$1:$J$1,0))</f>
        <v>Middle Age</v>
      </c>
    </row>
    <row r="13" spans="3:14" x14ac:dyDescent="0.25">
      <c r="D13" t="str">
        <v>Alan Allen</v>
      </c>
      <c r="E13" t="str">
        <f>INDEX(Sheet1!$A:$J,MATCH('index match'!$D13,Sheet1!$C:$C,0),MATCH('index match'!E$2,Sheet1!$1:$1,0))</f>
        <v>Allen</v>
      </c>
      <c r="F13">
        <f>INDEX(Sheet1!$A:$J,MATCH('index match'!$D13,Sheet1!$C:$C,0),MATCH('index match'!F$2,Sheet1!$1:$1,0))</f>
        <v>2</v>
      </c>
      <c r="G13" t="str">
        <f>INDEX(Sheet1!$A:$J,MATCH('index match'!$D13,Sheet1!$C:$C,0),MATCH('index match'!G$2,Sheet1!$1:$1,0))</f>
        <v>Old</v>
      </c>
      <c r="K13" t="str">
        <v>Sawyer Carter</v>
      </c>
      <c r="L13" t="str">
        <f>INDEX(Sheet1!$A:$J,MATCH('index match'!$K13,Sheet1!$C:$C,0),MATCH('index match'!L$2,Sheet1!$A$1:$J$1,0))</f>
        <v>Carter</v>
      </c>
      <c r="M13">
        <f>INDEX(Sheet1!$A:$J,MATCH('index match'!$K13,Sheet1!$C:$C,0),MATCH('index match'!M$2,Sheet1!$A$1:$J$1,0))</f>
        <v>4</v>
      </c>
      <c r="N13" t="str">
        <f>INDEX(Sheet1!$A:$J,MATCH('index match'!$K13,Sheet1!$C:$C,0),MATCH('index match'!N$2,Sheet1!$A$1:$J$1,0))</f>
        <v>Young</v>
      </c>
    </row>
    <row r="14" spans="3:14" x14ac:dyDescent="0.25">
      <c r="D14" t="str">
        <v>Tiana Farrell</v>
      </c>
      <c r="E14" t="str">
        <f>INDEX(Sheet1!$A:$J,MATCH('index match'!$D14,Sheet1!$C:$C,0),MATCH('index match'!E$2,Sheet1!$1:$1,0))</f>
        <v>Farrell</v>
      </c>
      <c r="F14">
        <f>INDEX(Sheet1!$A:$J,MATCH('index match'!$D14,Sheet1!$C:$C,0),MATCH('index match'!F$2,Sheet1!$1:$1,0))</f>
        <v>0</v>
      </c>
      <c r="G14" t="str">
        <f>INDEX(Sheet1!$A:$J,MATCH('index match'!$D14,Sheet1!$C:$C,0),MATCH('index match'!G$2,Sheet1!$1:$1,0))</f>
        <v>Middle Age</v>
      </c>
      <c r="K14" t="str">
        <v>Lyndon Parker</v>
      </c>
      <c r="L14" t="str">
        <f>INDEX(Sheet1!$A:$J,MATCH('index match'!$K14,Sheet1!$C:$C,0),MATCH('index match'!L$2,Sheet1!$A$1:$J$1,0))</f>
        <v>Parker</v>
      </c>
      <c r="M14">
        <f>INDEX(Sheet1!$A:$J,MATCH('index match'!$K14,Sheet1!$C:$C,0),MATCH('index match'!M$2,Sheet1!$A$1:$J$1,0))</f>
        <v>1</v>
      </c>
      <c r="N14" t="str">
        <f>INDEX(Sheet1!$A:$J,MATCH('index match'!$K14,Sheet1!$C:$C,0),MATCH('index match'!N$2,Sheet1!$A$1:$J$1,0))</f>
        <v>Middle Age</v>
      </c>
    </row>
    <row r="15" spans="3:14" x14ac:dyDescent="0.25">
      <c r="D15" t="str">
        <v>Emily Chapman</v>
      </c>
      <c r="E15" t="str">
        <f>INDEX(Sheet1!$A:$J,MATCH('index match'!$D15,Sheet1!$C:$C,0),MATCH('index match'!E$2,Sheet1!$1:$1,0))</f>
        <v>Chapman</v>
      </c>
      <c r="F15">
        <f>INDEX(Sheet1!$A:$J,MATCH('index match'!$D15,Sheet1!$C:$C,0),MATCH('index match'!F$2,Sheet1!$1:$1,0))</f>
        <v>0</v>
      </c>
      <c r="G15" t="str">
        <f>INDEX(Sheet1!$A:$J,MATCH('index match'!$D15,Sheet1!$C:$C,0),MATCH('index match'!G$2,Sheet1!$1:$1,0))</f>
        <v>Middle Age</v>
      </c>
      <c r="K15" t="str">
        <v>Sofia Barnes</v>
      </c>
      <c r="L15" t="str">
        <f>INDEX(Sheet1!$A:$J,MATCH('index match'!$K15,Sheet1!$C:$C,0),MATCH('index match'!L$2,Sheet1!$A$1:$J$1,0))</f>
        <v>Barnes</v>
      </c>
      <c r="M15">
        <f>INDEX(Sheet1!$A:$J,MATCH('index match'!$K15,Sheet1!$C:$C,0),MATCH('index match'!M$2,Sheet1!$A$1:$J$1,0))</f>
        <v>5</v>
      </c>
      <c r="N15" t="str">
        <f>INDEX(Sheet1!$A:$J,MATCH('index match'!$K15,Sheet1!$C:$C,0),MATCH('index match'!N$2,Sheet1!$A$1:$J$1,0))</f>
        <v>Old</v>
      </c>
    </row>
    <row r="16" spans="3:14" x14ac:dyDescent="0.25">
      <c r="D16" t="str">
        <v>Lucy Anderson</v>
      </c>
      <c r="E16" t="str">
        <f>INDEX(Sheet1!$A:$J,MATCH('index match'!$D16,Sheet1!$C:$C,0),MATCH('index match'!E$2,Sheet1!$1:$1,0))</f>
        <v>Anderson</v>
      </c>
      <c r="F16">
        <f>INDEX(Sheet1!$A:$J,MATCH('index match'!$D16,Sheet1!$C:$C,0),MATCH('index match'!F$2,Sheet1!$1:$1,0))</f>
        <v>0</v>
      </c>
      <c r="G16" t="str">
        <f>INDEX(Sheet1!$A:$J,MATCH('index match'!$D16,Sheet1!$C:$C,0),MATCH('index match'!G$2,Sheet1!$1:$1,0))</f>
        <v>Old</v>
      </c>
      <c r="K16" t="str">
        <v>Walter Allen</v>
      </c>
      <c r="L16" t="str">
        <f>INDEX(Sheet1!$A:$J,MATCH('index match'!$K16,Sheet1!$C:$C,0),MATCH('index match'!L$2,Sheet1!$A$1:$J$1,0))</f>
        <v>Allen</v>
      </c>
      <c r="M16">
        <f>INDEX(Sheet1!$A:$J,MATCH('index match'!$K16,Sheet1!$C:$C,0),MATCH('index match'!M$2,Sheet1!$A$1:$J$1,0))</f>
        <v>5</v>
      </c>
      <c r="N16" t="str">
        <f>INDEX(Sheet1!$A:$J,MATCH('index match'!$K16,Sheet1!$C:$C,0),MATCH('index match'!N$2,Sheet1!$A$1:$J$1,0))</f>
        <v>Young</v>
      </c>
    </row>
    <row r="17" spans="4:14" x14ac:dyDescent="0.25">
      <c r="D17" t="str">
        <v>Jenna Ellis</v>
      </c>
      <c r="E17" t="str">
        <f>INDEX(Sheet1!$A:$J,MATCH('index match'!$D17,Sheet1!$C:$C,0),MATCH('index match'!E$2,Sheet1!$1:$1,0))</f>
        <v>Ellis</v>
      </c>
      <c r="F17">
        <f>INDEX(Sheet1!$A:$J,MATCH('index match'!$D17,Sheet1!$C:$C,0),MATCH('index match'!F$2,Sheet1!$1:$1,0))</f>
        <v>1</v>
      </c>
      <c r="G17" t="str">
        <f>INDEX(Sheet1!$A:$J,MATCH('index match'!$D17,Sheet1!$C:$C,0),MATCH('index match'!G$2,Sheet1!$1:$1,0))</f>
        <v>Old</v>
      </c>
      <c r="K17" t="str">
        <v>Kimberly Payne</v>
      </c>
      <c r="L17" t="str">
        <f>INDEX(Sheet1!$A:$J,MATCH('index match'!$K17,Sheet1!$C:$C,0),MATCH('index match'!L$2,Sheet1!$A$1:$J$1,0))</f>
        <v>Payne</v>
      </c>
      <c r="M17">
        <f>INDEX(Sheet1!$A:$J,MATCH('index match'!$K17,Sheet1!$C:$C,0),MATCH('index match'!M$2,Sheet1!$A$1:$J$1,0))</f>
        <v>3</v>
      </c>
      <c r="N17" t="str">
        <f>INDEX(Sheet1!$A:$J,MATCH('index match'!$K17,Sheet1!$C:$C,0),MATCH('index match'!N$2,Sheet1!$A$1:$J$1,0))</f>
        <v>Middle Age</v>
      </c>
    </row>
    <row r="18" spans="4:14" x14ac:dyDescent="0.25">
      <c r="D18" t="str">
        <v>Anna Smith</v>
      </c>
      <c r="E18" t="str">
        <f>INDEX(Sheet1!$A:$J,MATCH('index match'!$D18,Sheet1!$C:$C,0),MATCH('index match'!E$2,Sheet1!$1:$1,0))</f>
        <v>Smith</v>
      </c>
      <c r="F18">
        <f>INDEX(Sheet1!$A:$J,MATCH('index match'!$D18,Sheet1!$C:$C,0),MATCH('index match'!F$2,Sheet1!$1:$1,0))</f>
        <v>2</v>
      </c>
      <c r="G18" t="str">
        <f>INDEX(Sheet1!$A:$J,MATCH('index match'!$D18,Sheet1!$C:$C,0),MATCH('index match'!G$2,Sheet1!$1:$1,0))</f>
        <v>Old</v>
      </c>
      <c r="K18" t="str">
        <v>Edward Stewart</v>
      </c>
      <c r="L18" t="str">
        <f>INDEX(Sheet1!$A:$J,MATCH('index match'!$K18,Sheet1!$C:$C,0),MATCH('index match'!L$2,Sheet1!$A$1:$J$1,0))</f>
        <v>Stewart</v>
      </c>
      <c r="M18">
        <f>INDEX(Sheet1!$A:$J,MATCH('index match'!$K18,Sheet1!$C:$C,0),MATCH('index match'!M$2,Sheet1!$A$1:$J$1,0))</f>
        <v>1</v>
      </c>
      <c r="N18" t="str">
        <f>INDEX(Sheet1!$A:$J,MATCH('index match'!$K18,Sheet1!$C:$C,0),MATCH('index match'!N$2,Sheet1!$A$1:$J$1,0))</f>
        <v>Middle Age</v>
      </c>
    </row>
    <row r="19" spans="4:14" x14ac:dyDescent="0.25">
      <c r="D19" t="str">
        <v>Frederick Kelly</v>
      </c>
      <c r="E19" t="str">
        <f>INDEX(Sheet1!$A:$J,MATCH('index match'!$D19,Sheet1!$C:$C,0),MATCH('index match'!E$2,Sheet1!$1:$1,0))</f>
        <v>Kelly</v>
      </c>
      <c r="F19">
        <f>INDEX(Sheet1!$A:$J,MATCH('index match'!$D19,Sheet1!$C:$C,0),MATCH('index match'!F$2,Sheet1!$1:$1,0))</f>
        <v>1</v>
      </c>
      <c r="G19" t="str">
        <f>INDEX(Sheet1!$A:$J,MATCH('index match'!$D19,Sheet1!$C:$C,0),MATCH('index match'!G$2,Sheet1!$1:$1,0))</f>
        <v>Young</v>
      </c>
      <c r="K19" t="str">
        <v>Frederick Johnson</v>
      </c>
      <c r="L19" t="str">
        <f>INDEX(Sheet1!$A:$J,MATCH('index match'!$K19,Sheet1!$C:$C,0),MATCH('index match'!L$2,Sheet1!$A$1:$J$1,0))</f>
        <v>Johnson</v>
      </c>
      <c r="M19">
        <f>INDEX(Sheet1!$A:$J,MATCH('index match'!$K19,Sheet1!$C:$C,0),MATCH('index match'!M$2,Sheet1!$A$1:$J$1,0))</f>
        <v>2</v>
      </c>
      <c r="N19" t="str">
        <f>INDEX(Sheet1!$A:$J,MATCH('index match'!$K19,Sheet1!$C:$C,0),MATCH('index match'!N$2,Sheet1!$A$1:$J$1,0))</f>
        <v>Middle Age</v>
      </c>
    </row>
    <row r="20" spans="4:14" x14ac:dyDescent="0.25">
      <c r="D20" t="str">
        <v>Tara Cameron</v>
      </c>
      <c r="E20" t="str">
        <f>INDEX(Sheet1!$A:$J,MATCH('index match'!$D20,Sheet1!$C:$C,0),MATCH('index match'!E$2,Sheet1!$1:$1,0))</f>
        <v>Cameron</v>
      </c>
      <c r="F20">
        <f>INDEX(Sheet1!$A:$J,MATCH('index match'!$D20,Sheet1!$C:$C,0),MATCH('index match'!F$2,Sheet1!$1:$1,0))</f>
        <v>4</v>
      </c>
      <c r="G20" t="str">
        <f>INDEX(Sheet1!$A:$J,MATCH('index match'!$D20,Sheet1!$C:$C,0),MATCH('index match'!G$2,Sheet1!$1:$1,0))</f>
        <v>Young</v>
      </c>
      <c r="K20" t="str">
        <v>Lucy Davis</v>
      </c>
      <c r="L20" t="str">
        <f>INDEX(Sheet1!$A:$J,MATCH('index match'!$K20,Sheet1!$C:$C,0),MATCH('index match'!L$2,Sheet1!$A$1:$J$1,0))</f>
        <v>Davis</v>
      </c>
      <c r="M20">
        <f>INDEX(Sheet1!$A:$J,MATCH('index match'!$K20,Sheet1!$C:$C,0),MATCH('index match'!M$2,Sheet1!$A$1:$J$1,0))</f>
        <v>3</v>
      </c>
      <c r="N20" t="str">
        <f>INDEX(Sheet1!$A:$J,MATCH('index match'!$K20,Sheet1!$C:$C,0),MATCH('index match'!N$2,Sheet1!$A$1:$J$1,0))</f>
        <v>Old</v>
      </c>
    </row>
    <row r="21" spans="4:14" x14ac:dyDescent="0.25">
      <c r="D21" t="str">
        <v>Roman Campbell</v>
      </c>
      <c r="E21" t="str">
        <f>INDEX(Sheet1!$A:$J,MATCH('index match'!$D21,Sheet1!$C:$C,0),MATCH('index match'!E$2,Sheet1!$1:$1,0))</f>
        <v>Campbell</v>
      </c>
      <c r="F21">
        <f>INDEX(Sheet1!$A:$J,MATCH('index match'!$D21,Sheet1!$C:$C,0),MATCH('index match'!F$2,Sheet1!$1:$1,0))</f>
        <v>2</v>
      </c>
      <c r="G21" t="str">
        <f>INDEX(Sheet1!$A:$J,MATCH('index match'!$D21,Sheet1!$C:$C,0),MATCH('index match'!G$2,Sheet1!$1:$1,0))</f>
        <v>Young</v>
      </c>
      <c r="K21" t="str">
        <v>Adam Nelson</v>
      </c>
      <c r="L21" t="str">
        <f>INDEX(Sheet1!$A:$J,MATCH('index match'!$K21,Sheet1!$C:$C,0),MATCH('index match'!L$2,Sheet1!$A$1:$J$1,0))</f>
        <v>Nelson</v>
      </c>
      <c r="M21">
        <f>INDEX(Sheet1!$A:$J,MATCH('index match'!$K21,Sheet1!$C:$C,0),MATCH('index match'!M$2,Sheet1!$A$1:$J$1,0))</f>
        <v>4</v>
      </c>
      <c r="N21" t="str">
        <f>INDEX(Sheet1!$A:$J,MATCH('index match'!$K21,Sheet1!$C:$C,0),MATCH('index match'!N$2,Sheet1!$A$1:$J$1,0))</f>
        <v>Middle Age</v>
      </c>
    </row>
    <row r="22" spans="4:14" x14ac:dyDescent="0.25">
      <c r="D22" t="str">
        <v>Eddy Andrews</v>
      </c>
      <c r="E22" t="str">
        <f>INDEX(Sheet1!$A:$J,MATCH('index match'!$D22,Sheet1!$C:$C,0),MATCH('index match'!E$2,Sheet1!$1:$1,0))</f>
        <v>Andrews</v>
      </c>
      <c r="F22">
        <f>INDEX(Sheet1!$A:$J,MATCH('index match'!$D22,Sheet1!$C:$C,0),MATCH('index match'!F$2,Sheet1!$1:$1,0))</f>
        <v>0</v>
      </c>
      <c r="G22" t="str">
        <f>INDEX(Sheet1!$A:$J,MATCH('index match'!$D22,Sheet1!$C:$C,0),MATCH('index match'!G$2,Sheet1!$1:$1,0))</f>
        <v>Old</v>
      </c>
      <c r="K22" t="str">
        <v>Tara Brown</v>
      </c>
      <c r="L22" t="str">
        <f>INDEX(Sheet1!$A:$J,MATCH('index match'!$K22,Sheet1!$C:$C,0),MATCH('index match'!L$2,Sheet1!$A$1:$J$1,0))</f>
        <v>Brown</v>
      </c>
      <c r="M22">
        <f>INDEX(Sheet1!$A:$J,MATCH('index match'!$K22,Sheet1!$C:$C,0),MATCH('index match'!M$2,Sheet1!$A$1:$J$1,0))</f>
        <v>4</v>
      </c>
      <c r="N22" t="str">
        <f>INDEX(Sheet1!$A:$J,MATCH('index match'!$K22,Sheet1!$C:$C,0),MATCH('index match'!N$2,Sheet1!$A$1:$J$1,0))</f>
        <v>Young</v>
      </c>
    </row>
    <row r="23" spans="4:14" x14ac:dyDescent="0.25">
      <c r="D23" t="str">
        <v>Myra Ryan</v>
      </c>
      <c r="E23" t="str">
        <f>INDEX(Sheet1!$A:$J,MATCH('index match'!$D23,Sheet1!$C:$C,0),MATCH('index match'!E$2,Sheet1!$1:$1,0))</f>
        <v>Ryan</v>
      </c>
      <c r="F23">
        <f>INDEX(Sheet1!$A:$J,MATCH('index match'!$D23,Sheet1!$C:$C,0),MATCH('index match'!F$2,Sheet1!$1:$1,0))</f>
        <v>0</v>
      </c>
      <c r="G23" t="str">
        <f>INDEX(Sheet1!$A:$J,MATCH('index match'!$D23,Sheet1!$C:$C,0),MATCH('index match'!G$2,Sheet1!$1:$1,0))</f>
        <v>Young</v>
      </c>
      <c r="K23" t="str">
        <v>Dominik Martin</v>
      </c>
      <c r="L23" t="str">
        <f>INDEX(Sheet1!$A:$J,MATCH('index match'!$K23,Sheet1!$C:$C,0),MATCH('index match'!L$2,Sheet1!$A$1:$J$1,0))</f>
        <v>Martin</v>
      </c>
      <c r="M23">
        <f>INDEX(Sheet1!$A:$J,MATCH('index match'!$K23,Sheet1!$C:$C,0),MATCH('index match'!M$2,Sheet1!$A$1:$J$1,0))</f>
        <v>3</v>
      </c>
      <c r="N23" t="str">
        <f>INDEX(Sheet1!$A:$J,MATCH('index match'!$K23,Sheet1!$C:$C,0),MATCH('index match'!N$2,Sheet1!$A$1:$J$1,0))</f>
        <v>Old</v>
      </c>
    </row>
    <row r="24" spans="4:14" x14ac:dyDescent="0.25">
      <c r="D24" t="str">
        <v>Henry Stevens</v>
      </c>
      <c r="E24" t="str">
        <f>INDEX(Sheet1!$A:$J,MATCH('index match'!$D24,Sheet1!$C:$C,0),MATCH('index match'!E$2,Sheet1!$1:$1,0))</f>
        <v>Stevens</v>
      </c>
      <c r="F24">
        <f>INDEX(Sheet1!$A:$J,MATCH('index match'!$D24,Sheet1!$C:$C,0),MATCH('index match'!F$2,Sheet1!$1:$1,0))</f>
        <v>1</v>
      </c>
      <c r="G24" t="str">
        <f>INDEX(Sheet1!$A:$J,MATCH('index match'!$D24,Sheet1!$C:$C,0),MATCH('index match'!G$2,Sheet1!$1:$1,0))</f>
        <v>Old</v>
      </c>
      <c r="K24" t="str">
        <v>Valeria Perry</v>
      </c>
      <c r="L24" t="str">
        <f>INDEX(Sheet1!$A:$J,MATCH('index match'!$K24,Sheet1!$C:$C,0),MATCH('index match'!L$2,Sheet1!$A$1:$J$1,0))</f>
        <v>Perry</v>
      </c>
      <c r="M24">
        <f>INDEX(Sheet1!$A:$J,MATCH('index match'!$K24,Sheet1!$C:$C,0),MATCH('index match'!M$2,Sheet1!$A$1:$J$1,0))</f>
        <v>5</v>
      </c>
      <c r="N24" t="str">
        <f>INDEX(Sheet1!$A:$J,MATCH('index match'!$K24,Sheet1!$C:$C,0),MATCH('index match'!N$2,Sheet1!$A$1:$J$1,0))</f>
        <v>Middle Age</v>
      </c>
    </row>
    <row r="25" spans="4:14" x14ac:dyDescent="0.25">
      <c r="D25" t="str">
        <v>Honey Turner</v>
      </c>
      <c r="E25" t="str">
        <f>INDEX(Sheet1!$A:$J,MATCH('index match'!$D25,Sheet1!$C:$C,0),MATCH('index match'!E$2,Sheet1!$1:$1,0))</f>
        <v>Turner</v>
      </c>
      <c r="F25">
        <f>INDEX(Sheet1!$A:$J,MATCH('index match'!$D25,Sheet1!$C:$C,0),MATCH('index match'!F$2,Sheet1!$1:$1,0))</f>
        <v>5</v>
      </c>
      <c r="G25" t="str">
        <f>INDEX(Sheet1!$A:$J,MATCH('index match'!$D25,Sheet1!$C:$C,0),MATCH('index match'!G$2,Sheet1!$1:$1,0))</f>
        <v>Old</v>
      </c>
      <c r="K25" t="str">
        <v>Wilson Farrell</v>
      </c>
      <c r="L25" t="str">
        <f>INDEX(Sheet1!$A:$J,MATCH('index match'!$K25,Sheet1!$C:$C,0),MATCH('index match'!L$2,Sheet1!$A$1:$J$1,0))</f>
        <v>Farrell</v>
      </c>
      <c r="M25">
        <f>INDEX(Sheet1!$A:$J,MATCH('index match'!$K25,Sheet1!$C:$C,0),MATCH('index match'!M$2,Sheet1!$A$1:$J$1,0))</f>
        <v>0</v>
      </c>
      <c r="N25" t="str">
        <f>INDEX(Sheet1!$A:$J,MATCH('index match'!$K25,Sheet1!$C:$C,0),MATCH('index match'!N$2,Sheet1!$A$1:$J$1,0))</f>
        <v>Middle Age</v>
      </c>
    </row>
    <row r="26" spans="4:14" x14ac:dyDescent="0.25">
      <c r="D26" t="str">
        <v>Jordan Cunningham</v>
      </c>
      <c r="E26" t="str">
        <f>INDEX(Sheet1!$A:$J,MATCH('index match'!$D26,Sheet1!$C:$C,0),MATCH('index match'!E$2,Sheet1!$1:$1,0))</f>
        <v>Cunningham</v>
      </c>
      <c r="F26">
        <f>INDEX(Sheet1!$A:$J,MATCH('index match'!$D26,Sheet1!$C:$C,0),MATCH('index match'!F$2,Sheet1!$1:$1,0))</f>
        <v>1</v>
      </c>
      <c r="G26" t="str">
        <f>INDEX(Sheet1!$A:$J,MATCH('index match'!$D26,Sheet1!$C:$C,0),MATCH('index match'!G$2,Sheet1!$1:$1,0))</f>
        <v>Old</v>
      </c>
      <c r="K26" t="str">
        <v>Emma Farrell</v>
      </c>
      <c r="L26" t="str">
        <f>INDEX(Sheet1!$A:$J,MATCH('index match'!$K26,Sheet1!$C:$C,0),MATCH('index match'!L$2,Sheet1!$A$1:$J$1,0))</f>
        <v>Farrell</v>
      </c>
      <c r="M26">
        <f>INDEX(Sheet1!$A:$J,MATCH('index match'!$K26,Sheet1!$C:$C,0),MATCH('index match'!M$2,Sheet1!$A$1:$J$1,0))</f>
        <v>2</v>
      </c>
      <c r="N26" t="str">
        <f>INDEX(Sheet1!$A:$J,MATCH('index match'!$K26,Sheet1!$C:$C,0),MATCH('index match'!N$2,Sheet1!$A$1:$J$1,0))</f>
        <v>Middle Age</v>
      </c>
    </row>
    <row r="27" spans="4:14" x14ac:dyDescent="0.25">
      <c r="D27" t="str">
        <v>Arnold Tucker</v>
      </c>
      <c r="E27" t="str">
        <f>INDEX(Sheet1!$A:$J,MATCH('index match'!$D27,Sheet1!$C:$C,0),MATCH('index match'!E$2,Sheet1!$1:$1,0))</f>
        <v>Tucker</v>
      </c>
      <c r="F27">
        <f>INDEX(Sheet1!$A:$J,MATCH('index match'!$D27,Sheet1!$C:$C,0),MATCH('index match'!F$2,Sheet1!$1:$1,0))</f>
        <v>1</v>
      </c>
      <c r="G27" t="str">
        <f>INDEX(Sheet1!$A:$J,MATCH('index match'!$D27,Sheet1!$C:$C,0),MATCH('index match'!G$2,Sheet1!$1:$1,0))</f>
        <v>Old</v>
      </c>
      <c r="K27" t="str">
        <v>Fenton Kelly</v>
      </c>
      <c r="L27" t="str">
        <f>INDEX(Sheet1!$A:$J,MATCH('index match'!$K27,Sheet1!$C:$C,0),MATCH('index match'!L$2,Sheet1!$A$1:$J$1,0))</f>
        <v>Kelly</v>
      </c>
      <c r="M27">
        <f>INDEX(Sheet1!$A:$J,MATCH('index match'!$K27,Sheet1!$C:$C,0),MATCH('index match'!M$2,Sheet1!$A$1:$J$1,0))</f>
        <v>4</v>
      </c>
      <c r="N27" t="str">
        <f>INDEX(Sheet1!$A:$J,MATCH('index match'!$K27,Sheet1!$C:$C,0),MATCH('index match'!N$2,Sheet1!$A$1:$J$1,0))</f>
        <v>Middle Age</v>
      </c>
    </row>
    <row r="28" spans="4:14" x14ac:dyDescent="0.25">
      <c r="D28" t="str">
        <v>Jack Riley</v>
      </c>
      <c r="E28" t="str">
        <f>INDEX(Sheet1!$A:$J,MATCH('index match'!$D28,Sheet1!$C:$C,0),MATCH('index match'!E$2,Sheet1!$1:$1,0))</f>
        <v>Riley</v>
      </c>
      <c r="F28">
        <f>INDEX(Sheet1!$A:$J,MATCH('index match'!$D28,Sheet1!$C:$C,0),MATCH('index match'!F$2,Sheet1!$1:$1,0))</f>
        <v>2</v>
      </c>
      <c r="G28" t="str">
        <f>INDEX(Sheet1!$A:$J,MATCH('index match'!$D28,Sheet1!$C:$C,0),MATCH('index match'!G$2,Sheet1!$1:$1,0))</f>
        <v>Old</v>
      </c>
      <c r="K28" t="str">
        <v>Belinda Dixon</v>
      </c>
      <c r="L28" t="str">
        <f>INDEX(Sheet1!$A:$J,MATCH('index match'!$K28,Sheet1!$C:$C,0),MATCH('index match'!L$2,Sheet1!$A$1:$J$1,0))</f>
        <v>Dixon</v>
      </c>
      <c r="M28">
        <f>INDEX(Sheet1!$A:$J,MATCH('index match'!$K28,Sheet1!$C:$C,0),MATCH('index match'!M$2,Sheet1!$A$1:$J$1,0))</f>
        <v>4</v>
      </c>
      <c r="N28" t="str">
        <f>INDEX(Sheet1!$A:$J,MATCH('index match'!$K28,Sheet1!$C:$C,0),MATCH('index match'!N$2,Sheet1!$A$1:$J$1,0))</f>
        <v>Middle Age</v>
      </c>
    </row>
    <row r="29" spans="4:14" x14ac:dyDescent="0.25">
      <c r="D29" t="str">
        <v>Sofia Johnston</v>
      </c>
      <c r="E29" t="str">
        <f>INDEX(Sheet1!$A:$J,MATCH('index match'!$D29,Sheet1!$C:$C,0),MATCH('index match'!E$2,Sheet1!$1:$1,0))</f>
        <v>Johnston</v>
      </c>
      <c r="F29">
        <f>INDEX(Sheet1!$A:$J,MATCH('index match'!$D29,Sheet1!$C:$C,0),MATCH('index match'!F$2,Sheet1!$1:$1,0))</f>
        <v>1</v>
      </c>
      <c r="G29" t="str">
        <f>INDEX(Sheet1!$A:$J,MATCH('index match'!$D29,Sheet1!$C:$C,0),MATCH('index match'!G$2,Sheet1!$1:$1,0))</f>
        <v>Old</v>
      </c>
      <c r="K29" t="str">
        <v>Alexia Cooper</v>
      </c>
      <c r="L29" t="str">
        <f>INDEX(Sheet1!$A:$J,MATCH('index match'!$K29,Sheet1!$C:$C,0),MATCH('index match'!L$2,Sheet1!$A$1:$J$1,0))</f>
        <v>Cooper</v>
      </c>
      <c r="M29">
        <f>INDEX(Sheet1!$A:$J,MATCH('index match'!$K29,Sheet1!$C:$C,0),MATCH('index match'!M$2,Sheet1!$A$1:$J$1,0))</f>
        <v>0</v>
      </c>
      <c r="N29" t="str">
        <f>INDEX(Sheet1!$A:$J,MATCH('index match'!$K29,Sheet1!$C:$C,0),MATCH('index match'!N$2,Sheet1!$A$1:$J$1,0))</f>
        <v>Young</v>
      </c>
    </row>
    <row r="30" spans="4:14" x14ac:dyDescent="0.25">
      <c r="D30" t="str">
        <v>Sarah Stevens</v>
      </c>
      <c r="E30" t="str">
        <f>INDEX(Sheet1!$A:$J,MATCH('index match'!$D30,Sheet1!$C:$C,0),MATCH('index match'!E$2,Sheet1!$1:$1,0))</f>
        <v>Stevens</v>
      </c>
      <c r="F30">
        <f>INDEX(Sheet1!$A:$J,MATCH('index match'!$D30,Sheet1!$C:$C,0),MATCH('index match'!F$2,Sheet1!$1:$1,0))</f>
        <v>4</v>
      </c>
      <c r="G30" t="str">
        <f>INDEX(Sheet1!$A:$J,MATCH('index match'!$D30,Sheet1!$C:$C,0),MATCH('index match'!G$2,Sheet1!$1:$1,0))</f>
        <v>Middle Age</v>
      </c>
      <c r="K30" t="str">
        <v>Tara Brooks</v>
      </c>
      <c r="L30" t="str">
        <f>INDEX(Sheet1!$A:$J,MATCH('index match'!$K30,Sheet1!$C:$C,0),MATCH('index match'!L$2,Sheet1!$A$1:$J$1,0))</f>
        <v>Brooks</v>
      </c>
      <c r="M30">
        <f>INDEX(Sheet1!$A:$J,MATCH('index match'!$K30,Sheet1!$C:$C,0),MATCH('index match'!M$2,Sheet1!$A$1:$J$1,0))</f>
        <v>2</v>
      </c>
      <c r="N30" t="str">
        <f>INDEX(Sheet1!$A:$J,MATCH('index match'!$K30,Sheet1!$C:$C,0),MATCH('index match'!N$2,Sheet1!$A$1:$J$1,0))</f>
        <v>Young</v>
      </c>
    </row>
    <row r="31" spans="4:14" x14ac:dyDescent="0.25">
      <c r="D31" t="str">
        <v>Bruce Davis</v>
      </c>
      <c r="E31" t="str">
        <f>INDEX(Sheet1!$A:$J,MATCH('index match'!$D31,Sheet1!$C:$C,0),MATCH('index match'!E$2,Sheet1!$1:$1,0))</f>
        <v>Davis</v>
      </c>
      <c r="F31">
        <f>INDEX(Sheet1!$A:$J,MATCH('index match'!$D31,Sheet1!$C:$C,0),MATCH('index match'!F$2,Sheet1!$1:$1,0))</f>
        <v>4</v>
      </c>
      <c r="G31" t="str">
        <f>INDEX(Sheet1!$A:$J,MATCH('index match'!$D31,Sheet1!$C:$C,0),MATCH('index match'!G$2,Sheet1!$1:$1,0))</f>
        <v>Old</v>
      </c>
      <c r="K31" t="str">
        <v>Mary Stevens</v>
      </c>
      <c r="L31" t="str">
        <f>INDEX(Sheet1!$A:$J,MATCH('index match'!$K31,Sheet1!$C:$C,0),MATCH('index match'!L$2,Sheet1!$A$1:$J$1,0))</f>
        <v>Stevens</v>
      </c>
      <c r="M31">
        <f>INDEX(Sheet1!$A:$J,MATCH('index match'!$K31,Sheet1!$C:$C,0),MATCH('index match'!M$2,Sheet1!$A$1:$J$1,0))</f>
        <v>4</v>
      </c>
      <c r="N31" t="str">
        <f>INDEX(Sheet1!$A:$J,MATCH('index match'!$K31,Sheet1!$C:$C,0),MATCH('index match'!N$2,Sheet1!$A$1:$J$1,0))</f>
        <v>Young</v>
      </c>
    </row>
    <row r="32" spans="4:14" x14ac:dyDescent="0.25">
      <c r="D32" t="str">
        <v>Alexander Ferguson</v>
      </c>
      <c r="E32" t="str">
        <f>INDEX(Sheet1!$A:$J,MATCH('index match'!$D32,Sheet1!$C:$C,0),MATCH('index match'!E$2,Sheet1!$1:$1,0))</f>
        <v>Ferguson</v>
      </c>
      <c r="F32">
        <f>INDEX(Sheet1!$A:$J,MATCH('index match'!$D32,Sheet1!$C:$C,0),MATCH('index match'!F$2,Sheet1!$1:$1,0))</f>
        <v>0</v>
      </c>
      <c r="G32" t="str">
        <f>INDEX(Sheet1!$A:$J,MATCH('index match'!$D32,Sheet1!$C:$C,0),MATCH('index match'!G$2,Sheet1!$1:$1,0))</f>
        <v>Young</v>
      </c>
      <c r="K32" t="str">
        <v>Brad Kelley</v>
      </c>
      <c r="L32" t="str">
        <f>INDEX(Sheet1!$A:$J,MATCH('index match'!$K32,Sheet1!$C:$C,0),MATCH('index match'!L$2,Sheet1!$A$1:$J$1,0))</f>
        <v>Kelley</v>
      </c>
      <c r="M32">
        <f>INDEX(Sheet1!$A:$J,MATCH('index match'!$K32,Sheet1!$C:$C,0),MATCH('index match'!M$2,Sheet1!$A$1:$J$1,0))</f>
        <v>1</v>
      </c>
      <c r="N32" t="str">
        <f>INDEX(Sheet1!$A:$J,MATCH('index match'!$K32,Sheet1!$C:$C,0),MATCH('index match'!N$2,Sheet1!$A$1:$J$1,0))</f>
        <v>Middle Age</v>
      </c>
    </row>
    <row r="33" spans="4:14" x14ac:dyDescent="0.25">
      <c r="D33" t="str">
        <v>Dale Tucker</v>
      </c>
      <c r="E33" t="str">
        <f>INDEX(Sheet1!$A:$J,MATCH('index match'!$D33,Sheet1!$C:$C,0),MATCH('index match'!E$2,Sheet1!$1:$1,0))</f>
        <v>Tucker</v>
      </c>
      <c r="F33">
        <f>INDEX(Sheet1!$A:$J,MATCH('index match'!$D33,Sheet1!$C:$C,0),MATCH('index match'!F$2,Sheet1!$1:$1,0))</f>
        <v>0</v>
      </c>
      <c r="G33" t="str">
        <f>INDEX(Sheet1!$A:$J,MATCH('index match'!$D33,Sheet1!$C:$C,0),MATCH('index match'!G$2,Sheet1!$1:$1,0))</f>
        <v>Old</v>
      </c>
      <c r="K33" t="str">
        <v>Jared Carter</v>
      </c>
      <c r="L33" t="str">
        <f>INDEX(Sheet1!$A:$J,MATCH('index match'!$K33,Sheet1!$C:$C,0),MATCH('index match'!L$2,Sheet1!$A$1:$J$1,0))</f>
        <v>Carter</v>
      </c>
      <c r="M33">
        <f>INDEX(Sheet1!$A:$J,MATCH('index match'!$K33,Sheet1!$C:$C,0),MATCH('index match'!M$2,Sheet1!$A$1:$J$1,0))</f>
        <v>2</v>
      </c>
      <c r="N33" t="str">
        <f>INDEX(Sheet1!$A:$J,MATCH('index match'!$K33,Sheet1!$C:$C,0),MATCH('index match'!N$2,Sheet1!$A$1:$J$1,0))</f>
        <v>Middle Age</v>
      </c>
    </row>
    <row r="34" spans="4:14" x14ac:dyDescent="0.25">
      <c r="D34" t="str">
        <v>Kellan Campbell</v>
      </c>
      <c r="E34" t="str">
        <f>INDEX(Sheet1!$A:$J,MATCH('index match'!$D34,Sheet1!$C:$C,0),MATCH('index match'!E$2,Sheet1!$1:$1,0))</f>
        <v>Campbell</v>
      </c>
      <c r="F34">
        <f>INDEX(Sheet1!$A:$J,MATCH('index match'!$D34,Sheet1!$C:$C,0),MATCH('index match'!F$2,Sheet1!$1:$1,0))</f>
        <v>5</v>
      </c>
      <c r="G34" t="str">
        <f>INDEX(Sheet1!$A:$J,MATCH('index match'!$D34,Sheet1!$C:$C,0),MATCH('index match'!G$2,Sheet1!$1:$1,0))</f>
        <v>Young</v>
      </c>
      <c r="K34" t="str">
        <v>Maria Andrews</v>
      </c>
      <c r="L34" t="str">
        <f>INDEX(Sheet1!$A:$J,MATCH('index match'!$K34,Sheet1!$C:$C,0),MATCH('index match'!L$2,Sheet1!$A$1:$J$1,0))</f>
        <v>Andrews</v>
      </c>
      <c r="M34">
        <f>INDEX(Sheet1!$A:$J,MATCH('index match'!$K34,Sheet1!$C:$C,0),MATCH('index match'!M$2,Sheet1!$A$1:$J$1,0))</f>
        <v>3</v>
      </c>
      <c r="N34" t="str">
        <f>INDEX(Sheet1!$A:$J,MATCH('index match'!$K34,Sheet1!$C:$C,0),MATCH('index match'!N$2,Sheet1!$A$1:$J$1,0))</f>
        <v>Middle Age</v>
      </c>
    </row>
    <row r="35" spans="4:14" x14ac:dyDescent="0.25">
      <c r="D35" t="str">
        <v>Kate Robinson</v>
      </c>
      <c r="E35" t="str">
        <f>INDEX(Sheet1!$A:$J,MATCH('index match'!$D35,Sheet1!$C:$C,0),MATCH('index match'!E$2,Sheet1!$1:$1,0))</f>
        <v>Robinson</v>
      </c>
      <c r="F35">
        <f>INDEX(Sheet1!$A:$J,MATCH('index match'!$D35,Sheet1!$C:$C,0),MATCH('index match'!F$2,Sheet1!$1:$1,0))</f>
        <v>1</v>
      </c>
      <c r="G35" t="str">
        <f>INDEX(Sheet1!$A:$J,MATCH('index match'!$D35,Sheet1!$C:$C,0),MATCH('index match'!G$2,Sheet1!$1:$1,0))</f>
        <v>Young</v>
      </c>
      <c r="K35" t="str">
        <v>April Kelley</v>
      </c>
      <c r="L35" t="str">
        <f>INDEX(Sheet1!$A:$J,MATCH('index match'!$K35,Sheet1!$C:$C,0),MATCH('index match'!L$2,Sheet1!$A$1:$J$1,0))</f>
        <v>Kelley</v>
      </c>
      <c r="M35">
        <f>INDEX(Sheet1!$A:$J,MATCH('index match'!$K35,Sheet1!$C:$C,0),MATCH('index match'!M$2,Sheet1!$A$1:$J$1,0))</f>
        <v>3</v>
      </c>
      <c r="N35" t="str">
        <f>INDEX(Sheet1!$A:$J,MATCH('index match'!$K35,Sheet1!$C:$C,0),MATCH('index match'!N$2,Sheet1!$A$1:$J$1,0))</f>
        <v>Old</v>
      </c>
    </row>
    <row r="36" spans="4:14" x14ac:dyDescent="0.25">
      <c r="D36" t="str">
        <v>Kevin Evans</v>
      </c>
      <c r="E36" t="str">
        <f>INDEX(Sheet1!$A:$J,MATCH('index match'!$D36,Sheet1!$C:$C,0),MATCH('index match'!E$2,Sheet1!$1:$1,0))</f>
        <v>Evans</v>
      </c>
      <c r="F36">
        <f>INDEX(Sheet1!$A:$J,MATCH('index match'!$D36,Sheet1!$C:$C,0),MATCH('index match'!F$2,Sheet1!$1:$1,0))</f>
        <v>0</v>
      </c>
      <c r="G36" t="str">
        <f>INDEX(Sheet1!$A:$J,MATCH('index match'!$D36,Sheet1!$C:$C,0),MATCH('index match'!G$2,Sheet1!$1:$1,0))</f>
        <v>Middle Age</v>
      </c>
      <c r="K36" t="str">
        <v>Grace Hall</v>
      </c>
      <c r="L36" t="str">
        <f>INDEX(Sheet1!$A:$J,MATCH('index match'!$K36,Sheet1!$C:$C,0),MATCH('index match'!L$2,Sheet1!$A$1:$J$1,0))</f>
        <v>Hall</v>
      </c>
      <c r="M36">
        <f>INDEX(Sheet1!$A:$J,MATCH('index match'!$K36,Sheet1!$C:$C,0),MATCH('index match'!M$2,Sheet1!$A$1:$J$1,0))</f>
        <v>4</v>
      </c>
      <c r="N36" t="str">
        <f>INDEX(Sheet1!$A:$J,MATCH('index match'!$K36,Sheet1!$C:$C,0),MATCH('index match'!N$2,Sheet1!$A$1:$J$1,0))</f>
        <v>Old</v>
      </c>
    </row>
    <row r="37" spans="4:14" x14ac:dyDescent="0.25">
      <c r="D37" t="str">
        <v>Maximilian Ryan</v>
      </c>
      <c r="E37" t="str">
        <f>INDEX(Sheet1!$A:$J,MATCH('index match'!$D37,Sheet1!$C:$C,0),MATCH('index match'!E$2,Sheet1!$1:$1,0))</f>
        <v>Ryan</v>
      </c>
      <c r="F37">
        <f>INDEX(Sheet1!$A:$J,MATCH('index match'!$D37,Sheet1!$C:$C,0),MATCH('index match'!F$2,Sheet1!$1:$1,0))</f>
        <v>2</v>
      </c>
      <c r="G37" t="str">
        <f>INDEX(Sheet1!$A:$J,MATCH('index match'!$D37,Sheet1!$C:$C,0),MATCH('index match'!G$2,Sheet1!$1:$1,0))</f>
        <v>Young</v>
      </c>
      <c r="K37" t="str">
        <v>Nicole Morgan</v>
      </c>
      <c r="L37" t="str">
        <f>INDEX(Sheet1!$A:$J,MATCH('index match'!$K37,Sheet1!$C:$C,0),MATCH('index match'!L$2,Sheet1!$A$1:$J$1,0))</f>
        <v>Morgan</v>
      </c>
      <c r="M37">
        <f>INDEX(Sheet1!$A:$J,MATCH('index match'!$K37,Sheet1!$C:$C,0),MATCH('index match'!M$2,Sheet1!$A$1:$J$1,0))</f>
        <v>0</v>
      </c>
      <c r="N37" t="str">
        <f>INDEX(Sheet1!$A:$J,MATCH('index match'!$K37,Sheet1!$C:$C,0),MATCH('index match'!N$2,Sheet1!$A$1:$J$1,0))</f>
        <v>Middle Age</v>
      </c>
    </row>
    <row r="38" spans="4:14" x14ac:dyDescent="0.25">
      <c r="D38" t="str">
        <v>Alan Cole</v>
      </c>
      <c r="E38" t="str">
        <f>INDEX(Sheet1!$A:$J,MATCH('index match'!$D38,Sheet1!$C:$C,0),MATCH('index match'!E$2,Sheet1!$1:$1,0))</f>
        <v>Cole</v>
      </c>
      <c r="F38">
        <f>INDEX(Sheet1!$A:$J,MATCH('index match'!$D38,Sheet1!$C:$C,0),MATCH('index match'!F$2,Sheet1!$1:$1,0))</f>
        <v>2</v>
      </c>
      <c r="G38" t="str">
        <f>INDEX(Sheet1!$A:$J,MATCH('index match'!$D38,Sheet1!$C:$C,0),MATCH('index match'!G$2,Sheet1!$1:$1,0))</f>
        <v>Middle Age</v>
      </c>
      <c r="K38" t="str">
        <v>Isabella Perry</v>
      </c>
      <c r="L38" t="str">
        <f>INDEX(Sheet1!$A:$J,MATCH('index match'!$K38,Sheet1!$C:$C,0),MATCH('index match'!L$2,Sheet1!$A$1:$J$1,0))</f>
        <v>Perry</v>
      </c>
      <c r="M38">
        <f>INDEX(Sheet1!$A:$J,MATCH('index match'!$K38,Sheet1!$C:$C,0),MATCH('index match'!M$2,Sheet1!$A$1:$J$1,0))</f>
        <v>5</v>
      </c>
      <c r="N38" t="str">
        <f>INDEX(Sheet1!$A:$J,MATCH('index match'!$K38,Sheet1!$C:$C,0),MATCH('index match'!N$2,Sheet1!$A$1:$J$1,0))</f>
        <v>Middle Age</v>
      </c>
    </row>
    <row r="39" spans="4:14" x14ac:dyDescent="0.25">
      <c r="D39" t="str">
        <v>Eddy Richards</v>
      </c>
      <c r="E39" t="str">
        <f>INDEX(Sheet1!$A:$J,MATCH('index match'!$D39,Sheet1!$C:$C,0),MATCH('index match'!E$2,Sheet1!$1:$1,0))</f>
        <v>Richards</v>
      </c>
      <c r="F39">
        <f>INDEX(Sheet1!$A:$J,MATCH('index match'!$D39,Sheet1!$C:$C,0),MATCH('index match'!F$2,Sheet1!$1:$1,0))</f>
        <v>4</v>
      </c>
      <c r="G39" t="str">
        <f>INDEX(Sheet1!$A:$J,MATCH('index match'!$D39,Sheet1!$C:$C,0),MATCH('index match'!G$2,Sheet1!$1:$1,0))</f>
        <v>Young</v>
      </c>
      <c r="K39" t="str">
        <v>Eric Perkins</v>
      </c>
      <c r="L39" t="str">
        <f>INDEX(Sheet1!$A:$J,MATCH('index match'!$K39,Sheet1!$C:$C,0),MATCH('index match'!L$2,Sheet1!$A$1:$J$1,0))</f>
        <v>Perkins</v>
      </c>
      <c r="M39">
        <f>INDEX(Sheet1!$A:$J,MATCH('index match'!$K39,Sheet1!$C:$C,0),MATCH('index match'!M$2,Sheet1!$A$1:$J$1,0))</f>
        <v>4</v>
      </c>
      <c r="N39" t="str">
        <f>INDEX(Sheet1!$A:$J,MATCH('index match'!$K39,Sheet1!$C:$C,0),MATCH('index match'!N$2,Sheet1!$A$1:$J$1,0))</f>
        <v>Middle Age</v>
      </c>
    </row>
    <row r="40" spans="4:14" x14ac:dyDescent="0.25">
      <c r="D40" t="str">
        <v>Sienna Baker</v>
      </c>
      <c r="E40" t="str">
        <f>INDEX(Sheet1!$A:$J,MATCH('index match'!$D40,Sheet1!$C:$C,0),MATCH('index match'!E$2,Sheet1!$1:$1,0))</f>
        <v>Baker</v>
      </c>
      <c r="F40">
        <f>INDEX(Sheet1!$A:$J,MATCH('index match'!$D40,Sheet1!$C:$C,0),MATCH('index match'!F$2,Sheet1!$1:$1,0))</f>
        <v>1</v>
      </c>
      <c r="G40" t="str">
        <f>INDEX(Sheet1!$A:$J,MATCH('index match'!$D40,Sheet1!$C:$C,0),MATCH('index match'!G$2,Sheet1!$1:$1,0))</f>
        <v>Young</v>
      </c>
      <c r="K40" t="str">
        <v>Samantha Clark</v>
      </c>
      <c r="L40" t="str">
        <f>INDEX(Sheet1!$A:$J,MATCH('index match'!$K40,Sheet1!$C:$C,0),MATCH('index match'!L$2,Sheet1!$A$1:$J$1,0))</f>
        <v>Clark</v>
      </c>
      <c r="M40">
        <f>INDEX(Sheet1!$A:$J,MATCH('index match'!$K40,Sheet1!$C:$C,0),MATCH('index match'!M$2,Sheet1!$A$1:$J$1,0))</f>
        <v>0</v>
      </c>
      <c r="N40" t="str">
        <f>INDEX(Sheet1!$A:$J,MATCH('index match'!$K40,Sheet1!$C:$C,0),MATCH('index match'!N$2,Sheet1!$A$1:$J$1,0))</f>
        <v>Middle Age</v>
      </c>
    </row>
    <row r="41" spans="4:14" x14ac:dyDescent="0.25">
      <c r="D41" t="str">
        <v>Heather Perry</v>
      </c>
      <c r="E41" t="str">
        <f>INDEX(Sheet1!$A:$J,MATCH('index match'!$D41,Sheet1!$C:$C,0),MATCH('index match'!E$2,Sheet1!$1:$1,0))</f>
        <v>Perry</v>
      </c>
      <c r="F41">
        <f>INDEX(Sheet1!$A:$J,MATCH('index match'!$D41,Sheet1!$C:$C,0),MATCH('index match'!F$2,Sheet1!$1:$1,0))</f>
        <v>5</v>
      </c>
      <c r="G41" t="str">
        <f>INDEX(Sheet1!$A:$J,MATCH('index match'!$D41,Sheet1!$C:$C,0),MATCH('index match'!G$2,Sheet1!$1:$1,0))</f>
        <v>Middle Age</v>
      </c>
      <c r="K41" t="str">
        <v>Miranda Douglas</v>
      </c>
      <c r="L41" t="str">
        <f>INDEX(Sheet1!$A:$J,MATCH('index match'!$K41,Sheet1!$C:$C,0),MATCH('index match'!L$2,Sheet1!$A$1:$J$1,0))</f>
        <v>Douglas</v>
      </c>
      <c r="M41">
        <f>INDEX(Sheet1!$A:$J,MATCH('index match'!$K41,Sheet1!$C:$C,0),MATCH('index match'!M$2,Sheet1!$A$1:$J$1,0))</f>
        <v>3</v>
      </c>
      <c r="N41" t="str">
        <f>INDEX(Sheet1!$A:$J,MATCH('index match'!$K41,Sheet1!$C:$C,0),MATCH('index match'!N$2,Sheet1!$A$1:$J$1,0))</f>
        <v>Young</v>
      </c>
    </row>
    <row r="42" spans="4:14" x14ac:dyDescent="0.25">
      <c r="D42" t="str">
        <v>Vanessa Thomas</v>
      </c>
      <c r="E42" t="str">
        <f>INDEX(Sheet1!$A:$J,MATCH('index match'!$D42,Sheet1!$C:$C,0),MATCH('index match'!E$2,Sheet1!$1:$1,0))</f>
        <v>Thomas</v>
      </c>
      <c r="F42">
        <f>INDEX(Sheet1!$A:$J,MATCH('index match'!$D42,Sheet1!$C:$C,0),MATCH('index match'!F$2,Sheet1!$1:$1,0))</f>
        <v>5</v>
      </c>
      <c r="G42" t="str">
        <f>INDEX(Sheet1!$A:$J,MATCH('index match'!$D42,Sheet1!$C:$C,0),MATCH('index match'!G$2,Sheet1!$1:$1,0))</f>
        <v>Old</v>
      </c>
      <c r="K42" t="str">
        <v>Tony Kelley</v>
      </c>
      <c r="L42" t="str">
        <f>INDEX(Sheet1!$A:$J,MATCH('index match'!$K42,Sheet1!$C:$C,0),MATCH('index match'!L$2,Sheet1!$A$1:$J$1,0))</f>
        <v>Kelley</v>
      </c>
      <c r="M42">
        <f>INDEX(Sheet1!$A:$J,MATCH('index match'!$K42,Sheet1!$C:$C,0),MATCH('index match'!M$2,Sheet1!$A$1:$J$1,0))</f>
        <v>2</v>
      </c>
      <c r="N42" t="str">
        <f>INDEX(Sheet1!$A:$J,MATCH('index match'!$K42,Sheet1!$C:$C,0),MATCH('index match'!N$2,Sheet1!$A$1:$J$1,0))</f>
        <v>Middle Age</v>
      </c>
    </row>
    <row r="43" spans="4:14" x14ac:dyDescent="0.25">
      <c r="D43" t="str">
        <v>Haris Ross</v>
      </c>
      <c r="E43" t="str">
        <f>INDEX(Sheet1!$A:$J,MATCH('index match'!$D43,Sheet1!$C:$C,0),MATCH('index match'!E$2,Sheet1!$1:$1,0))</f>
        <v>Ross</v>
      </c>
      <c r="F43">
        <f>INDEX(Sheet1!$A:$J,MATCH('index match'!$D43,Sheet1!$C:$C,0),MATCH('index match'!F$2,Sheet1!$1:$1,0))</f>
        <v>3</v>
      </c>
      <c r="G43" t="str">
        <f>INDEX(Sheet1!$A:$J,MATCH('index match'!$D43,Sheet1!$C:$C,0),MATCH('index match'!G$2,Sheet1!$1:$1,0))</f>
        <v>Young</v>
      </c>
      <c r="K43" t="str">
        <v>Sarah Higgins</v>
      </c>
      <c r="L43" t="str">
        <f>INDEX(Sheet1!$A:$J,MATCH('index match'!$K43,Sheet1!$C:$C,0),MATCH('index match'!L$2,Sheet1!$A$1:$J$1,0))</f>
        <v>Higgins</v>
      </c>
      <c r="M43">
        <f>INDEX(Sheet1!$A:$J,MATCH('index match'!$K43,Sheet1!$C:$C,0),MATCH('index match'!M$2,Sheet1!$A$1:$J$1,0))</f>
        <v>3</v>
      </c>
      <c r="N43" t="str">
        <f>INDEX(Sheet1!$A:$J,MATCH('index match'!$K43,Sheet1!$C:$C,0),MATCH('index match'!N$2,Sheet1!$A$1:$J$1,0))</f>
        <v>Middle Age</v>
      </c>
    </row>
    <row r="44" spans="4:14" x14ac:dyDescent="0.25">
      <c r="D44" t="str">
        <v>Samantha Farrell</v>
      </c>
      <c r="E44" t="str">
        <f>INDEX(Sheet1!$A:$J,MATCH('index match'!$D44,Sheet1!$C:$C,0),MATCH('index match'!E$2,Sheet1!$1:$1,0))</f>
        <v>Farrell</v>
      </c>
      <c r="F44">
        <f>INDEX(Sheet1!$A:$J,MATCH('index match'!$D44,Sheet1!$C:$C,0),MATCH('index match'!F$2,Sheet1!$1:$1,0))</f>
        <v>3</v>
      </c>
      <c r="G44" t="str">
        <f>INDEX(Sheet1!$A:$J,MATCH('index match'!$D44,Sheet1!$C:$C,0),MATCH('index match'!G$2,Sheet1!$1:$1,0))</f>
        <v>Middle Age</v>
      </c>
      <c r="K44" t="str">
        <v>Alen Cunningham</v>
      </c>
      <c r="L44" t="str">
        <f>INDEX(Sheet1!$A:$J,MATCH('index match'!$K44,Sheet1!$C:$C,0),MATCH('index match'!L$2,Sheet1!$A$1:$J$1,0))</f>
        <v>Cunningham</v>
      </c>
      <c r="M44">
        <f>INDEX(Sheet1!$A:$J,MATCH('index match'!$K44,Sheet1!$C:$C,0),MATCH('index match'!M$2,Sheet1!$A$1:$J$1,0))</f>
        <v>1</v>
      </c>
      <c r="N44" t="str">
        <f>INDEX(Sheet1!$A:$J,MATCH('index match'!$K44,Sheet1!$C:$C,0),MATCH('index match'!N$2,Sheet1!$A$1:$J$1,0))</f>
        <v>Middle Age</v>
      </c>
    </row>
    <row r="45" spans="4:14" x14ac:dyDescent="0.25">
      <c r="D45" t="str">
        <v>Mary Kelly</v>
      </c>
      <c r="E45" t="str">
        <f>INDEX(Sheet1!$A:$J,MATCH('index match'!$D45,Sheet1!$C:$C,0),MATCH('index match'!E$2,Sheet1!$1:$1,0))</f>
        <v>Kelly</v>
      </c>
      <c r="F45">
        <f>INDEX(Sheet1!$A:$J,MATCH('index match'!$D45,Sheet1!$C:$C,0),MATCH('index match'!F$2,Sheet1!$1:$1,0))</f>
        <v>5</v>
      </c>
      <c r="G45" t="str">
        <f>INDEX(Sheet1!$A:$J,MATCH('index match'!$D45,Sheet1!$C:$C,0),MATCH('index match'!G$2,Sheet1!$1:$1,0))</f>
        <v>Middle Age</v>
      </c>
      <c r="K45" t="str">
        <v>Michael Higgins</v>
      </c>
      <c r="L45" t="str">
        <f>INDEX(Sheet1!$A:$J,MATCH('index match'!$K45,Sheet1!$C:$C,0),MATCH('index match'!L$2,Sheet1!$A$1:$J$1,0))</f>
        <v>Higgins</v>
      </c>
      <c r="M45">
        <f>INDEX(Sheet1!$A:$J,MATCH('index match'!$K45,Sheet1!$C:$C,0),MATCH('index match'!M$2,Sheet1!$A$1:$J$1,0))</f>
        <v>5</v>
      </c>
      <c r="N45" t="str">
        <f>INDEX(Sheet1!$A:$J,MATCH('index match'!$K45,Sheet1!$C:$C,0),MATCH('index match'!N$2,Sheet1!$A$1:$J$1,0))</f>
        <v>Old</v>
      </c>
    </row>
    <row r="46" spans="4:14" x14ac:dyDescent="0.25">
      <c r="D46" t="str">
        <v>Jacob Harper</v>
      </c>
      <c r="E46" t="str">
        <f>INDEX(Sheet1!$A:$J,MATCH('index match'!$D46,Sheet1!$C:$C,0),MATCH('index match'!E$2,Sheet1!$1:$1,0))</f>
        <v>Harper</v>
      </c>
      <c r="F46">
        <f>INDEX(Sheet1!$A:$J,MATCH('index match'!$D46,Sheet1!$C:$C,0),MATCH('index match'!F$2,Sheet1!$1:$1,0))</f>
        <v>1</v>
      </c>
      <c r="G46" t="str">
        <f>INDEX(Sheet1!$A:$J,MATCH('index match'!$D46,Sheet1!$C:$C,0),MATCH('index match'!G$2,Sheet1!$1:$1,0))</f>
        <v>Young</v>
      </c>
      <c r="K46" t="str">
        <v>Maria Cole</v>
      </c>
      <c r="L46" t="str">
        <f>INDEX(Sheet1!$A:$J,MATCH('index match'!$K46,Sheet1!$C:$C,0),MATCH('index match'!L$2,Sheet1!$A$1:$J$1,0))</f>
        <v>Cole</v>
      </c>
      <c r="M46">
        <f>INDEX(Sheet1!$A:$J,MATCH('index match'!$K46,Sheet1!$C:$C,0),MATCH('index match'!M$2,Sheet1!$A$1:$J$1,0))</f>
        <v>0</v>
      </c>
      <c r="N46" t="str">
        <f>INDEX(Sheet1!$A:$J,MATCH('index match'!$K46,Sheet1!$C:$C,0),MATCH('index match'!N$2,Sheet1!$A$1:$J$1,0))</f>
        <v>Old</v>
      </c>
    </row>
    <row r="47" spans="4:14" x14ac:dyDescent="0.25">
      <c r="D47" t="str">
        <v>Belinda Higgins</v>
      </c>
      <c r="E47" t="str">
        <f>INDEX(Sheet1!$A:$J,MATCH('index match'!$D47,Sheet1!$C:$C,0),MATCH('index match'!E$2,Sheet1!$1:$1,0))</f>
        <v>Higgins</v>
      </c>
      <c r="F47">
        <f>INDEX(Sheet1!$A:$J,MATCH('index match'!$D47,Sheet1!$C:$C,0),MATCH('index match'!F$2,Sheet1!$1:$1,0))</f>
        <v>0</v>
      </c>
      <c r="G47" t="str">
        <f>INDEX(Sheet1!$A:$J,MATCH('index match'!$D47,Sheet1!$C:$C,0),MATCH('index match'!G$2,Sheet1!$1:$1,0))</f>
        <v>Middle Age</v>
      </c>
      <c r="K47" t="str">
        <v>Tara Campbell</v>
      </c>
      <c r="L47" t="str">
        <f>INDEX(Sheet1!$A:$J,MATCH('index match'!$K47,Sheet1!$C:$C,0),MATCH('index match'!L$2,Sheet1!$A$1:$J$1,0))</f>
        <v>Campbell</v>
      </c>
      <c r="M47">
        <f>INDEX(Sheet1!$A:$J,MATCH('index match'!$K47,Sheet1!$C:$C,0),MATCH('index match'!M$2,Sheet1!$A$1:$J$1,0))</f>
        <v>4</v>
      </c>
      <c r="N47" t="str">
        <f>INDEX(Sheet1!$A:$J,MATCH('index match'!$K47,Sheet1!$C:$C,0),MATCH('index match'!N$2,Sheet1!$A$1:$J$1,0))</f>
        <v>Young</v>
      </c>
    </row>
    <row r="48" spans="4:14" x14ac:dyDescent="0.25">
      <c r="D48" t="str">
        <v>Robert Phillips</v>
      </c>
      <c r="E48" t="str">
        <f>INDEX(Sheet1!$A:$J,MATCH('index match'!$D48,Sheet1!$C:$C,0),MATCH('index match'!E$2,Sheet1!$1:$1,0))</f>
        <v>Phillips</v>
      </c>
      <c r="F48">
        <f>INDEX(Sheet1!$A:$J,MATCH('index match'!$D48,Sheet1!$C:$C,0),MATCH('index match'!F$2,Sheet1!$1:$1,0))</f>
        <v>3</v>
      </c>
      <c r="G48" t="str">
        <f>INDEX(Sheet1!$A:$J,MATCH('index match'!$D48,Sheet1!$C:$C,0),MATCH('index match'!G$2,Sheet1!$1:$1,0))</f>
        <v>Young</v>
      </c>
      <c r="K48" t="str">
        <v>Valeria Richardson</v>
      </c>
      <c r="L48" t="str">
        <f>INDEX(Sheet1!$A:$J,MATCH('index match'!$K48,Sheet1!$C:$C,0),MATCH('index match'!L$2,Sheet1!$A$1:$J$1,0))</f>
        <v>Richardson</v>
      </c>
      <c r="M48">
        <f>INDEX(Sheet1!$A:$J,MATCH('index match'!$K48,Sheet1!$C:$C,0),MATCH('index match'!M$2,Sheet1!$A$1:$J$1,0))</f>
        <v>0</v>
      </c>
      <c r="N48" t="str">
        <f>INDEX(Sheet1!$A:$J,MATCH('index match'!$K48,Sheet1!$C:$C,0),MATCH('index match'!N$2,Sheet1!$A$1:$J$1,0))</f>
        <v>Middle Age</v>
      </c>
    </row>
    <row r="49" spans="4:14" x14ac:dyDescent="0.25">
      <c r="D49" t="str">
        <v>Camila Mitchell</v>
      </c>
      <c r="E49" t="str">
        <f>INDEX(Sheet1!$A:$J,MATCH('index match'!$D49,Sheet1!$C:$C,0),MATCH('index match'!E$2,Sheet1!$1:$1,0))</f>
        <v>Mitchell</v>
      </c>
      <c r="F49">
        <f>INDEX(Sheet1!$A:$J,MATCH('index match'!$D49,Sheet1!$C:$C,0),MATCH('index match'!F$2,Sheet1!$1:$1,0))</f>
        <v>5</v>
      </c>
      <c r="G49" t="str">
        <f>INDEX(Sheet1!$A:$J,MATCH('index match'!$D49,Sheet1!$C:$C,0),MATCH('index match'!G$2,Sheet1!$1:$1,0))</f>
        <v>Middle Age</v>
      </c>
      <c r="K49" t="str">
        <v>Andrew Reed</v>
      </c>
      <c r="L49" t="str">
        <f>INDEX(Sheet1!$A:$J,MATCH('index match'!$K49,Sheet1!$C:$C,0),MATCH('index match'!L$2,Sheet1!$A$1:$J$1,0))</f>
        <v>Reed</v>
      </c>
      <c r="M49">
        <f>INDEX(Sheet1!$A:$J,MATCH('index match'!$K49,Sheet1!$C:$C,0),MATCH('index match'!M$2,Sheet1!$A$1:$J$1,0))</f>
        <v>5</v>
      </c>
      <c r="N49" t="str">
        <f>INDEX(Sheet1!$A:$J,MATCH('index match'!$K49,Sheet1!$C:$C,0),MATCH('index match'!N$2,Sheet1!$A$1:$J$1,0))</f>
        <v>Old</v>
      </c>
    </row>
    <row r="50" spans="4:14" x14ac:dyDescent="0.25">
      <c r="D50" t="str">
        <v>Owen Smith</v>
      </c>
      <c r="E50" t="str">
        <f>INDEX(Sheet1!$A:$J,MATCH('index match'!$D50,Sheet1!$C:$C,0),MATCH('index match'!E$2,Sheet1!$1:$1,0))</f>
        <v>Smith</v>
      </c>
      <c r="F50">
        <f>INDEX(Sheet1!$A:$J,MATCH('index match'!$D50,Sheet1!$C:$C,0),MATCH('index match'!F$2,Sheet1!$1:$1,0))</f>
        <v>0</v>
      </c>
      <c r="G50" t="str">
        <f>INDEX(Sheet1!$A:$J,MATCH('index match'!$D50,Sheet1!$C:$C,0),MATCH('index match'!G$2,Sheet1!$1:$1,0))</f>
        <v>Old</v>
      </c>
      <c r="K50" t="str">
        <v>Vincent Hawkins</v>
      </c>
      <c r="L50" t="str">
        <f>INDEX(Sheet1!$A:$J,MATCH('index match'!$K50,Sheet1!$C:$C,0),MATCH('index match'!L$2,Sheet1!$A$1:$J$1,0))</f>
        <v>Hawkins</v>
      </c>
      <c r="M50">
        <f>INDEX(Sheet1!$A:$J,MATCH('index match'!$K50,Sheet1!$C:$C,0),MATCH('index match'!M$2,Sheet1!$A$1:$J$1,0))</f>
        <v>5</v>
      </c>
      <c r="N50" t="str">
        <f>INDEX(Sheet1!$A:$J,MATCH('index match'!$K50,Sheet1!$C:$C,0),MATCH('index match'!N$2,Sheet1!$A$1:$J$1,0))</f>
        <v>Middle Age</v>
      </c>
    </row>
    <row r="51" spans="4:14" x14ac:dyDescent="0.25">
      <c r="D51" t="str">
        <v>Frederick Douglas</v>
      </c>
      <c r="E51" t="str">
        <f>INDEX(Sheet1!$A:$J,MATCH('index match'!$D51,Sheet1!$C:$C,0),MATCH('index match'!E$2,Sheet1!$1:$1,0))</f>
        <v>Douglas</v>
      </c>
      <c r="F51">
        <f>INDEX(Sheet1!$A:$J,MATCH('index match'!$D51,Sheet1!$C:$C,0),MATCH('index match'!F$2,Sheet1!$1:$1,0))</f>
        <v>1</v>
      </c>
      <c r="G51" t="str">
        <f>INDEX(Sheet1!$A:$J,MATCH('index match'!$D51,Sheet1!$C:$C,0),MATCH('index match'!G$2,Sheet1!$1:$1,0))</f>
        <v>Young</v>
      </c>
      <c r="K51" t="str">
        <v>Stella Ferguson</v>
      </c>
      <c r="L51" t="str">
        <f>INDEX(Sheet1!$A:$J,MATCH('index match'!$K51,Sheet1!$C:$C,0),MATCH('index match'!L$2,Sheet1!$A$1:$J$1,0))</f>
        <v>Ferguson</v>
      </c>
      <c r="M51">
        <f>INDEX(Sheet1!$A:$J,MATCH('index match'!$K51,Sheet1!$C:$C,0),MATCH('index match'!M$2,Sheet1!$A$1:$J$1,0))</f>
        <v>5</v>
      </c>
      <c r="N51" t="str">
        <f>INDEX(Sheet1!$A:$J,MATCH('index match'!$K51,Sheet1!$C:$C,0),MATCH('index match'!N$2,Sheet1!$A$1:$J$1,0))</f>
        <v>Middle Age</v>
      </c>
    </row>
    <row r="52" spans="4:14" x14ac:dyDescent="0.25">
      <c r="D52" t="str">
        <v>Ashton Nelson</v>
      </c>
      <c r="E52" t="str">
        <f>INDEX(Sheet1!$A:$J,MATCH('index match'!$D52,Sheet1!$C:$C,0),MATCH('index match'!E$2,Sheet1!$1:$1,0))</f>
        <v>Nelson</v>
      </c>
      <c r="F52">
        <f>INDEX(Sheet1!$A:$J,MATCH('index match'!$D52,Sheet1!$C:$C,0),MATCH('index match'!F$2,Sheet1!$1:$1,0))</f>
        <v>0</v>
      </c>
      <c r="G52" t="str">
        <f>INDEX(Sheet1!$A:$J,MATCH('index match'!$D52,Sheet1!$C:$C,0),MATCH('index match'!G$2,Sheet1!$1:$1,0))</f>
        <v>Middle Age</v>
      </c>
      <c r="K52" t="str">
        <v>Sienna Foster</v>
      </c>
      <c r="L52" t="str">
        <f>INDEX(Sheet1!$A:$J,MATCH('index match'!$K52,Sheet1!$C:$C,0),MATCH('index match'!L$2,Sheet1!$A$1:$J$1,0))</f>
        <v>Foster</v>
      </c>
      <c r="M52">
        <f>INDEX(Sheet1!$A:$J,MATCH('index match'!$K52,Sheet1!$C:$C,0),MATCH('index match'!M$2,Sheet1!$A$1:$J$1,0))</f>
        <v>0</v>
      </c>
      <c r="N52" t="str">
        <f>INDEX(Sheet1!$A:$J,MATCH('index match'!$K52,Sheet1!$C:$C,0),MATCH('index match'!N$2,Sheet1!$A$1:$J$1,0))</f>
        <v>Old</v>
      </c>
    </row>
    <row r="53" spans="4:14" x14ac:dyDescent="0.25">
      <c r="D53" t="str">
        <v>Julia Harrison</v>
      </c>
      <c r="E53" t="str">
        <f>INDEX(Sheet1!$A:$J,MATCH('index match'!$D53,Sheet1!$C:$C,0),MATCH('index match'!E$2,Sheet1!$1:$1,0))</f>
        <v>Harrison</v>
      </c>
      <c r="F53">
        <f>INDEX(Sheet1!$A:$J,MATCH('index match'!$D53,Sheet1!$C:$C,0),MATCH('index match'!F$2,Sheet1!$1:$1,0))</f>
        <v>5</v>
      </c>
      <c r="G53" t="str">
        <f>INDEX(Sheet1!$A:$J,MATCH('index match'!$D53,Sheet1!$C:$C,0),MATCH('index match'!G$2,Sheet1!$1:$1,0))</f>
        <v>Young</v>
      </c>
      <c r="K53" t="str">
        <v>Amanda Brown</v>
      </c>
      <c r="L53" t="str">
        <f>INDEX(Sheet1!$A:$J,MATCH('index match'!$K53,Sheet1!$C:$C,0),MATCH('index match'!L$2,Sheet1!$A$1:$J$1,0))</f>
        <v>Brown</v>
      </c>
      <c r="M53">
        <f>INDEX(Sheet1!$A:$J,MATCH('index match'!$K53,Sheet1!$C:$C,0),MATCH('index match'!M$2,Sheet1!$A$1:$J$1,0))</f>
        <v>4</v>
      </c>
      <c r="N53" t="str">
        <f>INDEX(Sheet1!$A:$J,MATCH('index match'!$K53,Sheet1!$C:$C,0),MATCH('index match'!N$2,Sheet1!$A$1:$J$1,0))</f>
        <v>Old</v>
      </c>
    </row>
    <row r="54" spans="4:14" x14ac:dyDescent="0.25">
      <c r="D54" t="str">
        <v>Jack Scott</v>
      </c>
      <c r="E54" t="str">
        <f>INDEX(Sheet1!$A:$J,MATCH('index match'!$D54,Sheet1!$C:$C,0),MATCH('index match'!E$2,Sheet1!$1:$1,0))</f>
        <v>Scott</v>
      </c>
      <c r="F54">
        <f>INDEX(Sheet1!$A:$J,MATCH('index match'!$D54,Sheet1!$C:$C,0),MATCH('index match'!F$2,Sheet1!$1:$1,0))</f>
        <v>3</v>
      </c>
      <c r="G54" t="str">
        <f>INDEX(Sheet1!$A:$J,MATCH('index match'!$D54,Sheet1!$C:$C,0),MATCH('index match'!G$2,Sheet1!$1:$1,0))</f>
        <v>Young</v>
      </c>
      <c r="K54" t="str">
        <v>Victor Holmes</v>
      </c>
      <c r="L54" t="str">
        <f>INDEX(Sheet1!$A:$J,MATCH('index match'!$K54,Sheet1!$C:$C,0),MATCH('index match'!L$2,Sheet1!$A$1:$J$1,0))</f>
        <v>Holmes</v>
      </c>
      <c r="M54">
        <f>INDEX(Sheet1!$A:$J,MATCH('index match'!$K54,Sheet1!$C:$C,0),MATCH('index match'!M$2,Sheet1!$A$1:$J$1,0))</f>
        <v>1</v>
      </c>
      <c r="N54" t="str">
        <f>INDEX(Sheet1!$A:$J,MATCH('index match'!$K54,Sheet1!$C:$C,0),MATCH('index match'!N$2,Sheet1!$A$1:$J$1,0))</f>
        <v>Middle Age</v>
      </c>
    </row>
    <row r="55" spans="4:14" x14ac:dyDescent="0.25">
      <c r="D55" t="str">
        <v>Florrie Campbell</v>
      </c>
      <c r="E55" t="str">
        <f>INDEX(Sheet1!$A:$J,MATCH('index match'!$D55,Sheet1!$C:$C,0),MATCH('index match'!E$2,Sheet1!$1:$1,0))</f>
        <v>Campbell</v>
      </c>
      <c r="F55">
        <f>INDEX(Sheet1!$A:$J,MATCH('index match'!$D55,Sheet1!$C:$C,0),MATCH('index match'!F$2,Sheet1!$1:$1,0))</f>
        <v>4</v>
      </c>
      <c r="G55" t="str">
        <f>INDEX(Sheet1!$A:$J,MATCH('index match'!$D55,Sheet1!$C:$C,0),MATCH('index match'!G$2,Sheet1!$1:$1,0))</f>
        <v>Middle Age</v>
      </c>
      <c r="K55" t="str">
        <v>Arthur Murray</v>
      </c>
      <c r="L55" t="str">
        <f>INDEX(Sheet1!$A:$J,MATCH('index match'!$K55,Sheet1!$C:$C,0),MATCH('index match'!L$2,Sheet1!$A$1:$J$1,0))</f>
        <v>Murray</v>
      </c>
      <c r="M55">
        <f>INDEX(Sheet1!$A:$J,MATCH('index match'!$K55,Sheet1!$C:$C,0),MATCH('index match'!M$2,Sheet1!$A$1:$J$1,0))</f>
        <v>0</v>
      </c>
      <c r="N55" t="str">
        <f>INDEX(Sheet1!$A:$J,MATCH('index match'!$K55,Sheet1!$C:$C,0),MATCH('index match'!N$2,Sheet1!$A$1:$J$1,0))</f>
        <v>Middle Age</v>
      </c>
    </row>
    <row r="56" spans="4:14" x14ac:dyDescent="0.25">
      <c r="D56" t="str">
        <v>Freddie Owens</v>
      </c>
      <c r="E56" t="str">
        <f>INDEX(Sheet1!$A:$J,MATCH('index match'!$D56,Sheet1!$C:$C,0),MATCH('index match'!E$2,Sheet1!$1:$1,0))</f>
        <v>Owens</v>
      </c>
      <c r="F56">
        <f>INDEX(Sheet1!$A:$J,MATCH('index match'!$D56,Sheet1!$C:$C,0),MATCH('index match'!F$2,Sheet1!$1:$1,0))</f>
        <v>4</v>
      </c>
      <c r="G56" t="str">
        <f>INDEX(Sheet1!$A:$J,MATCH('index match'!$D56,Sheet1!$C:$C,0),MATCH('index match'!G$2,Sheet1!$1:$1,0))</f>
        <v>Middle Age</v>
      </c>
      <c r="K56" t="str">
        <v>Chloe Perry</v>
      </c>
      <c r="L56" t="str">
        <f>INDEX(Sheet1!$A:$J,MATCH('index match'!$K56,Sheet1!$C:$C,0),MATCH('index match'!L$2,Sheet1!$A$1:$J$1,0))</f>
        <v>Perry</v>
      </c>
      <c r="M56">
        <f>INDEX(Sheet1!$A:$J,MATCH('index match'!$K56,Sheet1!$C:$C,0),MATCH('index match'!M$2,Sheet1!$A$1:$J$1,0))</f>
        <v>0</v>
      </c>
      <c r="N56" t="str">
        <f>INDEX(Sheet1!$A:$J,MATCH('index match'!$K56,Sheet1!$C:$C,0),MATCH('index match'!N$2,Sheet1!$A$1:$J$1,0))</f>
        <v>Young</v>
      </c>
    </row>
    <row r="57" spans="4:14" x14ac:dyDescent="0.25">
      <c r="D57" t="str">
        <v>Stuart Cole</v>
      </c>
      <c r="E57" t="str">
        <f>INDEX(Sheet1!$A:$J,MATCH('index match'!$D57,Sheet1!$C:$C,0),MATCH('index match'!E$2,Sheet1!$1:$1,0))</f>
        <v>Cole</v>
      </c>
      <c r="F57">
        <f>INDEX(Sheet1!$A:$J,MATCH('index match'!$D57,Sheet1!$C:$C,0),MATCH('index match'!F$2,Sheet1!$1:$1,0))</f>
        <v>3</v>
      </c>
      <c r="G57" t="str">
        <f>INDEX(Sheet1!$A:$J,MATCH('index match'!$D57,Sheet1!$C:$C,0),MATCH('index match'!G$2,Sheet1!$1:$1,0))</f>
        <v>Young</v>
      </c>
      <c r="K57" t="str">
        <v>Hailey Cooper</v>
      </c>
      <c r="L57" t="str">
        <f>INDEX(Sheet1!$A:$J,MATCH('index match'!$K57,Sheet1!$C:$C,0),MATCH('index match'!L$2,Sheet1!$A$1:$J$1,0))</f>
        <v>Cooper</v>
      </c>
      <c r="M57">
        <f>INDEX(Sheet1!$A:$J,MATCH('index match'!$K57,Sheet1!$C:$C,0),MATCH('index match'!M$2,Sheet1!$A$1:$J$1,0))</f>
        <v>1</v>
      </c>
      <c r="N57" t="str">
        <f>INDEX(Sheet1!$A:$J,MATCH('index match'!$K57,Sheet1!$C:$C,0),MATCH('index match'!N$2,Sheet1!$A$1:$J$1,0))</f>
        <v>Old</v>
      </c>
    </row>
    <row r="58" spans="4:14" x14ac:dyDescent="0.25">
      <c r="D58" t="str">
        <v>Elian Howard</v>
      </c>
      <c r="E58" t="str">
        <f>INDEX(Sheet1!$A:$J,MATCH('index match'!$D58,Sheet1!$C:$C,0),MATCH('index match'!E$2,Sheet1!$1:$1,0))</f>
        <v>Howard</v>
      </c>
      <c r="F58">
        <f>INDEX(Sheet1!$A:$J,MATCH('index match'!$D58,Sheet1!$C:$C,0),MATCH('index match'!F$2,Sheet1!$1:$1,0))</f>
        <v>1</v>
      </c>
      <c r="G58" t="str">
        <f>INDEX(Sheet1!$A:$J,MATCH('index match'!$D58,Sheet1!$C:$C,0),MATCH('index match'!G$2,Sheet1!$1:$1,0))</f>
        <v>Young</v>
      </c>
      <c r="K58" t="str">
        <v>Garry Hall</v>
      </c>
      <c r="L58" t="str">
        <f>INDEX(Sheet1!$A:$J,MATCH('index match'!$K58,Sheet1!$C:$C,0),MATCH('index match'!L$2,Sheet1!$A$1:$J$1,0))</f>
        <v>Hall</v>
      </c>
      <c r="M58">
        <f>INDEX(Sheet1!$A:$J,MATCH('index match'!$K58,Sheet1!$C:$C,0),MATCH('index match'!M$2,Sheet1!$A$1:$J$1,0))</f>
        <v>2</v>
      </c>
      <c r="N58" t="str">
        <f>INDEX(Sheet1!$A:$J,MATCH('index match'!$K58,Sheet1!$C:$C,0),MATCH('index match'!N$2,Sheet1!$A$1:$J$1,0))</f>
        <v>Middle Age</v>
      </c>
    </row>
    <row r="59" spans="4:14" x14ac:dyDescent="0.25">
      <c r="D59" t="str">
        <v>Daryl Allen</v>
      </c>
      <c r="E59" t="str">
        <f>INDEX(Sheet1!$A:$J,MATCH('index match'!$D59,Sheet1!$C:$C,0),MATCH('index match'!E$2,Sheet1!$1:$1,0))</f>
        <v>Allen</v>
      </c>
      <c r="F59">
        <f>INDEX(Sheet1!$A:$J,MATCH('index match'!$D59,Sheet1!$C:$C,0),MATCH('index match'!F$2,Sheet1!$1:$1,0))</f>
        <v>1</v>
      </c>
      <c r="G59" t="str">
        <f>INDEX(Sheet1!$A:$J,MATCH('index match'!$D59,Sheet1!$C:$C,0),MATCH('index match'!G$2,Sheet1!$1:$1,0))</f>
        <v>Young</v>
      </c>
      <c r="K59" t="str">
        <v>Eric Harper</v>
      </c>
      <c r="L59" t="str">
        <f>INDEX(Sheet1!$A:$J,MATCH('index match'!$K59,Sheet1!$C:$C,0),MATCH('index match'!L$2,Sheet1!$A$1:$J$1,0))</f>
        <v>Harper</v>
      </c>
      <c r="M59">
        <f>INDEX(Sheet1!$A:$J,MATCH('index match'!$K59,Sheet1!$C:$C,0),MATCH('index match'!M$2,Sheet1!$A$1:$J$1,0))</f>
        <v>5</v>
      </c>
      <c r="N59" t="str">
        <f>INDEX(Sheet1!$A:$J,MATCH('index match'!$K59,Sheet1!$C:$C,0),MATCH('index match'!N$2,Sheet1!$A$1:$J$1,0))</f>
        <v>Middle Age</v>
      </c>
    </row>
    <row r="60" spans="4:14" x14ac:dyDescent="0.25">
      <c r="D60" t="str">
        <v>Rosie Moore</v>
      </c>
      <c r="E60" t="str">
        <f>INDEX(Sheet1!$A:$J,MATCH('index match'!$D60,Sheet1!$C:$C,0),MATCH('index match'!E$2,Sheet1!$1:$1,0))</f>
        <v>Moore</v>
      </c>
      <c r="F60">
        <f>INDEX(Sheet1!$A:$J,MATCH('index match'!$D60,Sheet1!$C:$C,0),MATCH('index match'!F$2,Sheet1!$1:$1,0))</f>
        <v>2</v>
      </c>
      <c r="G60" t="str">
        <f>INDEX(Sheet1!$A:$J,MATCH('index match'!$D60,Sheet1!$C:$C,0),MATCH('index match'!G$2,Sheet1!$1:$1,0))</f>
        <v>Old</v>
      </c>
      <c r="K60" t="str">
        <v>Edgar Holmes</v>
      </c>
      <c r="L60" t="str">
        <f>INDEX(Sheet1!$A:$J,MATCH('index match'!$K60,Sheet1!$C:$C,0),MATCH('index match'!L$2,Sheet1!$A$1:$J$1,0))</f>
        <v>Holmes</v>
      </c>
      <c r="M60">
        <f>INDEX(Sheet1!$A:$J,MATCH('index match'!$K60,Sheet1!$C:$C,0),MATCH('index match'!M$2,Sheet1!$A$1:$J$1,0))</f>
        <v>2</v>
      </c>
      <c r="N60" t="str">
        <f>INDEX(Sheet1!$A:$J,MATCH('index match'!$K60,Sheet1!$C:$C,0),MATCH('index match'!N$2,Sheet1!$A$1:$J$1,0))</f>
        <v>Young</v>
      </c>
    </row>
    <row r="61" spans="4:14" x14ac:dyDescent="0.25">
      <c r="D61" t="str">
        <v>Catherine Sullivan</v>
      </c>
      <c r="E61" t="str">
        <f>INDEX(Sheet1!$A:$J,MATCH('index match'!$D61,Sheet1!$C:$C,0),MATCH('index match'!E$2,Sheet1!$1:$1,0))</f>
        <v>Sullivan</v>
      </c>
      <c r="F61">
        <f>INDEX(Sheet1!$A:$J,MATCH('index match'!$D61,Sheet1!$C:$C,0),MATCH('index match'!F$2,Sheet1!$1:$1,0))</f>
        <v>3</v>
      </c>
      <c r="G61" t="str">
        <f>INDEX(Sheet1!$A:$J,MATCH('index match'!$D61,Sheet1!$C:$C,0),MATCH('index match'!G$2,Sheet1!$1:$1,0))</f>
        <v>Young</v>
      </c>
      <c r="K61" t="str">
        <v>Arthur Murphy</v>
      </c>
      <c r="L61" t="str">
        <f>INDEX(Sheet1!$A:$J,MATCH('index match'!$K61,Sheet1!$C:$C,0),MATCH('index match'!L$2,Sheet1!$A$1:$J$1,0))</f>
        <v>Murphy</v>
      </c>
      <c r="M61">
        <f>INDEX(Sheet1!$A:$J,MATCH('index match'!$K61,Sheet1!$C:$C,0),MATCH('index match'!M$2,Sheet1!$A$1:$J$1,0))</f>
        <v>5</v>
      </c>
      <c r="N61" t="str">
        <f>INDEX(Sheet1!$A:$J,MATCH('index match'!$K61,Sheet1!$C:$C,0),MATCH('index match'!N$2,Sheet1!$A$1:$J$1,0))</f>
        <v>Young</v>
      </c>
    </row>
    <row r="62" spans="4:14" x14ac:dyDescent="0.25">
      <c r="D62" t="str">
        <v>Alissa Ferguson</v>
      </c>
      <c r="E62" t="str">
        <f>INDEX(Sheet1!$A:$J,MATCH('index match'!$D62,Sheet1!$C:$C,0),MATCH('index match'!E$2,Sheet1!$1:$1,0))</f>
        <v>Ferguson</v>
      </c>
      <c r="F62">
        <f>INDEX(Sheet1!$A:$J,MATCH('index match'!$D62,Sheet1!$C:$C,0),MATCH('index match'!F$2,Sheet1!$1:$1,0))</f>
        <v>0</v>
      </c>
      <c r="G62" t="str">
        <f>INDEX(Sheet1!$A:$J,MATCH('index match'!$D62,Sheet1!$C:$C,0),MATCH('index match'!G$2,Sheet1!$1:$1,0))</f>
        <v>Middle Age</v>
      </c>
      <c r="K62" t="str">
        <v>Oliver Cameron</v>
      </c>
      <c r="L62" t="str">
        <f>INDEX(Sheet1!$A:$J,MATCH('index match'!$K62,Sheet1!$C:$C,0),MATCH('index match'!L$2,Sheet1!$A$1:$J$1,0))</f>
        <v>Cameron</v>
      </c>
      <c r="M62">
        <f>INDEX(Sheet1!$A:$J,MATCH('index match'!$K62,Sheet1!$C:$C,0),MATCH('index match'!M$2,Sheet1!$A$1:$J$1,0))</f>
        <v>2</v>
      </c>
      <c r="N62" t="str">
        <f>INDEX(Sheet1!$A:$J,MATCH('index match'!$K62,Sheet1!$C:$C,0),MATCH('index match'!N$2,Sheet1!$A$1:$J$1,0))</f>
        <v>Middle Age</v>
      </c>
    </row>
    <row r="63" spans="4:14" x14ac:dyDescent="0.25">
      <c r="D63" t="str">
        <v>Jared Foster</v>
      </c>
      <c r="E63" t="str">
        <f>INDEX(Sheet1!$A:$J,MATCH('index match'!$D63,Sheet1!$C:$C,0),MATCH('index match'!E$2,Sheet1!$1:$1,0))</f>
        <v>Foster</v>
      </c>
      <c r="F63">
        <f>INDEX(Sheet1!$A:$J,MATCH('index match'!$D63,Sheet1!$C:$C,0),MATCH('index match'!F$2,Sheet1!$1:$1,0))</f>
        <v>2</v>
      </c>
      <c r="G63" t="str">
        <f>INDEX(Sheet1!$A:$J,MATCH('index match'!$D63,Sheet1!$C:$C,0),MATCH('index match'!G$2,Sheet1!$1:$1,0))</f>
        <v>Middle Age</v>
      </c>
      <c r="K63" t="str">
        <v>Amelia Thomas</v>
      </c>
      <c r="L63" t="str">
        <f>INDEX(Sheet1!$A:$J,MATCH('index match'!$K63,Sheet1!$C:$C,0),MATCH('index match'!L$2,Sheet1!$A$1:$J$1,0))</f>
        <v>Thomas</v>
      </c>
      <c r="M63">
        <f>INDEX(Sheet1!$A:$J,MATCH('index match'!$K63,Sheet1!$C:$C,0),MATCH('index match'!M$2,Sheet1!$A$1:$J$1,0))</f>
        <v>4</v>
      </c>
      <c r="N63" t="str">
        <f>INDEX(Sheet1!$A:$J,MATCH('index match'!$K63,Sheet1!$C:$C,0),MATCH('index match'!N$2,Sheet1!$A$1:$J$1,0))</f>
        <v>Middle Age</v>
      </c>
    </row>
    <row r="64" spans="4:14" x14ac:dyDescent="0.25">
      <c r="D64" t="str">
        <v>Spike Walker</v>
      </c>
      <c r="E64" t="str">
        <f>INDEX(Sheet1!$A:$J,MATCH('index match'!$D64,Sheet1!$C:$C,0),MATCH('index match'!E$2,Sheet1!$1:$1,0))</f>
        <v>Walker</v>
      </c>
      <c r="F64">
        <f>INDEX(Sheet1!$A:$J,MATCH('index match'!$D64,Sheet1!$C:$C,0),MATCH('index match'!F$2,Sheet1!$1:$1,0))</f>
        <v>1</v>
      </c>
      <c r="G64" t="str">
        <f>INDEX(Sheet1!$A:$J,MATCH('index match'!$D64,Sheet1!$C:$C,0),MATCH('index match'!G$2,Sheet1!$1:$1,0))</f>
        <v>Old</v>
      </c>
      <c r="K64" t="str">
        <v>Miranda Tucker</v>
      </c>
      <c r="L64" t="str">
        <f>INDEX(Sheet1!$A:$J,MATCH('index match'!$K64,Sheet1!$C:$C,0),MATCH('index match'!L$2,Sheet1!$A$1:$J$1,0))</f>
        <v>Tucker</v>
      </c>
      <c r="M64">
        <f>INDEX(Sheet1!$A:$J,MATCH('index match'!$K64,Sheet1!$C:$C,0),MATCH('index match'!M$2,Sheet1!$A$1:$J$1,0))</f>
        <v>3</v>
      </c>
      <c r="N64" t="str">
        <f>INDEX(Sheet1!$A:$J,MATCH('index match'!$K64,Sheet1!$C:$C,0),MATCH('index match'!N$2,Sheet1!$A$1:$J$1,0))</f>
        <v>Old</v>
      </c>
    </row>
    <row r="65" spans="4:14" x14ac:dyDescent="0.25">
      <c r="D65" t="str">
        <v>Maddie Hamilton</v>
      </c>
      <c r="E65" t="str">
        <f>INDEX(Sheet1!$A:$J,MATCH('index match'!$D65,Sheet1!$C:$C,0),MATCH('index match'!E$2,Sheet1!$1:$1,0))</f>
        <v>Hamilton</v>
      </c>
      <c r="F65">
        <f>INDEX(Sheet1!$A:$J,MATCH('index match'!$D65,Sheet1!$C:$C,0),MATCH('index match'!F$2,Sheet1!$1:$1,0))</f>
        <v>5</v>
      </c>
      <c r="G65" t="str">
        <f>INDEX(Sheet1!$A:$J,MATCH('index match'!$D65,Sheet1!$C:$C,0),MATCH('index match'!G$2,Sheet1!$1:$1,0))</f>
        <v>Middle Age</v>
      </c>
      <c r="K65" t="str">
        <v>Carina Williams</v>
      </c>
      <c r="L65" t="str">
        <f>INDEX(Sheet1!$A:$J,MATCH('index match'!$K65,Sheet1!$C:$C,0),MATCH('index match'!L$2,Sheet1!$A$1:$J$1,0))</f>
        <v>Williams</v>
      </c>
      <c r="M65">
        <f>INDEX(Sheet1!$A:$J,MATCH('index match'!$K65,Sheet1!$C:$C,0),MATCH('index match'!M$2,Sheet1!$A$1:$J$1,0))</f>
        <v>4</v>
      </c>
      <c r="N65" t="str">
        <f>INDEX(Sheet1!$A:$J,MATCH('index match'!$K65,Sheet1!$C:$C,0),MATCH('index match'!N$2,Sheet1!$A$1:$J$1,0))</f>
        <v>Young</v>
      </c>
    </row>
    <row r="66" spans="4:14" x14ac:dyDescent="0.25">
      <c r="D66" t="str">
        <v>Agata Adams</v>
      </c>
      <c r="E66" t="str">
        <f>INDEX(Sheet1!$A:$J,MATCH('index match'!$D66,Sheet1!$C:$C,0),MATCH('index match'!E$2,Sheet1!$1:$1,0))</f>
        <v>Adams</v>
      </c>
      <c r="F66">
        <f>INDEX(Sheet1!$A:$J,MATCH('index match'!$D66,Sheet1!$C:$C,0),MATCH('index match'!F$2,Sheet1!$1:$1,0))</f>
        <v>0</v>
      </c>
      <c r="G66" t="str">
        <f>INDEX(Sheet1!$A:$J,MATCH('index match'!$D66,Sheet1!$C:$C,0),MATCH('index match'!G$2,Sheet1!$1:$1,0))</f>
        <v>Young</v>
      </c>
      <c r="K66" t="str">
        <v>Arianna Hall</v>
      </c>
      <c r="L66" t="str">
        <f>INDEX(Sheet1!$A:$J,MATCH('index match'!$K66,Sheet1!$C:$C,0),MATCH('index match'!L$2,Sheet1!$A$1:$J$1,0))</f>
        <v>Hall</v>
      </c>
      <c r="M66">
        <f>INDEX(Sheet1!$A:$J,MATCH('index match'!$K66,Sheet1!$C:$C,0),MATCH('index match'!M$2,Sheet1!$A$1:$J$1,0))</f>
        <v>0</v>
      </c>
      <c r="N66" t="str">
        <f>INDEX(Sheet1!$A:$J,MATCH('index match'!$K66,Sheet1!$C:$C,0),MATCH('index match'!N$2,Sheet1!$A$1:$J$1,0))</f>
        <v>Old</v>
      </c>
    </row>
    <row r="67" spans="4:14" x14ac:dyDescent="0.25">
      <c r="D67" t="str">
        <v>Harold Phillips</v>
      </c>
      <c r="E67" t="str">
        <f>INDEX(Sheet1!$A:$J,MATCH('index match'!$D67,Sheet1!$C:$C,0),MATCH('index match'!E$2,Sheet1!$1:$1,0))</f>
        <v>Phillips</v>
      </c>
      <c r="F67">
        <f>INDEX(Sheet1!$A:$J,MATCH('index match'!$D67,Sheet1!$C:$C,0),MATCH('index match'!F$2,Sheet1!$1:$1,0))</f>
        <v>4</v>
      </c>
      <c r="G67" t="str">
        <f>INDEX(Sheet1!$A:$J,MATCH('index match'!$D67,Sheet1!$C:$C,0),MATCH('index match'!G$2,Sheet1!$1:$1,0))</f>
        <v>Old</v>
      </c>
      <c r="K67" t="str">
        <v>Ryan Watson</v>
      </c>
      <c r="L67" t="str">
        <f>INDEX(Sheet1!$A:$J,MATCH('index match'!$K67,Sheet1!$C:$C,0),MATCH('index match'!L$2,Sheet1!$A$1:$J$1,0))</f>
        <v>Watson</v>
      </c>
      <c r="M67">
        <f>INDEX(Sheet1!$A:$J,MATCH('index match'!$K67,Sheet1!$C:$C,0),MATCH('index match'!M$2,Sheet1!$A$1:$J$1,0))</f>
        <v>3</v>
      </c>
      <c r="N67" t="str">
        <f>INDEX(Sheet1!$A:$J,MATCH('index match'!$K67,Sheet1!$C:$C,0),MATCH('index match'!N$2,Sheet1!$A$1:$J$1,0))</f>
        <v>Young</v>
      </c>
    </row>
    <row r="68" spans="4:14" x14ac:dyDescent="0.25">
      <c r="D68" t="str">
        <v>Tiana Howard</v>
      </c>
      <c r="E68" t="str">
        <f>INDEX(Sheet1!$A:$J,MATCH('index match'!$D68,Sheet1!$C:$C,0),MATCH('index match'!E$2,Sheet1!$1:$1,0))</f>
        <v>Howard</v>
      </c>
      <c r="F68">
        <f>INDEX(Sheet1!$A:$J,MATCH('index match'!$D68,Sheet1!$C:$C,0),MATCH('index match'!F$2,Sheet1!$1:$1,0))</f>
        <v>4</v>
      </c>
      <c r="G68" t="str">
        <f>INDEX(Sheet1!$A:$J,MATCH('index match'!$D68,Sheet1!$C:$C,0),MATCH('index match'!G$2,Sheet1!$1:$1,0))</f>
        <v>Middle Age</v>
      </c>
      <c r="K68" t="str">
        <v>David Bailey</v>
      </c>
      <c r="L68" t="str">
        <f>INDEX(Sheet1!$A:$J,MATCH('index match'!$K68,Sheet1!$C:$C,0),MATCH('index match'!L$2,Sheet1!$A$1:$J$1,0))</f>
        <v>Bailey</v>
      </c>
      <c r="M68">
        <f>INDEX(Sheet1!$A:$J,MATCH('index match'!$K68,Sheet1!$C:$C,0),MATCH('index match'!M$2,Sheet1!$A$1:$J$1,0))</f>
        <v>4</v>
      </c>
      <c r="N68" t="str">
        <f>INDEX(Sheet1!$A:$J,MATCH('index match'!$K68,Sheet1!$C:$C,0),MATCH('index match'!N$2,Sheet1!$A$1:$J$1,0))</f>
        <v>Old</v>
      </c>
    </row>
    <row r="69" spans="4:14" x14ac:dyDescent="0.25">
      <c r="D69" t="str">
        <v>Aiden Nelson</v>
      </c>
      <c r="E69" t="str">
        <f>INDEX(Sheet1!$A:$J,MATCH('index match'!$D69,Sheet1!$C:$C,0),MATCH('index match'!E$2,Sheet1!$1:$1,0))</f>
        <v>Nelson</v>
      </c>
      <c r="F69">
        <f>INDEX(Sheet1!$A:$J,MATCH('index match'!$D69,Sheet1!$C:$C,0),MATCH('index match'!F$2,Sheet1!$1:$1,0))</f>
        <v>0</v>
      </c>
      <c r="G69" t="str">
        <f>INDEX(Sheet1!$A:$J,MATCH('index match'!$D69,Sheet1!$C:$C,0),MATCH('index match'!G$2,Sheet1!$1:$1,0))</f>
        <v>Middle Age</v>
      </c>
      <c r="K69" t="str">
        <v>Richard Spencer</v>
      </c>
      <c r="L69" t="str">
        <f>INDEX(Sheet1!$A:$J,MATCH('index match'!$K69,Sheet1!$C:$C,0),MATCH('index match'!L$2,Sheet1!$A$1:$J$1,0))</f>
        <v>Spencer</v>
      </c>
      <c r="M69">
        <f>INDEX(Sheet1!$A:$J,MATCH('index match'!$K69,Sheet1!$C:$C,0),MATCH('index match'!M$2,Sheet1!$A$1:$J$1,0))</f>
        <v>3</v>
      </c>
      <c r="N69" t="str">
        <f>INDEX(Sheet1!$A:$J,MATCH('index match'!$K69,Sheet1!$C:$C,0),MATCH('index match'!N$2,Sheet1!$A$1:$J$1,0))</f>
        <v>Young</v>
      </c>
    </row>
    <row r="70" spans="4:14" x14ac:dyDescent="0.25">
      <c r="D70" t="str">
        <v>Marcus Anderson</v>
      </c>
      <c r="E70" t="str">
        <f>INDEX(Sheet1!$A:$J,MATCH('index match'!$D70,Sheet1!$C:$C,0),MATCH('index match'!E$2,Sheet1!$1:$1,0))</f>
        <v>Anderson</v>
      </c>
      <c r="F70">
        <f>INDEX(Sheet1!$A:$J,MATCH('index match'!$D70,Sheet1!$C:$C,0),MATCH('index match'!F$2,Sheet1!$1:$1,0))</f>
        <v>0</v>
      </c>
      <c r="G70" t="str">
        <f>INDEX(Sheet1!$A:$J,MATCH('index match'!$D70,Sheet1!$C:$C,0),MATCH('index match'!G$2,Sheet1!$1:$1,0))</f>
        <v>Middle Age</v>
      </c>
      <c r="K70" t="str">
        <v>Dominik Miller</v>
      </c>
      <c r="L70" t="str">
        <f>INDEX(Sheet1!$A:$J,MATCH('index match'!$K70,Sheet1!$C:$C,0),MATCH('index match'!L$2,Sheet1!$A$1:$J$1,0))</f>
        <v>Miller</v>
      </c>
      <c r="M70">
        <f>INDEX(Sheet1!$A:$J,MATCH('index match'!$K70,Sheet1!$C:$C,0),MATCH('index match'!M$2,Sheet1!$A$1:$J$1,0))</f>
        <v>2</v>
      </c>
      <c r="N70" t="str">
        <f>INDEX(Sheet1!$A:$J,MATCH('index match'!$K70,Sheet1!$C:$C,0),MATCH('index match'!N$2,Sheet1!$A$1:$J$1,0))</f>
        <v>Old</v>
      </c>
    </row>
    <row r="71" spans="4:14" x14ac:dyDescent="0.25">
      <c r="D71" t="str">
        <v>Brooke Crawford</v>
      </c>
      <c r="E71" t="str">
        <f>INDEX(Sheet1!$A:$J,MATCH('index match'!$D71,Sheet1!$C:$C,0),MATCH('index match'!E$2,Sheet1!$1:$1,0))</f>
        <v>Crawford</v>
      </c>
      <c r="F71">
        <f>INDEX(Sheet1!$A:$J,MATCH('index match'!$D71,Sheet1!$C:$C,0),MATCH('index match'!F$2,Sheet1!$1:$1,0))</f>
        <v>0</v>
      </c>
      <c r="G71" t="str">
        <f>INDEX(Sheet1!$A:$J,MATCH('index match'!$D71,Sheet1!$C:$C,0),MATCH('index match'!G$2,Sheet1!$1:$1,0))</f>
        <v>Middle Age</v>
      </c>
      <c r="K71" t="str">
        <v>Dominik Montgomery</v>
      </c>
      <c r="L71" t="str">
        <f>INDEX(Sheet1!$A:$J,MATCH('index match'!$K71,Sheet1!$C:$C,0),MATCH('index match'!L$2,Sheet1!$A$1:$J$1,0))</f>
        <v>Montgomery</v>
      </c>
      <c r="M71">
        <f>INDEX(Sheet1!$A:$J,MATCH('index match'!$K71,Sheet1!$C:$C,0),MATCH('index match'!M$2,Sheet1!$A$1:$J$1,0))</f>
        <v>1</v>
      </c>
      <c r="N71" t="str">
        <f>INDEX(Sheet1!$A:$J,MATCH('index match'!$K71,Sheet1!$C:$C,0),MATCH('index match'!N$2,Sheet1!$A$1:$J$1,0))</f>
        <v>Young</v>
      </c>
    </row>
    <row r="72" spans="4:14" x14ac:dyDescent="0.25">
      <c r="D72" t="str">
        <v>Isabella Cunningham</v>
      </c>
      <c r="E72" t="str">
        <f>INDEX(Sheet1!$A:$J,MATCH('index match'!$D72,Sheet1!$C:$C,0),MATCH('index match'!E$2,Sheet1!$1:$1,0))</f>
        <v>Cunningham</v>
      </c>
      <c r="F72">
        <f>INDEX(Sheet1!$A:$J,MATCH('index match'!$D72,Sheet1!$C:$C,0),MATCH('index match'!F$2,Sheet1!$1:$1,0))</f>
        <v>4</v>
      </c>
      <c r="G72" t="str">
        <f>INDEX(Sheet1!$A:$J,MATCH('index match'!$D72,Sheet1!$C:$C,0),MATCH('index match'!G$2,Sheet1!$1:$1,0))</f>
        <v>Middle Age</v>
      </c>
      <c r="K72" t="str">
        <v>Jack Brooks</v>
      </c>
      <c r="L72" t="str">
        <f>INDEX(Sheet1!$A:$J,MATCH('index match'!$K72,Sheet1!$C:$C,0),MATCH('index match'!L$2,Sheet1!$A$1:$J$1,0))</f>
        <v>Brooks</v>
      </c>
      <c r="M72">
        <f>INDEX(Sheet1!$A:$J,MATCH('index match'!$K72,Sheet1!$C:$C,0),MATCH('index match'!M$2,Sheet1!$A$1:$J$1,0))</f>
        <v>3</v>
      </c>
      <c r="N72" t="str">
        <f>INDEX(Sheet1!$A:$J,MATCH('index match'!$K72,Sheet1!$C:$C,0),MATCH('index match'!N$2,Sheet1!$A$1:$J$1,0))</f>
        <v>Old</v>
      </c>
    </row>
    <row r="73" spans="4:14" x14ac:dyDescent="0.25">
      <c r="D73" t="str">
        <v>Alexia Crawford</v>
      </c>
      <c r="E73" t="str">
        <f>INDEX(Sheet1!$A:$J,MATCH('index match'!$D73,Sheet1!$C:$C,0),MATCH('index match'!E$2,Sheet1!$1:$1,0))</f>
        <v>Crawford</v>
      </c>
      <c r="F73">
        <f>INDEX(Sheet1!$A:$J,MATCH('index match'!$D73,Sheet1!$C:$C,0),MATCH('index match'!F$2,Sheet1!$1:$1,0))</f>
        <v>4</v>
      </c>
      <c r="G73" t="str">
        <f>INDEX(Sheet1!$A:$J,MATCH('index match'!$D73,Sheet1!$C:$C,0),MATCH('index match'!G$2,Sheet1!$1:$1,0))</f>
        <v>Old</v>
      </c>
      <c r="K73" t="str">
        <v>Eddy Stevens</v>
      </c>
      <c r="L73" t="str">
        <f>INDEX(Sheet1!$A:$J,MATCH('index match'!$K73,Sheet1!$C:$C,0),MATCH('index match'!L$2,Sheet1!$A$1:$J$1,0))</f>
        <v>Stevens</v>
      </c>
      <c r="M73">
        <f>INDEX(Sheet1!$A:$J,MATCH('index match'!$K73,Sheet1!$C:$C,0),MATCH('index match'!M$2,Sheet1!$A$1:$J$1,0))</f>
        <v>0</v>
      </c>
      <c r="N73" t="str">
        <f>INDEX(Sheet1!$A:$J,MATCH('index match'!$K73,Sheet1!$C:$C,0),MATCH('index match'!N$2,Sheet1!$A$1:$J$1,0))</f>
        <v>Old</v>
      </c>
    </row>
    <row r="74" spans="4:14" x14ac:dyDescent="0.25">
      <c r="D74" t="str">
        <v>Savana Carroll</v>
      </c>
      <c r="E74" t="str">
        <f>INDEX(Sheet1!$A:$J,MATCH('index match'!$D74,Sheet1!$C:$C,0),MATCH('index match'!E$2,Sheet1!$1:$1,0))</f>
        <v>Carroll</v>
      </c>
      <c r="F74">
        <f>INDEX(Sheet1!$A:$J,MATCH('index match'!$D74,Sheet1!$C:$C,0),MATCH('index match'!F$2,Sheet1!$1:$1,0))</f>
        <v>5</v>
      </c>
      <c r="G74" t="str">
        <f>INDEX(Sheet1!$A:$J,MATCH('index match'!$D74,Sheet1!$C:$C,0),MATCH('index match'!G$2,Sheet1!$1:$1,0))</f>
        <v>Middle Age</v>
      </c>
      <c r="K74" t="str">
        <v>Fiona Phillips</v>
      </c>
      <c r="L74" t="str">
        <f>INDEX(Sheet1!$A:$J,MATCH('index match'!$K74,Sheet1!$C:$C,0),MATCH('index match'!L$2,Sheet1!$A$1:$J$1,0))</f>
        <v>Phillips</v>
      </c>
      <c r="M74">
        <f>INDEX(Sheet1!$A:$J,MATCH('index match'!$K74,Sheet1!$C:$C,0),MATCH('index match'!M$2,Sheet1!$A$1:$J$1,0))</f>
        <v>0</v>
      </c>
      <c r="N74" t="str">
        <f>INDEX(Sheet1!$A:$J,MATCH('index match'!$K74,Sheet1!$C:$C,0),MATCH('index match'!N$2,Sheet1!$A$1:$J$1,0))</f>
        <v>Middle Age</v>
      </c>
    </row>
    <row r="75" spans="4:14" x14ac:dyDescent="0.25">
      <c r="D75" t="str">
        <v>Lydia Roberts</v>
      </c>
      <c r="E75" t="str">
        <f>INDEX(Sheet1!$A:$J,MATCH('index match'!$D75,Sheet1!$C:$C,0),MATCH('index match'!E$2,Sheet1!$1:$1,0))</f>
        <v>Roberts</v>
      </c>
      <c r="F75">
        <f>INDEX(Sheet1!$A:$J,MATCH('index match'!$D75,Sheet1!$C:$C,0),MATCH('index match'!F$2,Sheet1!$1:$1,0))</f>
        <v>0</v>
      </c>
      <c r="G75" t="str">
        <f>INDEX(Sheet1!$A:$J,MATCH('index match'!$D75,Sheet1!$C:$C,0),MATCH('index match'!G$2,Sheet1!$1:$1,0))</f>
        <v>Young</v>
      </c>
      <c r="K75" t="str">
        <v>Ashton Dixon</v>
      </c>
      <c r="L75" t="str">
        <f>INDEX(Sheet1!$A:$J,MATCH('index match'!$K75,Sheet1!$C:$C,0),MATCH('index match'!L$2,Sheet1!$A$1:$J$1,0))</f>
        <v>Dixon</v>
      </c>
      <c r="M75">
        <f>INDEX(Sheet1!$A:$J,MATCH('index match'!$K75,Sheet1!$C:$C,0),MATCH('index match'!M$2,Sheet1!$A$1:$J$1,0))</f>
        <v>4</v>
      </c>
      <c r="N75" t="str">
        <f>INDEX(Sheet1!$A:$J,MATCH('index match'!$K75,Sheet1!$C:$C,0),MATCH('index match'!N$2,Sheet1!$A$1:$J$1,0))</f>
        <v>Middle Age</v>
      </c>
    </row>
    <row r="76" spans="4:14" x14ac:dyDescent="0.25">
      <c r="D76" t="str">
        <v>Kelvin Hamilton</v>
      </c>
      <c r="E76" t="str">
        <f>INDEX(Sheet1!$A:$J,MATCH('index match'!$D76,Sheet1!$C:$C,0),MATCH('index match'!E$2,Sheet1!$1:$1,0))</f>
        <v>Hamilton</v>
      </c>
      <c r="F76">
        <f>INDEX(Sheet1!$A:$J,MATCH('index match'!$D76,Sheet1!$C:$C,0),MATCH('index match'!F$2,Sheet1!$1:$1,0))</f>
        <v>2</v>
      </c>
      <c r="G76" t="str">
        <f>INDEX(Sheet1!$A:$J,MATCH('index match'!$D76,Sheet1!$C:$C,0),MATCH('index match'!G$2,Sheet1!$1:$1,0))</f>
        <v>Young</v>
      </c>
      <c r="K76" t="str">
        <v>Elian Ferguson</v>
      </c>
      <c r="L76" t="str">
        <f>INDEX(Sheet1!$A:$J,MATCH('index match'!$K76,Sheet1!$C:$C,0),MATCH('index match'!L$2,Sheet1!$A$1:$J$1,0))</f>
        <v>Ferguson</v>
      </c>
      <c r="M76">
        <f>INDEX(Sheet1!$A:$J,MATCH('index match'!$K76,Sheet1!$C:$C,0),MATCH('index match'!M$2,Sheet1!$A$1:$J$1,0))</f>
        <v>5</v>
      </c>
      <c r="N76" t="str">
        <f>INDEX(Sheet1!$A:$J,MATCH('index match'!$K76,Sheet1!$C:$C,0),MATCH('index match'!N$2,Sheet1!$A$1:$J$1,0))</f>
        <v>Old</v>
      </c>
    </row>
    <row r="77" spans="4:14" x14ac:dyDescent="0.25">
      <c r="D77" t="str">
        <v>Daniel Scott</v>
      </c>
      <c r="E77" t="str">
        <f>INDEX(Sheet1!$A:$J,MATCH('index match'!$D77,Sheet1!$C:$C,0),MATCH('index match'!E$2,Sheet1!$1:$1,0))</f>
        <v>Scott</v>
      </c>
      <c r="F77">
        <f>INDEX(Sheet1!$A:$J,MATCH('index match'!$D77,Sheet1!$C:$C,0),MATCH('index match'!F$2,Sheet1!$1:$1,0))</f>
        <v>0</v>
      </c>
      <c r="G77" t="str">
        <f>INDEX(Sheet1!$A:$J,MATCH('index match'!$D77,Sheet1!$C:$C,0),MATCH('index match'!G$2,Sheet1!$1:$1,0))</f>
        <v>Young</v>
      </c>
      <c r="K77" t="str">
        <v>Michael Farrell</v>
      </c>
      <c r="L77" t="str">
        <f>INDEX(Sheet1!$A:$J,MATCH('index match'!$K77,Sheet1!$C:$C,0),MATCH('index match'!L$2,Sheet1!$A$1:$J$1,0))</f>
        <v>Farrell</v>
      </c>
      <c r="M77">
        <f>INDEX(Sheet1!$A:$J,MATCH('index match'!$K77,Sheet1!$C:$C,0),MATCH('index match'!M$2,Sheet1!$A$1:$J$1,0))</f>
        <v>1</v>
      </c>
      <c r="N77" t="str">
        <f>INDEX(Sheet1!$A:$J,MATCH('index match'!$K77,Sheet1!$C:$C,0),MATCH('index match'!N$2,Sheet1!$A$1:$J$1,0))</f>
        <v>Middle Age</v>
      </c>
    </row>
    <row r="78" spans="4:14" x14ac:dyDescent="0.25">
      <c r="D78" t="str">
        <v>Maddie Parker</v>
      </c>
      <c r="E78" t="str">
        <f>INDEX(Sheet1!$A:$J,MATCH('index match'!$D78,Sheet1!$C:$C,0),MATCH('index match'!E$2,Sheet1!$1:$1,0))</f>
        <v>Parker</v>
      </c>
      <c r="F78">
        <f>INDEX(Sheet1!$A:$J,MATCH('index match'!$D78,Sheet1!$C:$C,0),MATCH('index match'!F$2,Sheet1!$1:$1,0))</f>
        <v>1</v>
      </c>
      <c r="G78" t="str">
        <f>INDEX(Sheet1!$A:$J,MATCH('index match'!$D78,Sheet1!$C:$C,0),MATCH('index match'!G$2,Sheet1!$1:$1,0))</f>
        <v>Old</v>
      </c>
      <c r="K78" t="str">
        <v>Ada Hall</v>
      </c>
      <c r="L78" t="str">
        <f>INDEX(Sheet1!$A:$J,MATCH('index match'!$K78,Sheet1!$C:$C,0),MATCH('index match'!L$2,Sheet1!$A$1:$J$1,0))</f>
        <v>Hall</v>
      </c>
      <c r="M78">
        <f>INDEX(Sheet1!$A:$J,MATCH('index match'!$K78,Sheet1!$C:$C,0),MATCH('index match'!M$2,Sheet1!$A$1:$J$1,0))</f>
        <v>5</v>
      </c>
      <c r="N78" t="str">
        <f>INDEX(Sheet1!$A:$J,MATCH('index match'!$K78,Sheet1!$C:$C,0),MATCH('index match'!N$2,Sheet1!$A$1:$J$1,0))</f>
        <v>Middle Age</v>
      </c>
    </row>
    <row r="79" spans="4:14" x14ac:dyDescent="0.25">
      <c r="D79" t="str">
        <v>Aston Ellis</v>
      </c>
      <c r="E79" t="str">
        <f>INDEX(Sheet1!$A:$J,MATCH('index match'!$D79,Sheet1!$C:$C,0),MATCH('index match'!E$2,Sheet1!$1:$1,0))</f>
        <v>Ellis</v>
      </c>
      <c r="F79">
        <f>INDEX(Sheet1!$A:$J,MATCH('index match'!$D79,Sheet1!$C:$C,0),MATCH('index match'!F$2,Sheet1!$1:$1,0))</f>
        <v>4</v>
      </c>
      <c r="G79" t="str">
        <f>INDEX(Sheet1!$A:$J,MATCH('index match'!$D79,Sheet1!$C:$C,0),MATCH('index match'!G$2,Sheet1!$1:$1,0))</f>
        <v>Old</v>
      </c>
      <c r="K79" t="str">
        <v>Myra Grant</v>
      </c>
      <c r="L79" t="str">
        <f>INDEX(Sheet1!$A:$J,MATCH('index match'!$K79,Sheet1!$C:$C,0),MATCH('index match'!L$2,Sheet1!$A$1:$J$1,0))</f>
        <v>Grant</v>
      </c>
      <c r="M79">
        <f>INDEX(Sheet1!$A:$J,MATCH('index match'!$K79,Sheet1!$C:$C,0),MATCH('index match'!M$2,Sheet1!$A$1:$J$1,0))</f>
        <v>2</v>
      </c>
      <c r="N79" t="str">
        <f>INDEX(Sheet1!$A:$J,MATCH('index match'!$K79,Sheet1!$C:$C,0),MATCH('index match'!N$2,Sheet1!$A$1:$J$1,0))</f>
        <v>Middle Age</v>
      </c>
    </row>
    <row r="80" spans="4:14" x14ac:dyDescent="0.25">
      <c r="D80" t="str">
        <v>Tara Howard</v>
      </c>
      <c r="E80" t="str">
        <f>INDEX(Sheet1!$A:$J,MATCH('index match'!$D80,Sheet1!$C:$C,0),MATCH('index match'!E$2,Sheet1!$1:$1,0))</f>
        <v>Howard</v>
      </c>
      <c r="F80">
        <f>INDEX(Sheet1!$A:$J,MATCH('index match'!$D80,Sheet1!$C:$C,0),MATCH('index match'!F$2,Sheet1!$1:$1,0))</f>
        <v>2</v>
      </c>
      <c r="G80" t="str">
        <f>INDEX(Sheet1!$A:$J,MATCH('index match'!$D80,Sheet1!$C:$C,0),MATCH('index match'!G$2,Sheet1!$1:$1,0))</f>
        <v>Middle Age</v>
      </c>
      <c r="K80" t="str">
        <v>Hailey Murphy</v>
      </c>
      <c r="L80" t="str">
        <f>INDEX(Sheet1!$A:$J,MATCH('index match'!$K80,Sheet1!$C:$C,0),MATCH('index match'!L$2,Sheet1!$A$1:$J$1,0))</f>
        <v>Murphy</v>
      </c>
      <c r="M80">
        <f>INDEX(Sheet1!$A:$J,MATCH('index match'!$K80,Sheet1!$C:$C,0),MATCH('index match'!M$2,Sheet1!$A$1:$J$1,0))</f>
        <v>1</v>
      </c>
      <c r="N80" t="str">
        <f>INDEX(Sheet1!$A:$J,MATCH('index match'!$K80,Sheet1!$C:$C,0),MATCH('index match'!N$2,Sheet1!$A$1:$J$1,0))</f>
        <v>Young</v>
      </c>
    </row>
    <row r="81" spans="4:14" x14ac:dyDescent="0.25">
      <c r="D81" t="str">
        <v>Adrian Riley</v>
      </c>
      <c r="E81" t="str">
        <f>INDEX(Sheet1!$A:$J,MATCH('index match'!$D81,Sheet1!$C:$C,0),MATCH('index match'!E$2,Sheet1!$1:$1,0))</f>
        <v>Riley</v>
      </c>
      <c r="F81">
        <f>INDEX(Sheet1!$A:$J,MATCH('index match'!$D81,Sheet1!$C:$C,0),MATCH('index match'!F$2,Sheet1!$1:$1,0))</f>
        <v>0</v>
      </c>
      <c r="G81" t="str">
        <f>INDEX(Sheet1!$A:$J,MATCH('index match'!$D81,Sheet1!$C:$C,0),MATCH('index match'!G$2,Sheet1!$1:$1,0))</f>
        <v>Old</v>
      </c>
      <c r="K81" t="str">
        <v>Paige Moore</v>
      </c>
      <c r="L81" t="str">
        <f>INDEX(Sheet1!$A:$J,MATCH('index match'!$K81,Sheet1!$C:$C,0),MATCH('index match'!L$2,Sheet1!$A$1:$J$1,0))</f>
        <v>Moore</v>
      </c>
      <c r="M81">
        <f>INDEX(Sheet1!$A:$J,MATCH('index match'!$K81,Sheet1!$C:$C,0),MATCH('index match'!M$2,Sheet1!$A$1:$J$1,0))</f>
        <v>4</v>
      </c>
      <c r="N81" t="str">
        <f>INDEX(Sheet1!$A:$J,MATCH('index match'!$K81,Sheet1!$C:$C,0),MATCH('index match'!N$2,Sheet1!$A$1:$J$1,0))</f>
        <v>Middle Age</v>
      </c>
    </row>
    <row r="82" spans="4:14" x14ac:dyDescent="0.25">
      <c r="D82" t="str">
        <v>Michael Turner</v>
      </c>
      <c r="E82" t="str">
        <f>INDEX(Sheet1!$A:$J,MATCH('index match'!$D82,Sheet1!$C:$C,0),MATCH('index match'!E$2,Sheet1!$1:$1,0))</f>
        <v>Turner</v>
      </c>
      <c r="F82">
        <f>INDEX(Sheet1!$A:$J,MATCH('index match'!$D82,Sheet1!$C:$C,0),MATCH('index match'!F$2,Sheet1!$1:$1,0))</f>
        <v>4</v>
      </c>
      <c r="G82" t="str">
        <f>INDEX(Sheet1!$A:$J,MATCH('index match'!$D82,Sheet1!$C:$C,0),MATCH('index match'!G$2,Sheet1!$1:$1,0))</f>
        <v>Middle Age</v>
      </c>
      <c r="K82" t="str">
        <v>Agata Evans</v>
      </c>
      <c r="L82" t="str">
        <f>INDEX(Sheet1!$A:$J,MATCH('index match'!$K82,Sheet1!$C:$C,0),MATCH('index match'!L$2,Sheet1!$A$1:$J$1,0))</f>
        <v>Evans</v>
      </c>
      <c r="M82">
        <f>INDEX(Sheet1!$A:$J,MATCH('index match'!$K82,Sheet1!$C:$C,0),MATCH('index match'!M$2,Sheet1!$A$1:$J$1,0))</f>
        <v>0</v>
      </c>
      <c r="N82" t="str">
        <f>INDEX(Sheet1!$A:$J,MATCH('index match'!$K82,Sheet1!$C:$C,0),MATCH('index match'!N$2,Sheet1!$A$1:$J$1,0))</f>
        <v>Old</v>
      </c>
    </row>
    <row r="83" spans="4:14" x14ac:dyDescent="0.25">
      <c r="D83" t="str">
        <v>Robert Ellis</v>
      </c>
      <c r="E83" t="str">
        <f>INDEX(Sheet1!$A:$J,MATCH('index match'!$D83,Sheet1!$C:$C,0),MATCH('index match'!E$2,Sheet1!$1:$1,0))</f>
        <v>Ellis</v>
      </c>
      <c r="F83">
        <f>INDEX(Sheet1!$A:$J,MATCH('index match'!$D83,Sheet1!$C:$C,0),MATCH('index match'!F$2,Sheet1!$1:$1,0))</f>
        <v>5</v>
      </c>
      <c r="G83" t="str">
        <f>INDEX(Sheet1!$A:$J,MATCH('index match'!$D83,Sheet1!$C:$C,0),MATCH('index match'!G$2,Sheet1!$1:$1,0))</f>
        <v>Middle Age</v>
      </c>
      <c r="K83" t="str">
        <v>Cherry Anderson</v>
      </c>
      <c r="L83" t="str">
        <f>INDEX(Sheet1!$A:$J,MATCH('index match'!$K83,Sheet1!$C:$C,0),MATCH('index match'!L$2,Sheet1!$A$1:$J$1,0))</f>
        <v>Anderson</v>
      </c>
      <c r="M83">
        <f>INDEX(Sheet1!$A:$J,MATCH('index match'!$K83,Sheet1!$C:$C,0),MATCH('index match'!M$2,Sheet1!$A$1:$J$1,0))</f>
        <v>5</v>
      </c>
      <c r="N83" t="str">
        <f>INDEX(Sheet1!$A:$J,MATCH('index match'!$K83,Sheet1!$C:$C,0),MATCH('index match'!N$2,Sheet1!$A$1:$J$1,0))</f>
        <v>Middle Age</v>
      </c>
    </row>
    <row r="84" spans="4:14" x14ac:dyDescent="0.25">
      <c r="D84" t="str">
        <v>Maria Evans</v>
      </c>
      <c r="E84" t="str">
        <f>INDEX(Sheet1!$A:$J,MATCH('index match'!$D84,Sheet1!$C:$C,0),MATCH('index match'!E$2,Sheet1!$1:$1,0))</f>
        <v>Evans</v>
      </c>
      <c r="F84">
        <f>INDEX(Sheet1!$A:$J,MATCH('index match'!$D84,Sheet1!$C:$C,0),MATCH('index match'!F$2,Sheet1!$1:$1,0))</f>
        <v>1</v>
      </c>
      <c r="G84" t="str">
        <f>INDEX(Sheet1!$A:$J,MATCH('index match'!$D84,Sheet1!$C:$C,0),MATCH('index match'!G$2,Sheet1!$1:$1,0))</f>
        <v>Old</v>
      </c>
      <c r="K84" t="str">
        <v>Freddie Anderson</v>
      </c>
      <c r="L84" t="str">
        <f>INDEX(Sheet1!$A:$J,MATCH('index match'!$K84,Sheet1!$C:$C,0),MATCH('index match'!L$2,Sheet1!$A$1:$J$1,0))</f>
        <v>Anderson</v>
      </c>
      <c r="M84">
        <f>INDEX(Sheet1!$A:$J,MATCH('index match'!$K84,Sheet1!$C:$C,0),MATCH('index match'!M$2,Sheet1!$A$1:$J$1,0))</f>
        <v>4</v>
      </c>
      <c r="N84" t="str">
        <f>INDEX(Sheet1!$A:$J,MATCH('index match'!$K84,Sheet1!$C:$C,0),MATCH('index match'!N$2,Sheet1!$A$1:$J$1,0))</f>
        <v>Middle Age</v>
      </c>
    </row>
    <row r="85" spans="4:14" x14ac:dyDescent="0.25">
      <c r="D85" t="str">
        <v>Max Edwards</v>
      </c>
      <c r="E85" t="str">
        <f>INDEX(Sheet1!$A:$J,MATCH('index match'!$D85,Sheet1!$C:$C,0),MATCH('index match'!E$2,Sheet1!$1:$1,0))</f>
        <v>Edwards</v>
      </c>
      <c r="F85">
        <f>INDEX(Sheet1!$A:$J,MATCH('index match'!$D85,Sheet1!$C:$C,0),MATCH('index match'!F$2,Sheet1!$1:$1,0))</f>
        <v>4</v>
      </c>
      <c r="G85" t="str">
        <f>INDEX(Sheet1!$A:$J,MATCH('index match'!$D85,Sheet1!$C:$C,0),MATCH('index match'!G$2,Sheet1!$1:$1,0))</f>
        <v>Young</v>
      </c>
      <c r="K85" t="str">
        <v>Catherine Hill</v>
      </c>
      <c r="L85" t="str">
        <f>INDEX(Sheet1!$A:$J,MATCH('index match'!$K85,Sheet1!$C:$C,0),MATCH('index match'!L$2,Sheet1!$A$1:$J$1,0))</f>
        <v>Hill</v>
      </c>
      <c r="M85">
        <f>INDEX(Sheet1!$A:$J,MATCH('index match'!$K85,Sheet1!$C:$C,0),MATCH('index match'!M$2,Sheet1!$A$1:$J$1,0))</f>
        <v>5</v>
      </c>
      <c r="N85" t="str">
        <f>INDEX(Sheet1!$A:$J,MATCH('index match'!$K85,Sheet1!$C:$C,0),MATCH('index match'!N$2,Sheet1!$A$1:$J$1,0))</f>
        <v>Young</v>
      </c>
    </row>
    <row r="86" spans="4:14" x14ac:dyDescent="0.25">
      <c r="D86" t="str">
        <v>Roman Farrell</v>
      </c>
      <c r="E86" t="str">
        <f>INDEX(Sheet1!$A:$J,MATCH('index match'!$D86,Sheet1!$C:$C,0),MATCH('index match'!E$2,Sheet1!$1:$1,0))</f>
        <v>Farrell</v>
      </c>
      <c r="F86">
        <f>INDEX(Sheet1!$A:$J,MATCH('index match'!$D86,Sheet1!$C:$C,0),MATCH('index match'!F$2,Sheet1!$1:$1,0))</f>
        <v>1</v>
      </c>
      <c r="G86" t="str">
        <f>INDEX(Sheet1!$A:$J,MATCH('index match'!$D86,Sheet1!$C:$C,0),MATCH('index match'!G$2,Sheet1!$1:$1,0))</f>
        <v>Old</v>
      </c>
      <c r="K86" t="str">
        <v>Vivian Edwards</v>
      </c>
      <c r="L86" t="str">
        <f>INDEX(Sheet1!$A:$J,MATCH('index match'!$K86,Sheet1!$C:$C,0),MATCH('index match'!L$2,Sheet1!$A$1:$J$1,0))</f>
        <v>Edwards</v>
      </c>
      <c r="M86">
        <f>INDEX(Sheet1!$A:$J,MATCH('index match'!$K86,Sheet1!$C:$C,0),MATCH('index match'!M$2,Sheet1!$A$1:$J$1,0))</f>
        <v>5</v>
      </c>
      <c r="N86" t="str">
        <f>INDEX(Sheet1!$A:$J,MATCH('index match'!$K86,Sheet1!$C:$C,0),MATCH('index match'!N$2,Sheet1!$A$1:$J$1,0))</f>
        <v>Middle Age</v>
      </c>
    </row>
    <row r="87" spans="4:14" x14ac:dyDescent="0.25">
      <c r="D87" t="str">
        <v>Daniel Richards</v>
      </c>
      <c r="E87" t="str">
        <f>INDEX(Sheet1!$A:$J,MATCH('index match'!$D87,Sheet1!$C:$C,0),MATCH('index match'!E$2,Sheet1!$1:$1,0))</f>
        <v>Richards</v>
      </c>
      <c r="F87">
        <f>INDEX(Sheet1!$A:$J,MATCH('index match'!$D87,Sheet1!$C:$C,0),MATCH('index match'!F$2,Sheet1!$1:$1,0))</f>
        <v>4</v>
      </c>
      <c r="G87" t="str">
        <f>INDEX(Sheet1!$A:$J,MATCH('index match'!$D87,Sheet1!$C:$C,0),MATCH('index match'!G$2,Sheet1!$1:$1,0))</f>
        <v>Young</v>
      </c>
      <c r="K87" t="str">
        <v>Lilianna Morrison</v>
      </c>
      <c r="L87" t="str">
        <f>INDEX(Sheet1!$A:$J,MATCH('index match'!$K87,Sheet1!$C:$C,0),MATCH('index match'!L$2,Sheet1!$A$1:$J$1,0))</f>
        <v>Morrison</v>
      </c>
      <c r="M87">
        <f>INDEX(Sheet1!$A:$J,MATCH('index match'!$K87,Sheet1!$C:$C,0),MATCH('index match'!M$2,Sheet1!$A$1:$J$1,0))</f>
        <v>4</v>
      </c>
      <c r="N87" t="str">
        <f>INDEX(Sheet1!$A:$J,MATCH('index match'!$K87,Sheet1!$C:$C,0),MATCH('index match'!N$2,Sheet1!$A$1:$J$1,0))</f>
        <v>Old</v>
      </c>
    </row>
    <row r="88" spans="4:14" x14ac:dyDescent="0.25">
      <c r="D88" t="str">
        <v>Bruce Carter</v>
      </c>
      <c r="E88" t="str">
        <f>INDEX(Sheet1!$A:$J,MATCH('index match'!$D88,Sheet1!$C:$C,0),MATCH('index match'!E$2,Sheet1!$1:$1,0))</f>
        <v>Carter</v>
      </c>
      <c r="F88">
        <f>INDEX(Sheet1!$A:$J,MATCH('index match'!$D88,Sheet1!$C:$C,0),MATCH('index match'!F$2,Sheet1!$1:$1,0))</f>
        <v>2</v>
      </c>
      <c r="G88" t="str">
        <f>INDEX(Sheet1!$A:$J,MATCH('index match'!$D88,Sheet1!$C:$C,0),MATCH('index match'!G$2,Sheet1!$1:$1,0))</f>
        <v>Young</v>
      </c>
      <c r="K88" t="str">
        <v>Henry Gray</v>
      </c>
      <c r="L88" t="str">
        <f>INDEX(Sheet1!$A:$J,MATCH('index match'!$K88,Sheet1!$C:$C,0),MATCH('index match'!L$2,Sheet1!$A$1:$J$1,0))</f>
        <v>Gray</v>
      </c>
      <c r="M88">
        <f>INDEX(Sheet1!$A:$J,MATCH('index match'!$K88,Sheet1!$C:$C,0),MATCH('index match'!M$2,Sheet1!$A$1:$J$1,0))</f>
        <v>5</v>
      </c>
      <c r="N88" t="str">
        <f>INDEX(Sheet1!$A:$J,MATCH('index match'!$K88,Sheet1!$C:$C,0),MATCH('index match'!N$2,Sheet1!$A$1:$J$1,0))</f>
        <v>Middle Age</v>
      </c>
    </row>
    <row r="89" spans="4:14" x14ac:dyDescent="0.25">
      <c r="D89" t="str">
        <v>Tiana Williams</v>
      </c>
      <c r="E89" t="str">
        <f>INDEX(Sheet1!$A:$J,MATCH('index match'!$D89,Sheet1!$C:$C,0),MATCH('index match'!E$2,Sheet1!$1:$1,0))</f>
        <v>Williams</v>
      </c>
      <c r="F89">
        <f>INDEX(Sheet1!$A:$J,MATCH('index match'!$D89,Sheet1!$C:$C,0),MATCH('index match'!F$2,Sheet1!$1:$1,0))</f>
        <v>1</v>
      </c>
      <c r="G89" t="str">
        <f>INDEX(Sheet1!$A:$J,MATCH('index match'!$D89,Sheet1!$C:$C,0),MATCH('index match'!G$2,Sheet1!$1:$1,0))</f>
        <v>Young</v>
      </c>
      <c r="K89" t="str">
        <v>Dominik Dixon</v>
      </c>
      <c r="L89" t="str">
        <f>INDEX(Sheet1!$A:$J,MATCH('index match'!$K89,Sheet1!$C:$C,0),MATCH('index match'!L$2,Sheet1!$A$1:$J$1,0))</f>
        <v>Dixon</v>
      </c>
      <c r="M89">
        <f>INDEX(Sheet1!$A:$J,MATCH('index match'!$K89,Sheet1!$C:$C,0),MATCH('index match'!M$2,Sheet1!$A$1:$J$1,0))</f>
        <v>0</v>
      </c>
      <c r="N89" t="str">
        <f>INDEX(Sheet1!$A:$J,MATCH('index match'!$K89,Sheet1!$C:$C,0),MATCH('index match'!N$2,Sheet1!$A$1:$J$1,0))</f>
        <v>Old</v>
      </c>
    </row>
    <row r="90" spans="4:14" x14ac:dyDescent="0.25">
      <c r="D90" t="str">
        <v>Deanna Spencer</v>
      </c>
      <c r="E90" t="str">
        <f>INDEX(Sheet1!$A:$J,MATCH('index match'!$D90,Sheet1!$C:$C,0),MATCH('index match'!E$2,Sheet1!$1:$1,0))</f>
        <v>Spencer</v>
      </c>
      <c r="F90">
        <f>INDEX(Sheet1!$A:$J,MATCH('index match'!$D90,Sheet1!$C:$C,0),MATCH('index match'!F$2,Sheet1!$1:$1,0))</f>
        <v>5</v>
      </c>
      <c r="G90" t="str">
        <f>INDEX(Sheet1!$A:$J,MATCH('index match'!$D90,Sheet1!$C:$C,0),MATCH('index match'!G$2,Sheet1!$1:$1,0))</f>
        <v>Old</v>
      </c>
      <c r="K90" t="str">
        <v>Rebecca Martin</v>
      </c>
      <c r="L90" t="str">
        <f>INDEX(Sheet1!$A:$J,MATCH('index match'!$K90,Sheet1!$C:$C,0),MATCH('index match'!L$2,Sheet1!$A$1:$J$1,0))</f>
        <v>Martin</v>
      </c>
      <c r="M90">
        <f>INDEX(Sheet1!$A:$J,MATCH('index match'!$K90,Sheet1!$C:$C,0),MATCH('index match'!M$2,Sheet1!$A$1:$J$1,0))</f>
        <v>0</v>
      </c>
      <c r="N90" t="str">
        <f>INDEX(Sheet1!$A:$J,MATCH('index match'!$K90,Sheet1!$C:$C,0),MATCH('index match'!N$2,Sheet1!$A$1:$J$1,0))</f>
        <v>Middle Age</v>
      </c>
    </row>
    <row r="91" spans="4:14" x14ac:dyDescent="0.25">
      <c r="D91" t="str">
        <v>Arthur Nelson</v>
      </c>
      <c r="E91" t="str">
        <f>INDEX(Sheet1!$A:$J,MATCH('index match'!$D91,Sheet1!$C:$C,0),MATCH('index match'!E$2,Sheet1!$1:$1,0))</f>
        <v>Nelson</v>
      </c>
      <c r="F91">
        <f>INDEX(Sheet1!$A:$J,MATCH('index match'!$D91,Sheet1!$C:$C,0),MATCH('index match'!F$2,Sheet1!$1:$1,0))</f>
        <v>5</v>
      </c>
      <c r="G91" t="str">
        <f>INDEX(Sheet1!$A:$J,MATCH('index match'!$D91,Sheet1!$C:$C,0),MATCH('index match'!G$2,Sheet1!$1:$1,0))</f>
        <v>Old</v>
      </c>
      <c r="K91" t="str">
        <v>Jordan Farrell</v>
      </c>
      <c r="L91" t="str">
        <f>INDEX(Sheet1!$A:$J,MATCH('index match'!$K91,Sheet1!$C:$C,0),MATCH('index match'!L$2,Sheet1!$A$1:$J$1,0))</f>
        <v>Farrell</v>
      </c>
      <c r="M91">
        <f>INDEX(Sheet1!$A:$J,MATCH('index match'!$K91,Sheet1!$C:$C,0),MATCH('index match'!M$2,Sheet1!$A$1:$J$1,0))</f>
        <v>0</v>
      </c>
      <c r="N91" t="str">
        <f>INDEX(Sheet1!$A:$J,MATCH('index match'!$K91,Sheet1!$C:$C,0),MATCH('index match'!N$2,Sheet1!$A$1:$J$1,0))</f>
        <v>Young</v>
      </c>
    </row>
    <row r="92" spans="4:14" x14ac:dyDescent="0.25">
      <c r="D92" t="str">
        <v>Thomas Roberts</v>
      </c>
      <c r="E92" t="str">
        <f>INDEX(Sheet1!$A:$J,MATCH('index match'!$D92,Sheet1!$C:$C,0),MATCH('index match'!E$2,Sheet1!$1:$1,0))</f>
        <v>Roberts</v>
      </c>
      <c r="F92">
        <f>INDEX(Sheet1!$A:$J,MATCH('index match'!$D92,Sheet1!$C:$C,0),MATCH('index match'!F$2,Sheet1!$1:$1,0))</f>
        <v>4</v>
      </c>
      <c r="G92" t="str">
        <f>INDEX(Sheet1!$A:$J,MATCH('index match'!$D92,Sheet1!$C:$C,0),MATCH('index match'!G$2,Sheet1!$1:$1,0))</f>
        <v>Middle Age</v>
      </c>
      <c r="K92" t="str">
        <v>Honey Grant</v>
      </c>
      <c r="L92" t="str">
        <f>INDEX(Sheet1!$A:$J,MATCH('index match'!$K92,Sheet1!$C:$C,0),MATCH('index match'!L$2,Sheet1!$A$1:$J$1,0))</f>
        <v>Grant</v>
      </c>
      <c r="M92">
        <f>INDEX(Sheet1!$A:$J,MATCH('index match'!$K92,Sheet1!$C:$C,0),MATCH('index match'!M$2,Sheet1!$A$1:$J$1,0))</f>
        <v>2</v>
      </c>
      <c r="N92" t="str">
        <f>INDEX(Sheet1!$A:$J,MATCH('index match'!$K92,Sheet1!$C:$C,0),MATCH('index match'!N$2,Sheet1!$A$1:$J$1,0))</f>
        <v>Middle Age</v>
      </c>
    </row>
    <row r="93" spans="4:14" x14ac:dyDescent="0.25">
      <c r="D93" t="str">
        <v>Alen Johnson</v>
      </c>
      <c r="E93" t="str">
        <f>INDEX(Sheet1!$A:$J,MATCH('index match'!$D93,Sheet1!$C:$C,0),MATCH('index match'!E$2,Sheet1!$1:$1,0))</f>
        <v>Johnson</v>
      </c>
      <c r="F93">
        <f>INDEX(Sheet1!$A:$J,MATCH('index match'!$D93,Sheet1!$C:$C,0),MATCH('index match'!F$2,Sheet1!$1:$1,0))</f>
        <v>2</v>
      </c>
      <c r="G93" t="str">
        <f>INDEX(Sheet1!$A:$J,MATCH('index match'!$D93,Sheet1!$C:$C,0),MATCH('index match'!G$2,Sheet1!$1:$1,0))</f>
        <v>Old</v>
      </c>
      <c r="K93" t="str">
        <v>Vanessa Wright</v>
      </c>
      <c r="L93" t="str">
        <f>INDEX(Sheet1!$A:$J,MATCH('index match'!$K93,Sheet1!$C:$C,0),MATCH('index match'!L$2,Sheet1!$A$1:$J$1,0))</f>
        <v>Wright</v>
      </c>
      <c r="M93">
        <f>INDEX(Sheet1!$A:$J,MATCH('index match'!$K93,Sheet1!$C:$C,0),MATCH('index match'!M$2,Sheet1!$A$1:$J$1,0))</f>
        <v>1</v>
      </c>
      <c r="N93" t="str">
        <f>INDEX(Sheet1!$A:$J,MATCH('index match'!$K93,Sheet1!$C:$C,0),MATCH('index match'!N$2,Sheet1!$A$1:$J$1,0))</f>
        <v>Middle Age</v>
      </c>
    </row>
    <row r="94" spans="4:14" x14ac:dyDescent="0.25">
      <c r="D94" t="str">
        <v>Tiana Ross</v>
      </c>
      <c r="E94" t="str">
        <f>INDEX(Sheet1!$A:$J,MATCH('index match'!$D94,Sheet1!$C:$C,0),MATCH('index match'!E$2,Sheet1!$1:$1,0))</f>
        <v>Ross</v>
      </c>
      <c r="F94">
        <f>INDEX(Sheet1!$A:$J,MATCH('index match'!$D94,Sheet1!$C:$C,0),MATCH('index match'!F$2,Sheet1!$1:$1,0))</f>
        <v>2</v>
      </c>
      <c r="G94" t="str">
        <f>INDEX(Sheet1!$A:$J,MATCH('index match'!$D94,Sheet1!$C:$C,0),MATCH('index match'!G$2,Sheet1!$1:$1,0))</f>
        <v>Middle Age</v>
      </c>
      <c r="K94" t="str">
        <v>James Scott</v>
      </c>
      <c r="L94" t="str">
        <f>INDEX(Sheet1!$A:$J,MATCH('index match'!$K94,Sheet1!$C:$C,0),MATCH('index match'!L$2,Sheet1!$A$1:$J$1,0))</f>
        <v>Scott</v>
      </c>
      <c r="M94">
        <f>INDEX(Sheet1!$A:$J,MATCH('index match'!$K94,Sheet1!$C:$C,0),MATCH('index match'!M$2,Sheet1!$A$1:$J$1,0))</f>
        <v>0</v>
      </c>
      <c r="N94" t="str">
        <f>INDEX(Sheet1!$A:$J,MATCH('index match'!$K94,Sheet1!$C:$C,0),MATCH('index match'!N$2,Sheet1!$A$1:$J$1,0))</f>
        <v>Old</v>
      </c>
    </row>
    <row r="95" spans="4:14" x14ac:dyDescent="0.25">
      <c r="D95" t="str">
        <v>Kristian Hunt</v>
      </c>
      <c r="E95" t="str">
        <f>INDEX(Sheet1!$A:$J,MATCH('index match'!$D95,Sheet1!$C:$C,0),MATCH('index match'!E$2,Sheet1!$1:$1,0))</f>
        <v>Hunt</v>
      </c>
      <c r="F95">
        <f>INDEX(Sheet1!$A:$J,MATCH('index match'!$D95,Sheet1!$C:$C,0),MATCH('index match'!F$2,Sheet1!$1:$1,0))</f>
        <v>5</v>
      </c>
      <c r="G95" t="str">
        <f>INDEX(Sheet1!$A:$J,MATCH('index match'!$D95,Sheet1!$C:$C,0),MATCH('index match'!G$2,Sheet1!$1:$1,0))</f>
        <v>Young</v>
      </c>
      <c r="K95" t="str">
        <v>Audrey Watson</v>
      </c>
      <c r="L95" t="str">
        <f>INDEX(Sheet1!$A:$J,MATCH('index match'!$K95,Sheet1!$C:$C,0),MATCH('index match'!L$2,Sheet1!$A$1:$J$1,0))</f>
        <v>Watson</v>
      </c>
      <c r="M95">
        <f>INDEX(Sheet1!$A:$J,MATCH('index match'!$K95,Sheet1!$C:$C,0),MATCH('index match'!M$2,Sheet1!$A$1:$J$1,0))</f>
        <v>2</v>
      </c>
      <c r="N95" t="str">
        <f>INDEX(Sheet1!$A:$J,MATCH('index match'!$K95,Sheet1!$C:$C,0),MATCH('index match'!N$2,Sheet1!$A$1:$J$1,0))</f>
        <v>Old</v>
      </c>
    </row>
    <row r="96" spans="4:14" x14ac:dyDescent="0.25">
      <c r="D96" t="str">
        <v>Adelaide Farrell</v>
      </c>
      <c r="E96" t="str">
        <f>INDEX(Sheet1!$A:$J,MATCH('index match'!$D96,Sheet1!$C:$C,0),MATCH('index match'!E$2,Sheet1!$1:$1,0))</f>
        <v>Farrell</v>
      </c>
      <c r="F96">
        <f>INDEX(Sheet1!$A:$J,MATCH('index match'!$D96,Sheet1!$C:$C,0),MATCH('index match'!F$2,Sheet1!$1:$1,0))</f>
        <v>3</v>
      </c>
      <c r="G96" t="str">
        <f>INDEX(Sheet1!$A:$J,MATCH('index match'!$D96,Sheet1!$C:$C,0),MATCH('index match'!G$2,Sheet1!$1:$1,0))</f>
        <v>Middle Age</v>
      </c>
      <c r="K96" t="str">
        <v>Roland Murphy</v>
      </c>
      <c r="L96" t="str">
        <f>INDEX(Sheet1!$A:$J,MATCH('index match'!$K96,Sheet1!$C:$C,0),MATCH('index match'!L$2,Sheet1!$A$1:$J$1,0))</f>
        <v>Murphy</v>
      </c>
      <c r="M96">
        <f>INDEX(Sheet1!$A:$J,MATCH('index match'!$K96,Sheet1!$C:$C,0),MATCH('index match'!M$2,Sheet1!$A$1:$J$1,0))</f>
        <v>1</v>
      </c>
      <c r="N96" t="str">
        <f>INDEX(Sheet1!$A:$J,MATCH('index match'!$K96,Sheet1!$C:$C,0),MATCH('index match'!N$2,Sheet1!$A$1:$J$1,0))</f>
        <v>Young</v>
      </c>
    </row>
    <row r="97" spans="4:14" x14ac:dyDescent="0.25">
      <c r="D97" t="str">
        <v>James Owens</v>
      </c>
      <c r="E97" t="str">
        <f>INDEX(Sheet1!$A:$J,MATCH('index match'!$D97,Sheet1!$C:$C,0),MATCH('index match'!E$2,Sheet1!$1:$1,0))</f>
        <v>Owens</v>
      </c>
      <c r="F97">
        <f>INDEX(Sheet1!$A:$J,MATCH('index match'!$D97,Sheet1!$C:$C,0),MATCH('index match'!F$2,Sheet1!$1:$1,0))</f>
        <v>5</v>
      </c>
      <c r="G97" t="str">
        <f>INDEX(Sheet1!$A:$J,MATCH('index match'!$D97,Sheet1!$C:$C,0),MATCH('index match'!G$2,Sheet1!$1:$1,0))</f>
        <v>Old</v>
      </c>
      <c r="K97" t="str">
        <v>Alan Dixon</v>
      </c>
      <c r="L97" t="str">
        <f>INDEX(Sheet1!$A:$J,MATCH('index match'!$K97,Sheet1!$C:$C,0),MATCH('index match'!L$2,Sheet1!$A$1:$J$1,0))</f>
        <v>Dixon</v>
      </c>
      <c r="M97">
        <f>INDEX(Sheet1!$A:$J,MATCH('index match'!$K97,Sheet1!$C:$C,0),MATCH('index match'!M$2,Sheet1!$A$1:$J$1,0))</f>
        <v>3</v>
      </c>
      <c r="N97" t="str">
        <f>INDEX(Sheet1!$A:$J,MATCH('index match'!$K97,Sheet1!$C:$C,0),MATCH('index match'!N$2,Sheet1!$A$1:$J$1,0))</f>
        <v>Young</v>
      </c>
    </row>
    <row r="98" spans="4:14" x14ac:dyDescent="0.25">
      <c r="D98" t="str">
        <v>Lyndon Adams</v>
      </c>
      <c r="E98" t="str">
        <f>INDEX(Sheet1!$A:$J,MATCH('index match'!$D98,Sheet1!$C:$C,0),MATCH('index match'!E$2,Sheet1!$1:$1,0))</f>
        <v>Adams</v>
      </c>
      <c r="F98">
        <f>INDEX(Sheet1!$A:$J,MATCH('index match'!$D98,Sheet1!$C:$C,0),MATCH('index match'!F$2,Sheet1!$1:$1,0))</f>
        <v>2</v>
      </c>
      <c r="G98" t="str">
        <f>INDEX(Sheet1!$A:$J,MATCH('index match'!$D98,Sheet1!$C:$C,0),MATCH('index match'!G$2,Sheet1!$1:$1,0))</f>
        <v>Middle Age</v>
      </c>
      <c r="K98" t="str">
        <v>Lydia Scott</v>
      </c>
      <c r="L98" t="str">
        <f>INDEX(Sheet1!$A:$J,MATCH('index match'!$K98,Sheet1!$C:$C,0),MATCH('index match'!L$2,Sheet1!$A$1:$J$1,0))</f>
        <v>Scott</v>
      </c>
      <c r="M98">
        <f>INDEX(Sheet1!$A:$J,MATCH('index match'!$K98,Sheet1!$C:$C,0),MATCH('index match'!M$2,Sheet1!$A$1:$J$1,0))</f>
        <v>5</v>
      </c>
      <c r="N98" t="str">
        <f>INDEX(Sheet1!$A:$J,MATCH('index match'!$K98,Sheet1!$C:$C,0),MATCH('index match'!N$2,Sheet1!$A$1:$J$1,0))</f>
        <v>Young</v>
      </c>
    </row>
    <row r="99" spans="4:14" x14ac:dyDescent="0.25">
      <c r="D99" t="str">
        <v>Aldus Sullivan</v>
      </c>
      <c r="E99" t="str">
        <f>INDEX(Sheet1!$A:$J,MATCH('index match'!$D99,Sheet1!$C:$C,0),MATCH('index match'!E$2,Sheet1!$1:$1,0))</f>
        <v>Sullivan</v>
      </c>
      <c r="F99">
        <f>INDEX(Sheet1!$A:$J,MATCH('index match'!$D99,Sheet1!$C:$C,0),MATCH('index match'!F$2,Sheet1!$1:$1,0))</f>
        <v>3</v>
      </c>
      <c r="G99" t="str">
        <f>INDEX(Sheet1!$A:$J,MATCH('index match'!$D99,Sheet1!$C:$C,0),MATCH('index match'!G$2,Sheet1!$1:$1,0))</f>
        <v>Old</v>
      </c>
      <c r="K99" t="str">
        <v>Reid Farrell</v>
      </c>
      <c r="L99" t="str">
        <f>INDEX(Sheet1!$A:$J,MATCH('index match'!$K99,Sheet1!$C:$C,0),MATCH('index match'!L$2,Sheet1!$A$1:$J$1,0))</f>
        <v>Farrell</v>
      </c>
      <c r="M99">
        <f>INDEX(Sheet1!$A:$J,MATCH('index match'!$K99,Sheet1!$C:$C,0),MATCH('index match'!M$2,Sheet1!$A$1:$J$1,0))</f>
        <v>5</v>
      </c>
      <c r="N99" t="str">
        <f>INDEX(Sheet1!$A:$J,MATCH('index match'!$K99,Sheet1!$C:$C,0),MATCH('index match'!N$2,Sheet1!$A$1:$J$1,0))</f>
        <v>Young</v>
      </c>
    </row>
    <row r="100" spans="4:14" x14ac:dyDescent="0.25">
      <c r="D100" t="str">
        <v>Mike Sullivan</v>
      </c>
      <c r="E100" t="str">
        <f>INDEX(Sheet1!$A:$J,MATCH('index match'!$D100,Sheet1!$C:$C,0),MATCH('index match'!E$2,Sheet1!$1:$1,0))</f>
        <v>Sullivan</v>
      </c>
      <c r="F100">
        <f>INDEX(Sheet1!$A:$J,MATCH('index match'!$D100,Sheet1!$C:$C,0),MATCH('index match'!F$2,Sheet1!$1:$1,0))</f>
        <v>1</v>
      </c>
      <c r="G100" t="str">
        <f>INDEX(Sheet1!$A:$J,MATCH('index match'!$D100,Sheet1!$C:$C,0),MATCH('index match'!G$2,Sheet1!$1:$1,0))</f>
        <v>Young</v>
      </c>
      <c r="K100" t="str">
        <v>Garry Jones</v>
      </c>
      <c r="L100" t="str">
        <f>INDEX(Sheet1!$A:$J,MATCH('index match'!$K100,Sheet1!$C:$C,0),MATCH('index match'!L$2,Sheet1!$A$1:$J$1,0))</f>
        <v>Jones</v>
      </c>
      <c r="M100">
        <f>INDEX(Sheet1!$A:$J,MATCH('index match'!$K100,Sheet1!$C:$C,0),MATCH('index match'!M$2,Sheet1!$A$1:$J$1,0))</f>
        <v>3</v>
      </c>
      <c r="N100" t="str">
        <f>INDEX(Sheet1!$A:$J,MATCH('index match'!$K100,Sheet1!$C:$C,0),MATCH('index match'!N$2,Sheet1!$A$1:$J$1,0))</f>
        <v>Middle Age</v>
      </c>
    </row>
    <row r="101" spans="4:14" x14ac:dyDescent="0.25">
      <c r="D101" t="str">
        <v>Victor Johnson</v>
      </c>
      <c r="E101" t="str">
        <f>INDEX(Sheet1!$A:$J,MATCH('index match'!$D101,Sheet1!$C:$C,0),MATCH('index match'!E$2,Sheet1!$1:$1,0))</f>
        <v>Johnson</v>
      </c>
      <c r="F101">
        <f>INDEX(Sheet1!$A:$J,MATCH('index match'!$D101,Sheet1!$C:$C,0),MATCH('index match'!F$2,Sheet1!$1:$1,0))</f>
        <v>5</v>
      </c>
      <c r="G101" t="str">
        <f>INDEX(Sheet1!$A:$J,MATCH('index match'!$D101,Sheet1!$C:$C,0),MATCH('index match'!G$2,Sheet1!$1:$1,0))</f>
        <v>Young</v>
      </c>
      <c r="K101" t="str">
        <v>Caroline Alexander</v>
      </c>
      <c r="L101" t="str">
        <f>INDEX(Sheet1!$A:$J,MATCH('index match'!$K101,Sheet1!$C:$C,0),MATCH('index match'!L$2,Sheet1!$A$1:$J$1,0))</f>
        <v>Alexander</v>
      </c>
      <c r="M101">
        <f>INDEX(Sheet1!$A:$J,MATCH('index match'!$K101,Sheet1!$C:$C,0),MATCH('index match'!M$2,Sheet1!$A$1:$J$1,0))</f>
        <v>0</v>
      </c>
      <c r="N101" t="str">
        <f>INDEX(Sheet1!$A:$J,MATCH('index match'!$K101,Sheet1!$C:$C,0),MATCH('index match'!N$2,Sheet1!$A$1:$J$1,0))</f>
        <v>Old</v>
      </c>
    </row>
    <row r="102" spans="4:14" x14ac:dyDescent="0.25">
      <c r="D102" t="str">
        <v>Haris Carter</v>
      </c>
      <c r="E102" t="str">
        <f>INDEX(Sheet1!$A:$J,MATCH('index match'!$D102,Sheet1!$C:$C,0),MATCH('index match'!E$2,Sheet1!$1:$1,0))</f>
        <v>Carter</v>
      </c>
      <c r="F102">
        <f>INDEX(Sheet1!$A:$J,MATCH('index match'!$D102,Sheet1!$C:$C,0),MATCH('index match'!F$2,Sheet1!$1:$1,0))</f>
        <v>2</v>
      </c>
      <c r="G102" t="str">
        <f>INDEX(Sheet1!$A:$J,MATCH('index match'!$D102,Sheet1!$C:$C,0),MATCH('index match'!G$2,Sheet1!$1:$1,0))</f>
        <v>Young</v>
      </c>
      <c r="K102" t="str">
        <v>Savana Kelly</v>
      </c>
      <c r="L102" t="str">
        <f>INDEX(Sheet1!$A:$J,MATCH('index match'!$K102,Sheet1!$C:$C,0),MATCH('index match'!L$2,Sheet1!$A$1:$J$1,0))</f>
        <v>Kelly</v>
      </c>
      <c r="M102">
        <f>INDEX(Sheet1!$A:$J,MATCH('index match'!$K102,Sheet1!$C:$C,0),MATCH('index match'!M$2,Sheet1!$A$1:$J$1,0))</f>
        <v>3</v>
      </c>
      <c r="N102" t="str">
        <f>INDEX(Sheet1!$A:$J,MATCH('index match'!$K102,Sheet1!$C:$C,0),MATCH('index match'!N$2,Sheet1!$A$1:$J$1,0))</f>
        <v>Young</v>
      </c>
    </row>
    <row r="103" spans="4:14" x14ac:dyDescent="0.25">
      <c r="D103" t="str">
        <v>James Johnston</v>
      </c>
      <c r="E103" t="str">
        <f>INDEX(Sheet1!$A:$J,MATCH('index match'!$D103,Sheet1!$C:$C,0),MATCH('index match'!E$2,Sheet1!$1:$1,0))</f>
        <v>Johnston</v>
      </c>
      <c r="F103">
        <f>INDEX(Sheet1!$A:$J,MATCH('index match'!$D103,Sheet1!$C:$C,0),MATCH('index match'!F$2,Sheet1!$1:$1,0))</f>
        <v>0</v>
      </c>
      <c r="G103" t="str">
        <f>INDEX(Sheet1!$A:$J,MATCH('index match'!$D103,Sheet1!$C:$C,0),MATCH('index match'!G$2,Sheet1!$1:$1,0))</f>
        <v>Middle Age</v>
      </c>
      <c r="K103" t="str">
        <v>Luke Evans</v>
      </c>
      <c r="L103" t="str">
        <f>INDEX(Sheet1!$A:$J,MATCH('index match'!$K103,Sheet1!$C:$C,0),MATCH('index match'!L$2,Sheet1!$A$1:$J$1,0))</f>
        <v>Evans</v>
      </c>
      <c r="M103">
        <f>INDEX(Sheet1!$A:$J,MATCH('index match'!$K103,Sheet1!$C:$C,0),MATCH('index match'!M$2,Sheet1!$A$1:$J$1,0))</f>
        <v>1</v>
      </c>
      <c r="N103" t="str">
        <f>INDEX(Sheet1!$A:$J,MATCH('index match'!$K103,Sheet1!$C:$C,0),MATCH('index match'!N$2,Sheet1!$A$1:$J$1,0))</f>
        <v>Young</v>
      </c>
    </row>
    <row r="104" spans="4:14" x14ac:dyDescent="0.25">
      <c r="D104" t="str">
        <v>Frederick Clark</v>
      </c>
      <c r="E104" t="str">
        <f>INDEX(Sheet1!$A:$J,MATCH('index match'!$D104,Sheet1!$C:$C,0),MATCH('index match'!E$2,Sheet1!$1:$1,0))</f>
        <v>Clark</v>
      </c>
      <c r="F104">
        <f>INDEX(Sheet1!$A:$J,MATCH('index match'!$D104,Sheet1!$C:$C,0),MATCH('index match'!F$2,Sheet1!$1:$1,0))</f>
        <v>2</v>
      </c>
      <c r="G104" t="str">
        <f>INDEX(Sheet1!$A:$J,MATCH('index match'!$D104,Sheet1!$C:$C,0),MATCH('index match'!G$2,Sheet1!$1:$1,0))</f>
        <v>Middle Age</v>
      </c>
      <c r="K104" t="str">
        <v>Chelsea Perkins</v>
      </c>
      <c r="L104" t="str">
        <f>INDEX(Sheet1!$A:$J,MATCH('index match'!$K104,Sheet1!$C:$C,0),MATCH('index match'!L$2,Sheet1!$A$1:$J$1,0))</f>
        <v>Perkins</v>
      </c>
      <c r="M104">
        <f>INDEX(Sheet1!$A:$J,MATCH('index match'!$K104,Sheet1!$C:$C,0),MATCH('index match'!M$2,Sheet1!$A$1:$J$1,0))</f>
        <v>2</v>
      </c>
      <c r="N104" t="str">
        <f>INDEX(Sheet1!$A:$J,MATCH('index match'!$K104,Sheet1!$C:$C,0),MATCH('index match'!N$2,Sheet1!$A$1:$J$1,0))</f>
        <v>Young</v>
      </c>
    </row>
    <row r="105" spans="4:14" x14ac:dyDescent="0.25">
      <c r="D105" t="str">
        <v>Lily Henderson</v>
      </c>
      <c r="E105" t="str">
        <f>INDEX(Sheet1!$A:$J,MATCH('index match'!$D105,Sheet1!$C:$C,0),MATCH('index match'!E$2,Sheet1!$1:$1,0))</f>
        <v>Henderson</v>
      </c>
      <c r="F105">
        <f>INDEX(Sheet1!$A:$J,MATCH('index match'!$D105,Sheet1!$C:$C,0),MATCH('index match'!F$2,Sheet1!$1:$1,0))</f>
        <v>5</v>
      </c>
      <c r="G105" t="str">
        <f>INDEX(Sheet1!$A:$J,MATCH('index match'!$D105,Sheet1!$C:$C,0),MATCH('index match'!G$2,Sheet1!$1:$1,0))</f>
        <v>Middle Age</v>
      </c>
      <c r="K105" t="str">
        <v>Cadie Taylor</v>
      </c>
      <c r="L105" t="str">
        <f>INDEX(Sheet1!$A:$J,MATCH('index match'!$K105,Sheet1!$C:$C,0),MATCH('index match'!L$2,Sheet1!$A$1:$J$1,0))</f>
        <v>Taylor</v>
      </c>
      <c r="M105">
        <f>INDEX(Sheet1!$A:$J,MATCH('index match'!$K105,Sheet1!$C:$C,0),MATCH('index match'!M$2,Sheet1!$A$1:$J$1,0))</f>
        <v>2</v>
      </c>
      <c r="N105" t="str">
        <f>INDEX(Sheet1!$A:$J,MATCH('index match'!$K105,Sheet1!$C:$C,0),MATCH('index match'!N$2,Sheet1!$A$1:$J$1,0))</f>
        <v>Young</v>
      </c>
    </row>
    <row r="106" spans="4:14" x14ac:dyDescent="0.25">
      <c r="D106" t="str">
        <v>Sophia Kelley</v>
      </c>
      <c r="E106" t="str">
        <f>INDEX(Sheet1!$A:$J,MATCH('index match'!$D106,Sheet1!$C:$C,0),MATCH('index match'!E$2,Sheet1!$1:$1,0))</f>
        <v>Kelley</v>
      </c>
      <c r="F106">
        <f>INDEX(Sheet1!$A:$J,MATCH('index match'!$D106,Sheet1!$C:$C,0),MATCH('index match'!F$2,Sheet1!$1:$1,0))</f>
        <v>1</v>
      </c>
      <c r="G106" t="str">
        <f>INDEX(Sheet1!$A:$J,MATCH('index match'!$D106,Sheet1!$C:$C,0),MATCH('index match'!G$2,Sheet1!$1:$1,0))</f>
        <v>Young</v>
      </c>
      <c r="K106" t="str">
        <v>Byron Morris</v>
      </c>
      <c r="L106" t="str">
        <f>INDEX(Sheet1!$A:$J,MATCH('index match'!$K106,Sheet1!$C:$C,0),MATCH('index match'!L$2,Sheet1!$A$1:$J$1,0))</f>
        <v>Morris</v>
      </c>
      <c r="M106">
        <f>INDEX(Sheet1!$A:$J,MATCH('index match'!$K106,Sheet1!$C:$C,0),MATCH('index match'!M$2,Sheet1!$A$1:$J$1,0))</f>
        <v>5</v>
      </c>
      <c r="N106" t="str">
        <f>INDEX(Sheet1!$A:$J,MATCH('index match'!$K106,Sheet1!$C:$C,0),MATCH('index match'!N$2,Sheet1!$A$1:$J$1,0))</f>
        <v>Middle Age</v>
      </c>
    </row>
    <row r="107" spans="4:14" x14ac:dyDescent="0.25">
      <c r="D107" t="str">
        <v>Garry Mason</v>
      </c>
      <c r="E107" t="str">
        <f>INDEX(Sheet1!$A:$J,MATCH('index match'!$D107,Sheet1!$C:$C,0),MATCH('index match'!E$2,Sheet1!$1:$1,0))</f>
        <v>Mason</v>
      </c>
      <c r="F107">
        <f>INDEX(Sheet1!$A:$J,MATCH('index match'!$D107,Sheet1!$C:$C,0),MATCH('index match'!F$2,Sheet1!$1:$1,0))</f>
        <v>0</v>
      </c>
      <c r="G107" t="str">
        <f>INDEX(Sheet1!$A:$J,MATCH('index match'!$D107,Sheet1!$C:$C,0),MATCH('index match'!G$2,Sheet1!$1:$1,0))</f>
        <v>Middle Age</v>
      </c>
      <c r="K107" t="str">
        <v>Arthur Dixon</v>
      </c>
      <c r="L107" t="str">
        <f>INDEX(Sheet1!$A:$J,MATCH('index match'!$K107,Sheet1!$C:$C,0),MATCH('index match'!L$2,Sheet1!$A$1:$J$1,0))</f>
        <v>Dixon</v>
      </c>
      <c r="M107">
        <f>INDEX(Sheet1!$A:$J,MATCH('index match'!$K107,Sheet1!$C:$C,0),MATCH('index match'!M$2,Sheet1!$A$1:$J$1,0))</f>
        <v>2</v>
      </c>
      <c r="N107" t="str">
        <f>INDEX(Sheet1!$A:$J,MATCH('index match'!$K107,Sheet1!$C:$C,0),MATCH('index match'!N$2,Sheet1!$A$1:$J$1,0))</f>
        <v>Middle Age</v>
      </c>
    </row>
    <row r="108" spans="4:14" x14ac:dyDescent="0.25">
      <c r="D108" t="str">
        <v>Adison Miller</v>
      </c>
      <c r="E108" t="str">
        <f>INDEX(Sheet1!$A:$J,MATCH('index match'!$D108,Sheet1!$C:$C,0),MATCH('index match'!E$2,Sheet1!$1:$1,0))</f>
        <v>Miller</v>
      </c>
      <c r="F108">
        <f>INDEX(Sheet1!$A:$J,MATCH('index match'!$D108,Sheet1!$C:$C,0),MATCH('index match'!F$2,Sheet1!$1:$1,0))</f>
        <v>1</v>
      </c>
      <c r="G108" t="str">
        <f>INDEX(Sheet1!$A:$J,MATCH('index match'!$D108,Sheet1!$C:$C,0),MATCH('index match'!G$2,Sheet1!$1:$1,0))</f>
        <v>Middle Age</v>
      </c>
      <c r="K108" t="str">
        <v>Arianna Hill</v>
      </c>
      <c r="L108" t="str">
        <f>INDEX(Sheet1!$A:$J,MATCH('index match'!$K108,Sheet1!$C:$C,0),MATCH('index match'!L$2,Sheet1!$A$1:$J$1,0))</f>
        <v>Hill</v>
      </c>
      <c r="M108">
        <f>INDEX(Sheet1!$A:$J,MATCH('index match'!$K108,Sheet1!$C:$C,0),MATCH('index match'!M$2,Sheet1!$A$1:$J$1,0))</f>
        <v>4</v>
      </c>
      <c r="N108" t="str">
        <f>INDEX(Sheet1!$A:$J,MATCH('index match'!$K108,Sheet1!$C:$C,0),MATCH('index match'!N$2,Sheet1!$A$1:$J$1,0))</f>
        <v>Old</v>
      </c>
    </row>
    <row r="109" spans="4:14" x14ac:dyDescent="0.25">
      <c r="D109" t="str">
        <v>Robert Alexander</v>
      </c>
      <c r="E109" t="str">
        <f>INDEX(Sheet1!$A:$J,MATCH('index match'!$D109,Sheet1!$C:$C,0),MATCH('index match'!E$2,Sheet1!$1:$1,0))</f>
        <v>Alexander</v>
      </c>
      <c r="F109">
        <f>INDEX(Sheet1!$A:$J,MATCH('index match'!$D109,Sheet1!$C:$C,0),MATCH('index match'!F$2,Sheet1!$1:$1,0))</f>
        <v>4</v>
      </c>
      <c r="G109" t="str">
        <f>INDEX(Sheet1!$A:$J,MATCH('index match'!$D109,Sheet1!$C:$C,0),MATCH('index match'!G$2,Sheet1!$1:$1,0))</f>
        <v>Young</v>
      </c>
      <c r="K109" t="str">
        <v>Paul Ferguson</v>
      </c>
      <c r="L109" t="str">
        <f>INDEX(Sheet1!$A:$J,MATCH('index match'!$K109,Sheet1!$C:$C,0),MATCH('index match'!L$2,Sheet1!$A$1:$J$1,0))</f>
        <v>Ferguson</v>
      </c>
      <c r="M109">
        <f>INDEX(Sheet1!$A:$J,MATCH('index match'!$K109,Sheet1!$C:$C,0),MATCH('index match'!M$2,Sheet1!$A$1:$J$1,0))</f>
        <v>4</v>
      </c>
      <c r="N109" t="str">
        <f>INDEX(Sheet1!$A:$J,MATCH('index match'!$K109,Sheet1!$C:$C,0),MATCH('index match'!N$2,Sheet1!$A$1:$J$1,0))</f>
        <v>Middle Age</v>
      </c>
    </row>
    <row r="110" spans="4:14" x14ac:dyDescent="0.25">
      <c r="D110" t="str">
        <v>Stuart Nelson</v>
      </c>
      <c r="E110" t="str">
        <f>INDEX(Sheet1!$A:$J,MATCH('index match'!$D110,Sheet1!$C:$C,0),MATCH('index match'!E$2,Sheet1!$1:$1,0))</f>
        <v>Nelson</v>
      </c>
      <c r="F110">
        <f>INDEX(Sheet1!$A:$J,MATCH('index match'!$D110,Sheet1!$C:$C,0),MATCH('index match'!F$2,Sheet1!$1:$1,0))</f>
        <v>0</v>
      </c>
      <c r="G110" t="str">
        <f>INDEX(Sheet1!$A:$J,MATCH('index match'!$D110,Sheet1!$C:$C,0),MATCH('index match'!G$2,Sheet1!$1:$1,0))</f>
        <v>Young</v>
      </c>
      <c r="K110" t="str">
        <v>Adele Watson</v>
      </c>
      <c r="L110" t="str">
        <f>INDEX(Sheet1!$A:$J,MATCH('index match'!$K110,Sheet1!$C:$C,0),MATCH('index match'!L$2,Sheet1!$A$1:$J$1,0))</f>
        <v>Watson</v>
      </c>
      <c r="M110">
        <f>INDEX(Sheet1!$A:$J,MATCH('index match'!$K110,Sheet1!$C:$C,0),MATCH('index match'!M$2,Sheet1!$A$1:$J$1,0))</f>
        <v>1</v>
      </c>
      <c r="N110" t="str">
        <f>INDEX(Sheet1!$A:$J,MATCH('index match'!$K110,Sheet1!$C:$C,0),MATCH('index match'!N$2,Sheet1!$A$1:$J$1,0))</f>
        <v>Old</v>
      </c>
    </row>
    <row r="111" spans="4:14" x14ac:dyDescent="0.25">
      <c r="D111" t="str">
        <v>Charlie Hunt</v>
      </c>
      <c r="E111" t="str">
        <f>INDEX(Sheet1!$A:$J,MATCH('index match'!$D111,Sheet1!$C:$C,0),MATCH('index match'!E$2,Sheet1!$1:$1,0))</f>
        <v>Hunt</v>
      </c>
      <c r="F111">
        <f>INDEX(Sheet1!$A:$J,MATCH('index match'!$D111,Sheet1!$C:$C,0),MATCH('index match'!F$2,Sheet1!$1:$1,0))</f>
        <v>1</v>
      </c>
      <c r="G111" t="str">
        <f>INDEX(Sheet1!$A:$J,MATCH('index match'!$D111,Sheet1!$C:$C,0),MATCH('index match'!G$2,Sheet1!$1:$1,0))</f>
        <v>Young</v>
      </c>
      <c r="K111" t="str">
        <v>Rubie Watson</v>
      </c>
      <c r="L111" t="str">
        <f>INDEX(Sheet1!$A:$J,MATCH('index match'!$K111,Sheet1!$C:$C,0),MATCH('index match'!L$2,Sheet1!$A$1:$J$1,0))</f>
        <v>Watson</v>
      </c>
      <c r="M111">
        <f>INDEX(Sheet1!$A:$J,MATCH('index match'!$K111,Sheet1!$C:$C,0),MATCH('index match'!M$2,Sheet1!$A$1:$J$1,0))</f>
        <v>0</v>
      </c>
      <c r="N111" t="str">
        <f>INDEX(Sheet1!$A:$J,MATCH('index match'!$K111,Sheet1!$C:$C,0),MATCH('index match'!N$2,Sheet1!$A$1:$J$1,0))</f>
        <v>Old</v>
      </c>
    </row>
    <row r="112" spans="4:14" x14ac:dyDescent="0.25">
      <c r="D112" t="str">
        <v>Kate Roberts</v>
      </c>
      <c r="E112" t="str">
        <f>INDEX(Sheet1!$A:$J,MATCH('index match'!$D112,Sheet1!$C:$C,0),MATCH('index match'!E$2,Sheet1!$1:$1,0))</f>
        <v>Roberts</v>
      </c>
      <c r="F112">
        <f>INDEX(Sheet1!$A:$J,MATCH('index match'!$D112,Sheet1!$C:$C,0),MATCH('index match'!F$2,Sheet1!$1:$1,0))</f>
        <v>4</v>
      </c>
      <c r="G112" t="str">
        <f>INDEX(Sheet1!$A:$J,MATCH('index match'!$D112,Sheet1!$C:$C,0),MATCH('index match'!G$2,Sheet1!$1:$1,0))</f>
        <v>Middle Age</v>
      </c>
      <c r="K112" t="str">
        <v>Arianna Adams</v>
      </c>
      <c r="L112" t="str">
        <f>INDEX(Sheet1!$A:$J,MATCH('index match'!$K112,Sheet1!$C:$C,0),MATCH('index match'!L$2,Sheet1!$A$1:$J$1,0))</f>
        <v>Adams</v>
      </c>
      <c r="M112">
        <f>INDEX(Sheet1!$A:$J,MATCH('index match'!$K112,Sheet1!$C:$C,0),MATCH('index match'!M$2,Sheet1!$A$1:$J$1,0))</f>
        <v>2</v>
      </c>
      <c r="N112" t="str">
        <f>INDEX(Sheet1!$A:$J,MATCH('index match'!$K112,Sheet1!$C:$C,0),MATCH('index match'!N$2,Sheet1!$A$1:$J$1,0))</f>
        <v>Young</v>
      </c>
    </row>
    <row r="113" spans="4:14" x14ac:dyDescent="0.25">
      <c r="D113" t="str">
        <v>Rubie Clark</v>
      </c>
      <c r="E113" t="str">
        <f>INDEX(Sheet1!$A:$J,MATCH('index match'!$D113,Sheet1!$C:$C,0),MATCH('index match'!E$2,Sheet1!$1:$1,0))</f>
        <v>Clark</v>
      </c>
      <c r="F113">
        <f>INDEX(Sheet1!$A:$J,MATCH('index match'!$D113,Sheet1!$C:$C,0),MATCH('index match'!F$2,Sheet1!$1:$1,0))</f>
        <v>1</v>
      </c>
      <c r="G113" t="str">
        <f>INDEX(Sheet1!$A:$J,MATCH('index match'!$D113,Sheet1!$C:$C,0),MATCH('index match'!G$2,Sheet1!$1:$1,0))</f>
        <v>Young</v>
      </c>
      <c r="K113" t="str">
        <v>Brianna Fowler</v>
      </c>
      <c r="L113" t="str">
        <f>INDEX(Sheet1!$A:$J,MATCH('index match'!$K113,Sheet1!$C:$C,0),MATCH('index match'!L$2,Sheet1!$A$1:$J$1,0))</f>
        <v>Fowler</v>
      </c>
      <c r="M113">
        <f>INDEX(Sheet1!$A:$J,MATCH('index match'!$K113,Sheet1!$C:$C,0),MATCH('index match'!M$2,Sheet1!$A$1:$J$1,0))</f>
        <v>1</v>
      </c>
      <c r="N113" t="str">
        <f>INDEX(Sheet1!$A:$J,MATCH('index match'!$K113,Sheet1!$C:$C,0),MATCH('index match'!N$2,Sheet1!$A$1:$J$1,0))</f>
        <v>Young</v>
      </c>
    </row>
    <row r="114" spans="4:14" x14ac:dyDescent="0.25">
      <c r="D114" t="str">
        <v>Savana Ross</v>
      </c>
      <c r="E114" t="str">
        <f>INDEX(Sheet1!$A:$J,MATCH('index match'!$D114,Sheet1!$C:$C,0),MATCH('index match'!E$2,Sheet1!$1:$1,0))</f>
        <v>Ross</v>
      </c>
      <c r="F114">
        <f>INDEX(Sheet1!$A:$J,MATCH('index match'!$D114,Sheet1!$C:$C,0),MATCH('index match'!F$2,Sheet1!$1:$1,0))</f>
        <v>4</v>
      </c>
      <c r="G114" t="str">
        <f>INDEX(Sheet1!$A:$J,MATCH('index match'!$D114,Sheet1!$C:$C,0),MATCH('index match'!G$2,Sheet1!$1:$1,0))</f>
        <v>Middle Age</v>
      </c>
      <c r="K114" t="str">
        <v>Jared Wright</v>
      </c>
      <c r="L114" t="str">
        <f>INDEX(Sheet1!$A:$J,MATCH('index match'!$K114,Sheet1!$C:$C,0),MATCH('index match'!L$2,Sheet1!$A$1:$J$1,0))</f>
        <v>Wright</v>
      </c>
      <c r="M114">
        <f>INDEX(Sheet1!$A:$J,MATCH('index match'!$K114,Sheet1!$C:$C,0),MATCH('index match'!M$2,Sheet1!$A$1:$J$1,0))</f>
        <v>0</v>
      </c>
      <c r="N114" t="str">
        <f>INDEX(Sheet1!$A:$J,MATCH('index match'!$K114,Sheet1!$C:$C,0),MATCH('index match'!N$2,Sheet1!$A$1:$J$1,0))</f>
        <v>Middle Age</v>
      </c>
    </row>
    <row r="115" spans="4:14" x14ac:dyDescent="0.25">
      <c r="D115" t="str">
        <v>Camila Campbell</v>
      </c>
      <c r="E115" t="str">
        <f>INDEX(Sheet1!$A:$J,MATCH('index match'!$D115,Sheet1!$C:$C,0),MATCH('index match'!E$2,Sheet1!$1:$1,0))</f>
        <v>Campbell</v>
      </c>
      <c r="F115">
        <f>INDEX(Sheet1!$A:$J,MATCH('index match'!$D115,Sheet1!$C:$C,0),MATCH('index match'!F$2,Sheet1!$1:$1,0))</f>
        <v>5</v>
      </c>
      <c r="G115" t="str">
        <f>INDEX(Sheet1!$A:$J,MATCH('index match'!$D115,Sheet1!$C:$C,0),MATCH('index match'!G$2,Sheet1!$1:$1,0))</f>
        <v>Old</v>
      </c>
      <c r="K115" t="str">
        <v>Brad Allen</v>
      </c>
      <c r="L115" t="str">
        <f>INDEX(Sheet1!$A:$J,MATCH('index match'!$K115,Sheet1!$C:$C,0),MATCH('index match'!L$2,Sheet1!$A$1:$J$1,0))</f>
        <v>Allen</v>
      </c>
      <c r="M115">
        <f>INDEX(Sheet1!$A:$J,MATCH('index match'!$K115,Sheet1!$C:$C,0),MATCH('index match'!M$2,Sheet1!$A$1:$J$1,0))</f>
        <v>3</v>
      </c>
      <c r="N115" t="str">
        <f>INDEX(Sheet1!$A:$J,MATCH('index match'!$K115,Sheet1!$C:$C,0),MATCH('index match'!N$2,Sheet1!$A$1:$J$1,0))</f>
        <v>Middle Age</v>
      </c>
    </row>
    <row r="116" spans="4:14" x14ac:dyDescent="0.25">
      <c r="D116" t="str">
        <v>Gianna West</v>
      </c>
      <c r="E116" t="str">
        <f>INDEX(Sheet1!$A:$J,MATCH('index match'!$D116,Sheet1!$C:$C,0),MATCH('index match'!E$2,Sheet1!$1:$1,0))</f>
        <v>West</v>
      </c>
      <c r="F116">
        <f>INDEX(Sheet1!$A:$J,MATCH('index match'!$D116,Sheet1!$C:$C,0),MATCH('index match'!F$2,Sheet1!$1:$1,0))</f>
        <v>2</v>
      </c>
      <c r="G116" t="str">
        <f>INDEX(Sheet1!$A:$J,MATCH('index match'!$D116,Sheet1!$C:$C,0),MATCH('index match'!G$2,Sheet1!$1:$1,0))</f>
        <v>Young</v>
      </c>
      <c r="K116" t="str">
        <v>Dexter Tucker</v>
      </c>
      <c r="L116" t="str">
        <f>INDEX(Sheet1!$A:$J,MATCH('index match'!$K116,Sheet1!$C:$C,0),MATCH('index match'!L$2,Sheet1!$A$1:$J$1,0))</f>
        <v>Tucker</v>
      </c>
      <c r="M116">
        <f>INDEX(Sheet1!$A:$J,MATCH('index match'!$K116,Sheet1!$C:$C,0),MATCH('index match'!M$2,Sheet1!$A$1:$J$1,0))</f>
        <v>2</v>
      </c>
      <c r="N116" t="str">
        <f>INDEX(Sheet1!$A:$J,MATCH('index match'!$K116,Sheet1!$C:$C,0),MATCH('index match'!N$2,Sheet1!$A$1:$J$1,0))</f>
        <v>Middle Age</v>
      </c>
    </row>
    <row r="117" spans="4:14" x14ac:dyDescent="0.25">
      <c r="D117" t="str">
        <v>Melanie Craig</v>
      </c>
      <c r="E117" t="str">
        <f>INDEX(Sheet1!$A:$J,MATCH('index match'!$D117,Sheet1!$C:$C,0),MATCH('index match'!E$2,Sheet1!$1:$1,0))</f>
        <v>Craig</v>
      </c>
      <c r="F117">
        <f>INDEX(Sheet1!$A:$J,MATCH('index match'!$D117,Sheet1!$C:$C,0),MATCH('index match'!F$2,Sheet1!$1:$1,0))</f>
        <v>1</v>
      </c>
      <c r="G117" t="str">
        <f>INDEX(Sheet1!$A:$J,MATCH('index match'!$D117,Sheet1!$C:$C,0),MATCH('index match'!G$2,Sheet1!$1:$1,0))</f>
        <v>Young</v>
      </c>
      <c r="K117" t="str">
        <v>Leonardo Nelson</v>
      </c>
      <c r="L117" t="str">
        <f>INDEX(Sheet1!$A:$J,MATCH('index match'!$K117,Sheet1!$C:$C,0),MATCH('index match'!L$2,Sheet1!$A$1:$J$1,0))</f>
        <v>Nelson</v>
      </c>
      <c r="M117">
        <f>INDEX(Sheet1!$A:$J,MATCH('index match'!$K117,Sheet1!$C:$C,0),MATCH('index match'!M$2,Sheet1!$A$1:$J$1,0))</f>
        <v>3</v>
      </c>
      <c r="N117" t="str">
        <f>INDEX(Sheet1!$A:$J,MATCH('index match'!$K117,Sheet1!$C:$C,0),MATCH('index match'!N$2,Sheet1!$A$1:$J$1,0))</f>
        <v>Middle Age</v>
      </c>
    </row>
    <row r="118" spans="4:14" x14ac:dyDescent="0.25">
      <c r="D118" t="str">
        <v>Charlotte Cunningham</v>
      </c>
      <c r="E118" t="str">
        <f>INDEX(Sheet1!$A:$J,MATCH('index match'!$D118,Sheet1!$C:$C,0),MATCH('index match'!E$2,Sheet1!$1:$1,0))</f>
        <v>Cunningham</v>
      </c>
      <c r="F118">
        <f>INDEX(Sheet1!$A:$J,MATCH('index match'!$D118,Sheet1!$C:$C,0),MATCH('index match'!F$2,Sheet1!$1:$1,0))</f>
        <v>4</v>
      </c>
      <c r="G118" t="str">
        <f>INDEX(Sheet1!$A:$J,MATCH('index match'!$D118,Sheet1!$C:$C,0),MATCH('index match'!G$2,Sheet1!$1:$1,0))</f>
        <v>Middle Age</v>
      </c>
      <c r="K118" t="str">
        <v>Maddie Murray</v>
      </c>
      <c r="L118" t="str">
        <f>INDEX(Sheet1!$A:$J,MATCH('index match'!$K118,Sheet1!$C:$C,0),MATCH('index match'!L$2,Sheet1!$A$1:$J$1,0))</f>
        <v>Murray</v>
      </c>
      <c r="M118">
        <f>INDEX(Sheet1!$A:$J,MATCH('index match'!$K118,Sheet1!$C:$C,0),MATCH('index match'!M$2,Sheet1!$A$1:$J$1,0))</f>
        <v>4</v>
      </c>
      <c r="N118" t="str">
        <f>INDEX(Sheet1!$A:$J,MATCH('index match'!$K118,Sheet1!$C:$C,0),MATCH('index match'!N$2,Sheet1!$A$1:$J$1,0))</f>
        <v>Young</v>
      </c>
    </row>
    <row r="119" spans="4:14" x14ac:dyDescent="0.25">
      <c r="D119" t="str">
        <v>Julian Mitchell</v>
      </c>
      <c r="E119" t="str">
        <f>INDEX(Sheet1!$A:$J,MATCH('index match'!$D119,Sheet1!$C:$C,0),MATCH('index match'!E$2,Sheet1!$1:$1,0))</f>
        <v>Mitchell</v>
      </c>
      <c r="F119">
        <f>INDEX(Sheet1!$A:$J,MATCH('index match'!$D119,Sheet1!$C:$C,0),MATCH('index match'!F$2,Sheet1!$1:$1,0))</f>
        <v>0</v>
      </c>
      <c r="G119" t="str">
        <f>INDEX(Sheet1!$A:$J,MATCH('index match'!$D119,Sheet1!$C:$C,0),MATCH('index match'!G$2,Sheet1!$1:$1,0))</f>
        <v>Old</v>
      </c>
      <c r="K119" t="str">
        <v>Roland Cunningham</v>
      </c>
      <c r="L119" t="str">
        <f>INDEX(Sheet1!$A:$J,MATCH('index match'!$K119,Sheet1!$C:$C,0),MATCH('index match'!L$2,Sheet1!$A$1:$J$1,0))</f>
        <v>Cunningham</v>
      </c>
      <c r="M119">
        <f>INDEX(Sheet1!$A:$J,MATCH('index match'!$K119,Sheet1!$C:$C,0),MATCH('index match'!M$2,Sheet1!$A$1:$J$1,0))</f>
        <v>5</v>
      </c>
      <c r="N119" t="str">
        <f>INDEX(Sheet1!$A:$J,MATCH('index match'!$K119,Sheet1!$C:$C,0),MATCH('index match'!N$2,Sheet1!$A$1:$J$1,0))</f>
        <v>Old</v>
      </c>
    </row>
    <row r="120" spans="4:14" x14ac:dyDescent="0.25">
      <c r="D120" t="str">
        <v>Vivian Allen</v>
      </c>
      <c r="E120" t="str">
        <f>INDEX(Sheet1!$A:$J,MATCH('index match'!$D120,Sheet1!$C:$C,0),MATCH('index match'!E$2,Sheet1!$1:$1,0))</f>
        <v>Allen</v>
      </c>
      <c r="F120">
        <f>INDEX(Sheet1!$A:$J,MATCH('index match'!$D120,Sheet1!$C:$C,0),MATCH('index match'!F$2,Sheet1!$1:$1,0))</f>
        <v>2</v>
      </c>
      <c r="G120" t="str">
        <f>INDEX(Sheet1!$A:$J,MATCH('index match'!$D120,Sheet1!$C:$C,0),MATCH('index match'!G$2,Sheet1!$1:$1,0))</f>
        <v>Middle Age</v>
      </c>
      <c r="K120" t="str">
        <v>Vincent Jones</v>
      </c>
      <c r="L120" t="str">
        <f>INDEX(Sheet1!$A:$J,MATCH('index match'!$K120,Sheet1!$C:$C,0),MATCH('index match'!L$2,Sheet1!$A$1:$J$1,0))</f>
        <v>Jones</v>
      </c>
      <c r="M120">
        <f>INDEX(Sheet1!$A:$J,MATCH('index match'!$K120,Sheet1!$C:$C,0),MATCH('index match'!M$2,Sheet1!$A$1:$J$1,0))</f>
        <v>3</v>
      </c>
      <c r="N120" t="str">
        <f>INDEX(Sheet1!$A:$J,MATCH('index match'!$K120,Sheet1!$C:$C,0),MATCH('index match'!N$2,Sheet1!$A$1:$J$1,0))</f>
        <v>Young</v>
      </c>
    </row>
    <row r="121" spans="4:14" x14ac:dyDescent="0.25">
      <c r="D121" t="str">
        <v>Paige Andrews</v>
      </c>
      <c r="E121" t="str">
        <f>INDEX(Sheet1!$A:$J,MATCH('index match'!$D121,Sheet1!$C:$C,0),MATCH('index match'!E$2,Sheet1!$1:$1,0))</f>
        <v>Andrews</v>
      </c>
      <c r="F121">
        <f>INDEX(Sheet1!$A:$J,MATCH('index match'!$D121,Sheet1!$C:$C,0),MATCH('index match'!F$2,Sheet1!$1:$1,0))</f>
        <v>3</v>
      </c>
      <c r="G121" t="str">
        <f>INDEX(Sheet1!$A:$J,MATCH('index match'!$D121,Sheet1!$C:$C,0),MATCH('index match'!G$2,Sheet1!$1:$1,0))</f>
        <v>Middle Age</v>
      </c>
      <c r="K121" t="str">
        <v>Marcus Miller</v>
      </c>
      <c r="L121" t="str">
        <f>INDEX(Sheet1!$A:$J,MATCH('index match'!$K121,Sheet1!$C:$C,0),MATCH('index match'!L$2,Sheet1!$A$1:$J$1,0))</f>
        <v>Miller</v>
      </c>
      <c r="M121">
        <f>INDEX(Sheet1!$A:$J,MATCH('index match'!$K121,Sheet1!$C:$C,0),MATCH('index match'!M$2,Sheet1!$A$1:$J$1,0))</f>
        <v>5</v>
      </c>
      <c r="N121" t="str">
        <f>INDEX(Sheet1!$A:$J,MATCH('index match'!$K121,Sheet1!$C:$C,0),MATCH('index match'!N$2,Sheet1!$A$1:$J$1,0))</f>
        <v>Middle Age</v>
      </c>
    </row>
    <row r="122" spans="4:14" x14ac:dyDescent="0.25">
      <c r="D122" t="str">
        <v>Vincent Stewart</v>
      </c>
      <c r="E122" t="str">
        <f>INDEX(Sheet1!$A:$J,MATCH('index match'!$D122,Sheet1!$C:$C,0),MATCH('index match'!E$2,Sheet1!$1:$1,0))</f>
        <v>Stewart</v>
      </c>
      <c r="F122">
        <f>INDEX(Sheet1!$A:$J,MATCH('index match'!$D122,Sheet1!$C:$C,0),MATCH('index match'!F$2,Sheet1!$1:$1,0))</f>
        <v>5</v>
      </c>
      <c r="G122" t="str">
        <f>INDEX(Sheet1!$A:$J,MATCH('index match'!$D122,Sheet1!$C:$C,0),MATCH('index match'!G$2,Sheet1!$1:$1,0))</f>
        <v>Young</v>
      </c>
      <c r="K122" t="str">
        <v>Lilianna Hawkins</v>
      </c>
      <c r="L122" t="str">
        <f>INDEX(Sheet1!$A:$J,MATCH('index match'!$K122,Sheet1!$C:$C,0),MATCH('index match'!L$2,Sheet1!$A$1:$J$1,0))</f>
        <v>Hawkins</v>
      </c>
      <c r="M122">
        <f>INDEX(Sheet1!$A:$J,MATCH('index match'!$K122,Sheet1!$C:$C,0),MATCH('index match'!M$2,Sheet1!$A$1:$J$1,0))</f>
        <v>0</v>
      </c>
      <c r="N122" t="str">
        <f>INDEX(Sheet1!$A:$J,MATCH('index match'!$K122,Sheet1!$C:$C,0),MATCH('index match'!N$2,Sheet1!$A$1:$J$1,0))</f>
        <v>Young</v>
      </c>
    </row>
    <row r="123" spans="4:14" x14ac:dyDescent="0.25">
      <c r="D123" t="str">
        <v>Albert Allen</v>
      </c>
      <c r="E123" t="str">
        <f>INDEX(Sheet1!$A:$J,MATCH('index match'!$D123,Sheet1!$C:$C,0),MATCH('index match'!E$2,Sheet1!$1:$1,0))</f>
        <v>Allen</v>
      </c>
      <c r="F123">
        <f>INDEX(Sheet1!$A:$J,MATCH('index match'!$D123,Sheet1!$C:$C,0),MATCH('index match'!F$2,Sheet1!$1:$1,0))</f>
        <v>1</v>
      </c>
      <c r="G123" t="str">
        <f>INDEX(Sheet1!$A:$J,MATCH('index match'!$D123,Sheet1!$C:$C,0),MATCH('index match'!G$2,Sheet1!$1:$1,0))</f>
        <v>Old</v>
      </c>
      <c r="K123" t="str">
        <v>Ada Perkins</v>
      </c>
      <c r="L123" t="str">
        <f>INDEX(Sheet1!$A:$J,MATCH('index match'!$K123,Sheet1!$C:$C,0),MATCH('index match'!L$2,Sheet1!$A$1:$J$1,0))</f>
        <v>Perkins</v>
      </c>
      <c r="M123">
        <f>INDEX(Sheet1!$A:$J,MATCH('index match'!$K123,Sheet1!$C:$C,0),MATCH('index match'!M$2,Sheet1!$A$1:$J$1,0))</f>
        <v>0</v>
      </c>
      <c r="N123" t="str">
        <f>INDEX(Sheet1!$A:$J,MATCH('index match'!$K123,Sheet1!$C:$C,0),MATCH('index match'!N$2,Sheet1!$A$1:$J$1,0))</f>
        <v>Middle Age</v>
      </c>
    </row>
    <row r="124" spans="4:14" x14ac:dyDescent="0.25">
      <c r="D124" t="str">
        <v>Luke Morgan</v>
      </c>
      <c r="E124" t="str">
        <f>INDEX(Sheet1!$A:$J,MATCH('index match'!$D124,Sheet1!$C:$C,0),MATCH('index match'!E$2,Sheet1!$1:$1,0))</f>
        <v>Morgan</v>
      </c>
      <c r="F124">
        <f>INDEX(Sheet1!$A:$J,MATCH('index match'!$D124,Sheet1!$C:$C,0),MATCH('index match'!F$2,Sheet1!$1:$1,0))</f>
        <v>0</v>
      </c>
      <c r="G124" t="str">
        <f>INDEX(Sheet1!$A:$J,MATCH('index match'!$D124,Sheet1!$C:$C,0),MATCH('index match'!G$2,Sheet1!$1:$1,0))</f>
        <v>Middle Age</v>
      </c>
      <c r="K124" t="str">
        <v>Kelsey Warren</v>
      </c>
      <c r="L124" t="str">
        <f>INDEX(Sheet1!$A:$J,MATCH('index match'!$K124,Sheet1!$C:$C,0),MATCH('index match'!L$2,Sheet1!$A$1:$J$1,0))</f>
        <v>Warren</v>
      </c>
      <c r="M124">
        <f>INDEX(Sheet1!$A:$J,MATCH('index match'!$K124,Sheet1!$C:$C,0),MATCH('index match'!M$2,Sheet1!$A$1:$J$1,0))</f>
        <v>1</v>
      </c>
      <c r="N124" t="str">
        <f>INDEX(Sheet1!$A:$J,MATCH('index match'!$K124,Sheet1!$C:$C,0),MATCH('index match'!N$2,Sheet1!$A$1:$J$1,0))</f>
        <v>Young</v>
      </c>
    </row>
    <row r="125" spans="4:14" x14ac:dyDescent="0.25">
      <c r="D125" t="str">
        <v>Oscar Parker</v>
      </c>
      <c r="E125" t="str">
        <f>INDEX(Sheet1!$A:$J,MATCH('index match'!$D125,Sheet1!$C:$C,0),MATCH('index match'!E$2,Sheet1!$1:$1,0))</f>
        <v>Parker</v>
      </c>
      <c r="F125">
        <f>INDEX(Sheet1!$A:$J,MATCH('index match'!$D125,Sheet1!$C:$C,0),MATCH('index match'!F$2,Sheet1!$1:$1,0))</f>
        <v>3</v>
      </c>
      <c r="G125" t="str">
        <f>INDEX(Sheet1!$A:$J,MATCH('index match'!$D125,Sheet1!$C:$C,0),MATCH('index match'!G$2,Sheet1!$1:$1,0))</f>
        <v>Old</v>
      </c>
      <c r="K125" t="str">
        <v>Jordan Myers</v>
      </c>
      <c r="L125" t="str">
        <f>INDEX(Sheet1!$A:$J,MATCH('index match'!$K125,Sheet1!$C:$C,0),MATCH('index match'!L$2,Sheet1!$A$1:$J$1,0))</f>
        <v>Myers</v>
      </c>
      <c r="M125">
        <f>INDEX(Sheet1!$A:$J,MATCH('index match'!$K125,Sheet1!$C:$C,0),MATCH('index match'!M$2,Sheet1!$A$1:$J$1,0))</f>
        <v>5</v>
      </c>
      <c r="N125" t="str">
        <f>INDEX(Sheet1!$A:$J,MATCH('index match'!$K125,Sheet1!$C:$C,0),MATCH('index match'!N$2,Sheet1!$A$1:$J$1,0))</f>
        <v>Middle Age</v>
      </c>
    </row>
    <row r="126" spans="4:14" x14ac:dyDescent="0.25">
      <c r="D126" t="str">
        <v>Kimberly Cooper</v>
      </c>
      <c r="E126" t="str">
        <f>INDEX(Sheet1!$A:$J,MATCH('index match'!$D126,Sheet1!$C:$C,0),MATCH('index match'!E$2,Sheet1!$1:$1,0))</f>
        <v>Cooper</v>
      </c>
      <c r="F126">
        <f>INDEX(Sheet1!$A:$J,MATCH('index match'!$D126,Sheet1!$C:$C,0),MATCH('index match'!F$2,Sheet1!$1:$1,0))</f>
        <v>4</v>
      </c>
      <c r="G126" t="str">
        <f>INDEX(Sheet1!$A:$J,MATCH('index match'!$D126,Sheet1!$C:$C,0),MATCH('index match'!G$2,Sheet1!$1:$1,0))</f>
        <v>Middle Age</v>
      </c>
      <c r="K126" t="str">
        <v>Belinda Casey</v>
      </c>
      <c r="L126" t="str">
        <f>INDEX(Sheet1!$A:$J,MATCH('index match'!$K126,Sheet1!$C:$C,0),MATCH('index match'!L$2,Sheet1!$A$1:$J$1,0))</f>
        <v>Casey</v>
      </c>
      <c r="M126">
        <f>INDEX(Sheet1!$A:$J,MATCH('index match'!$K126,Sheet1!$C:$C,0),MATCH('index match'!M$2,Sheet1!$A$1:$J$1,0))</f>
        <v>2</v>
      </c>
      <c r="N126" t="str">
        <f>INDEX(Sheet1!$A:$J,MATCH('index match'!$K126,Sheet1!$C:$C,0),MATCH('index match'!N$2,Sheet1!$A$1:$J$1,0))</f>
        <v>Middle Age</v>
      </c>
    </row>
    <row r="127" spans="4:14" x14ac:dyDescent="0.25">
      <c r="D127" t="str">
        <v>Wilson Smith</v>
      </c>
      <c r="E127" t="str">
        <f>INDEX(Sheet1!$A:$J,MATCH('index match'!$D127,Sheet1!$C:$C,0),MATCH('index match'!E$2,Sheet1!$1:$1,0))</f>
        <v>Smith</v>
      </c>
      <c r="F127">
        <f>INDEX(Sheet1!$A:$J,MATCH('index match'!$D127,Sheet1!$C:$C,0),MATCH('index match'!F$2,Sheet1!$1:$1,0))</f>
        <v>5</v>
      </c>
      <c r="G127" t="str">
        <f>INDEX(Sheet1!$A:$J,MATCH('index match'!$D127,Sheet1!$C:$C,0),MATCH('index match'!G$2,Sheet1!$1:$1,0))</f>
        <v>Young</v>
      </c>
      <c r="K127" t="str">
        <v>Ryan Grant</v>
      </c>
      <c r="L127" t="str">
        <f>INDEX(Sheet1!$A:$J,MATCH('index match'!$K127,Sheet1!$C:$C,0),MATCH('index match'!L$2,Sheet1!$A$1:$J$1,0))</f>
        <v>Grant</v>
      </c>
      <c r="M127">
        <f>INDEX(Sheet1!$A:$J,MATCH('index match'!$K127,Sheet1!$C:$C,0),MATCH('index match'!M$2,Sheet1!$A$1:$J$1,0))</f>
        <v>2</v>
      </c>
      <c r="N127" t="str">
        <f>INDEX(Sheet1!$A:$J,MATCH('index match'!$K127,Sheet1!$C:$C,0),MATCH('index match'!N$2,Sheet1!$A$1:$J$1,0))</f>
        <v>Middle Age</v>
      </c>
    </row>
    <row r="128" spans="4:14" x14ac:dyDescent="0.25">
      <c r="D128" t="str">
        <v>Arnold Myers</v>
      </c>
      <c r="E128" t="str">
        <f>INDEX(Sheet1!$A:$J,MATCH('index match'!$D128,Sheet1!$C:$C,0),MATCH('index match'!E$2,Sheet1!$1:$1,0))</f>
        <v>Myers</v>
      </c>
      <c r="F128">
        <f>INDEX(Sheet1!$A:$J,MATCH('index match'!$D128,Sheet1!$C:$C,0),MATCH('index match'!F$2,Sheet1!$1:$1,0))</f>
        <v>0</v>
      </c>
      <c r="G128" t="str">
        <f>INDEX(Sheet1!$A:$J,MATCH('index match'!$D128,Sheet1!$C:$C,0),MATCH('index match'!G$2,Sheet1!$1:$1,0))</f>
        <v>Middle Age</v>
      </c>
      <c r="K128" t="str">
        <v>Julian Farrell</v>
      </c>
      <c r="L128" t="str">
        <f>INDEX(Sheet1!$A:$J,MATCH('index match'!$K128,Sheet1!$C:$C,0),MATCH('index match'!L$2,Sheet1!$A$1:$J$1,0))</f>
        <v>Farrell</v>
      </c>
      <c r="M128">
        <f>INDEX(Sheet1!$A:$J,MATCH('index match'!$K128,Sheet1!$C:$C,0),MATCH('index match'!M$2,Sheet1!$A$1:$J$1,0))</f>
        <v>2</v>
      </c>
      <c r="N128" t="str">
        <f>INDEX(Sheet1!$A:$J,MATCH('index match'!$K128,Sheet1!$C:$C,0),MATCH('index match'!N$2,Sheet1!$A$1:$J$1,0))</f>
        <v>Young</v>
      </c>
    </row>
    <row r="129" spans="4:14" x14ac:dyDescent="0.25">
      <c r="D129" t="str">
        <v>Jack Johnson</v>
      </c>
      <c r="E129" t="str">
        <f>INDEX(Sheet1!$A:$J,MATCH('index match'!$D129,Sheet1!$C:$C,0),MATCH('index match'!E$2,Sheet1!$1:$1,0))</f>
        <v>Johnson</v>
      </c>
      <c r="F129">
        <f>INDEX(Sheet1!$A:$J,MATCH('index match'!$D129,Sheet1!$C:$C,0),MATCH('index match'!F$2,Sheet1!$1:$1,0))</f>
        <v>4</v>
      </c>
      <c r="G129" t="str">
        <f>INDEX(Sheet1!$A:$J,MATCH('index match'!$D129,Sheet1!$C:$C,0),MATCH('index match'!G$2,Sheet1!$1:$1,0))</f>
        <v>Young</v>
      </c>
      <c r="K129" t="str">
        <v>Alexander Tucker</v>
      </c>
      <c r="L129" t="str">
        <f>INDEX(Sheet1!$A:$J,MATCH('index match'!$K129,Sheet1!$C:$C,0),MATCH('index match'!L$2,Sheet1!$A$1:$J$1,0))</f>
        <v>Tucker</v>
      </c>
      <c r="M129">
        <f>INDEX(Sheet1!$A:$J,MATCH('index match'!$K129,Sheet1!$C:$C,0),MATCH('index match'!M$2,Sheet1!$A$1:$J$1,0))</f>
        <v>0</v>
      </c>
      <c r="N129" t="str">
        <f>INDEX(Sheet1!$A:$J,MATCH('index match'!$K129,Sheet1!$C:$C,0),MATCH('index match'!N$2,Sheet1!$A$1:$J$1,0))</f>
        <v>Young</v>
      </c>
    </row>
    <row r="130" spans="4:14" x14ac:dyDescent="0.25">
      <c r="D130" t="str">
        <v>Dominik Martin</v>
      </c>
      <c r="E130" t="str">
        <f>INDEX(Sheet1!$A:$J,MATCH('index match'!$D130,Sheet1!$C:$C,0),MATCH('index match'!E$2,Sheet1!$1:$1,0))</f>
        <v>Martin</v>
      </c>
      <c r="F130">
        <f>INDEX(Sheet1!$A:$J,MATCH('index match'!$D130,Sheet1!$C:$C,0),MATCH('index match'!F$2,Sheet1!$1:$1,0))</f>
        <v>3</v>
      </c>
      <c r="G130" t="str">
        <f>INDEX(Sheet1!$A:$J,MATCH('index match'!$D130,Sheet1!$C:$C,0),MATCH('index match'!G$2,Sheet1!$1:$1,0))</f>
        <v>Old</v>
      </c>
      <c r="K130" t="str">
        <v>Alexia Carroll</v>
      </c>
      <c r="L130" t="str">
        <f>INDEX(Sheet1!$A:$J,MATCH('index match'!$K130,Sheet1!$C:$C,0),MATCH('index match'!L$2,Sheet1!$A$1:$J$1,0))</f>
        <v>Carroll</v>
      </c>
      <c r="M130">
        <f>INDEX(Sheet1!$A:$J,MATCH('index match'!$K130,Sheet1!$C:$C,0),MATCH('index match'!M$2,Sheet1!$A$1:$J$1,0))</f>
        <v>2</v>
      </c>
      <c r="N130" t="str">
        <f>INDEX(Sheet1!$A:$J,MATCH('index match'!$K130,Sheet1!$C:$C,0),MATCH('index match'!N$2,Sheet1!$A$1:$J$1,0))</f>
        <v>Young</v>
      </c>
    </row>
    <row r="131" spans="4:14" x14ac:dyDescent="0.25">
      <c r="D131" t="str">
        <v>Edwin Hunt</v>
      </c>
      <c r="E131" t="str">
        <f>INDEX(Sheet1!$A:$J,MATCH('index match'!$D131,Sheet1!$C:$C,0),MATCH('index match'!E$2,Sheet1!$1:$1,0))</f>
        <v>Hunt</v>
      </c>
      <c r="F131">
        <f>INDEX(Sheet1!$A:$J,MATCH('index match'!$D131,Sheet1!$C:$C,0),MATCH('index match'!F$2,Sheet1!$1:$1,0))</f>
        <v>0</v>
      </c>
      <c r="G131" t="str">
        <f>INDEX(Sheet1!$A:$J,MATCH('index match'!$D131,Sheet1!$C:$C,0),MATCH('index match'!G$2,Sheet1!$1:$1,0))</f>
        <v>Middle Age</v>
      </c>
      <c r="K131" t="str">
        <v>Ryan Richards</v>
      </c>
      <c r="L131" t="str">
        <f>INDEX(Sheet1!$A:$J,MATCH('index match'!$K131,Sheet1!$C:$C,0),MATCH('index match'!L$2,Sheet1!$A$1:$J$1,0))</f>
        <v>Richards</v>
      </c>
      <c r="M131">
        <f>INDEX(Sheet1!$A:$J,MATCH('index match'!$K131,Sheet1!$C:$C,0),MATCH('index match'!M$2,Sheet1!$A$1:$J$1,0))</f>
        <v>2</v>
      </c>
      <c r="N131" t="str">
        <f>INDEX(Sheet1!$A:$J,MATCH('index match'!$K131,Sheet1!$C:$C,0),MATCH('index match'!N$2,Sheet1!$A$1:$J$1,0))</f>
        <v>Young</v>
      </c>
    </row>
    <row r="132" spans="4:14" x14ac:dyDescent="0.25">
      <c r="D132" t="str">
        <v>Arianna Bailey</v>
      </c>
      <c r="E132" t="str">
        <f>INDEX(Sheet1!$A:$J,MATCH('index match'!$D132,Sheet1!$C:$C,0),MATCH('index match'!E$2,Sheet1!$1:$1,0))</f>
        <v>Bailey</v>
      </c>
      <c r="F132">
        <f>INDEX(Sheet1!$A:$J,MATCH('index match'!$D132,Sheet1!$C:$C,0),MATCH('index match'!F$2,Sheet1!$1:$1,0))</f>
        <v>1</v>
      </c>
      <c r="G132" t="str">
        <f>INDEX(Sheet1!$A:$J,MATCH('index match'!$D132,Sheet1!$C:$C,0),MATCH('index match'!G$2,Sheet1!$1:$1,0))</f>
        <v>Middle Age</v>
      </c>
      <c r="K132" t="str">
        <v>Agata Dixon</v>
      </c>
      <c r="L132" t="str">
        <f>INDEX(Sheet1!$A:$J,MATCH('index match'!$K132,Sheet1!$C:$C,0),MATCH('index match'!L$2,Sheet1!$A$1:$J$1,0))</f>
        <v>Dixon</v>
      </c>
      <c r="M132">
        <f>INDEX(Sheet1!$A:$J,MATCH('index match'!$K132,Sheet1!$C:$C,0),MATCH('index match'!M$2,Sheet1!$A$1:$J$1,0))</f>
        <v>4</v>
      </c>
      <c r="N132" t="str">
        <f>INDEX(Sheet1!$A:$J,MATCH('index match'!$K132,Sheet1!$C:$C,0),MATCH('index match'!N$2,Sheet1!$A$1:$J$1,0))</f>
        <v>Middle Age</v>
      </c>
    </row>
    <row r="133" spans="4:14" x14ac:dyDescent="0.25">
      <c r="D133" t="str">
        <v>Sawyer Harrison</v>
      </c>
      <c r="E133" t="str">
        <f>INDEX(Sheet1!$A:$J,MATCH('index match'!$D133,Sheet1!$C:$C,0),MATCH('index match'!E$2,Sheet1!$1:$1,0))</f>
        <v>Harrison</v>
      </c>
      <c r="F133">
        <f>INDEX(Sheet1!$A:$J,MATCH('index match'!$D133,Sheet1!$C:$C,0),MATCH('index match'!F$2,Sheet1!$1:$1,0))</f>
        <v>0</v>
      </c>
      <c r="G133" t="str">
        <f>INDEX(Sheet1!$A:$J,MATCH('index match'!$D133,Sheet1!$C:$C,0),MATCH('index match'!G$2,Sheet1!$1:$1,0))</f>
        <v>Old</v>
      </c>
      <c r="K133" t="str">
        <v>Jordan Chapman</v>
      </c>
      <c r="L133" t="str">
        <f>INDEX(Sheet1!$A:$J,MATCH('index match'!$K133,Sheet1!$C:$C,0),MATCH('index match'!L$2,Sheet1!$A$1:$J$1,0))</f>
        <v>Chapman</v>
      </c>
      <c r="M133">
        <f>INDEX(Sheet1!$A:$J,MATCH('index match'!$K133,Sheet1!$C:$C,0),MATCH('index match'!M$2,Sheet1!$A$1:$J$1,0))</f>
        <v>5</v>
      </c>
      <c r="N133" t="str">
        <f>INDEX(Sheet1!$A:$J,MATCH('index match'!$K133,Sheet1!$C:$C,0),MATCH('index match'!N$2,Sheet1!$A$1:$J$1,0))</f>
        <v>Middle Age</v>
      </c>
    </row>
    <row r="134" spans="4:14" x14ac:dyDescent="0.25">
      <c r="D134" t="str">
        <v>Julia Henderson</v>
      </c>
      <c r="E134" t="str">
        <f>INDEX(Sheet1!$A:$J,MATCH('index match'!$D134,Sheet1!$C:$C,0),MATCH('index match'!E$2,Sheet1!$1:$1,0))</f>
        <v>Henderson</v>
      </c>
      <c r="F134">
        <f>INDEX(Sheet1!$A:$J,MATCH('index match'!$D134,Sheet1!$C:$C,0),MATCH('index match'!F$2,Sheet1!$1:$1,0))</f>
        <v>2</v>
      </c>
      <c r="G134" t="str">
        <f>INDEX(Sheet1!$A:$J,MATCH('index match'!$D134,Sheet1!$C:$C,0),MATCH('index match'!G$2,Sheet1!$1:$1,0))</f>
        <v>Old</v>
      </c>
      <c r="K134" t="str">
        <v>Kelvin Campbell</v>
      </c>
      <c r="L134" t="str">
        <f>INDEX(Sheet1!$A:$J,MATCH('index match'!$K134,Sheet1!$C:$C,0),MATCH('index match'!L$2,Sheet1!$A$1:$J$1,0))</f>
        <v>Campbell</v>
      </c>
      <c r="M134">
        <f>INDEX(Sheet1!$A:$J,MATCH('index match'!$K134,Sheet1!$C:$C,0),MATCH('index match'!M$2,Sheet1!$A$1:$J$1,0))</f>
        <v>1</v>
      </c>
      <c r="N134" t="str">
        <f>INDEX(Sheet1!$A:$J,MATCH('index match'!$K134,Sheet1!$C:$C,0),MATCH('index match'!N$2,Sheet1!$A$1:$J$1,0))</f>
        <v>Middle Age</v>
      </c>
    </row>
    <row r="135" spans="4:14" x14ac:dyDescent="0.25">
      <c r="D135" t="str">
        <v>Mary Stewart</v>
      </c>
      <c r="E135" t="str">
        <f>INDEX(Sheet1!$A:$J,MATCH('index match'!$D135,Sheet1!$C:$C,0),MATCH('index match'!E$2,Sheet1!$1:$1,0))</f>
        <v>Stewart</v>
      </c>
      <c r="F135">
        <f>INDEX(Sheet1!$A:$J,MATCH('index match'!$D135,Sheet1!$C:$C,0),MATCH('index match'!F$2,Sheet1!$1:$1,0))</f>
        <v>3</v>
      </c>
      <c r="G135" t="str">
        <f>INDEX(Sheet1!$A:$J,MATCH('index match'!$D135,Sheet1!$C:$C,0),MATCH('index match'!G$2,Sheet1!$1:$1,0))</f>
        <v>Young</v>
      </c>
      <c r="K135" t="str">
        <v>Alan Payne</v>
      </c>
      <c r="L135" t="str">
        <f>INDEX(Sheet1!$A:$J,MATCH('index match'!$K135,Sheet1!$C:$C,0),MATCH('index match'!L$2,Sheet1!$A$1:$J$1,0))</f>
        <v>Payne</v>
      </c>
      <c r="M135">
        <f>INDEX(Sheet1!$A:$J,MATCH('index match'!$K135,Sheet1!$C:$C,0),MATCH('index match'!M$2,Sheet1!$A$1:$J$1,0))</f>
        <v>1</v>
      </c>
      <c r="N135" t="str">
        <f>INDEX(Sheet1!$A:$J,MATCH('index match'!$K135,Sheet1!$C:$C,0),MATCH('index match'!N$2,Sheet1!$A$1:$J$1,0))</f>
        <v>Middle Age</v>
      </c>
    </row>
    <row r="136" spans="4:14" x14ac:dyDescent="0.25">
      <c r="D136" t="str">
        <v>Kate Payne</v>
      </c>
      <c r="E136" t="str">
        <f>INDEX(Sheet1!$A:$J,MATCH('index match'!$D136,Sheet1!$C:$C,0),MATCH('index match'!E$2,Sheet1!$1:$1,0))</f>
        <v>Payne</v>
      </c>
      <c r="F136">
        <f>INDEX(Sheet1!$A:$J,MATCH('index match'!$D136,Sheet1!$C:$C,0),MATCH('index match'!F$2,Sheet1!$1:$1,0))</f>
        <v>1</v>
      </c>
      <c r="G136" t="str">
        <f>INDEX(Sheet1!$A:$J,MATCH('index match'!$D136,Sheet1!$C:$C,0),MATCH('index match'!G$2,Sheet1!$1:$1,0))</f>
        <v>Middle Age</v>
      </c>
      <c r="K136" t="str">
        <v>Jared Barnes</v>
      </c>
      <c r="L136" t="str">
        <f>INDEX(Sheet1!$A:$J,MATCH('index match'!$K136,Sheet1!$C:$C,0),MATCH('index match'!L$2,Sheet1!$A$1:$J$1,0))</f>
        <v>Barnes</v>
      </c>
      <c r="M136">
        <f>INDEX(Sheet1!$A:$J,MATCH('index match'!$K136,Sheet1!$C:$C,0),MATCH('index match'!M$2,Sheet1!$A$1:$J$1,0))</f>
        <v>3</v>
      </c>
      <c r="N136" t="str">
        <f>INDEX(Sheet1!$A:$J,MATCH('index match'!$K136,Sheet1!$C:$C,0),MATCH('index match'!N$2,Sheet1!$A$1:$J$1,0))</f>
        <v>Young</v>
      </c>
    </row>
    <row r="137" spans="4:14" x14ac:dyDescent="0.25">
      <c r="D137" t="str">
        <v>Elian Cole</v>
      </c>
      <c r="E137" t="str">
        <f>INDEX(Sheet1!$A:$J,MATCH('index match'!$D137,Sheet1!$C:$C,0),MATCH('index match'!E$2,Sheet1!$1:$1,0))</f>
        <v>Cole</v>
      </c>
      <c r="F137">
        <f>INDEX(Sheet1!$A:$J,MATCH('index match'!$D137,Sheet1!$C:$C,0),MATCH('index match'!F$2,Sheet1!$1:$1,0))</f>
        <v>3</v>
      </c>
      <c r="G137" t="str">
        <f>INDEX(Sheet1!$A:$J,MATCH('index match'!$D137,Sheet1!$C:$C,0),MATCH('index match'!G$2,Sheet1!$1:$1,0))</f>
        <v>Middle Age</v>
      </c>
      <c r="K137" t="str">
        <v>Spike Richardson</v>
      </c>
      <c r="L137" t="str">
        <f>INDEX(Sheet1!$A:$J,MATCH('index match'!$K137,Sheet1!$C:$C,0),MATCH('index match'!L$2,Sheet1!$A$1:$J$1,0))</f>
        <v>Richardson</v>
      </c>
      <c r="M137">
        <f>INDEX(Sheet1!$A:$J,MATCH('index match'!$K137,Sheet1!$C:$C,0),MATCH('index match'!M$2,Sheet1!$A$1:$J$1,0))</f>
        <v>1</v>
      </c>
      <c r="N137" t="str">
        <f>INDEX(Sheet1!$A:$J,MATCH('index match'!$K137,Sheet1!$C:$C,0),MATCH('index match'!N$2,Sheet1!$A$1:$J$1,0))</f>
        <v>Old</v>
      </c>
    </row>
    <row r="138" spans="4:14" x14ac:dyDescent="0.25">
      <c r="D138" t="str">
        <v>Lenny Montgomery</v>
      </c>
      <c r="E138" t="str">
        <f>INDEX(Sheet1!$A:$J,MATCH('index match'!$D138,Sheet1!$C:$C,0),MATCH('index match'!E$2,Sheet1!$1:$1,0))</f>
        <v>Montgomery</v>
      </c>
      <c r="F138">
        <f>INDEX(Sheet1!$A:$J,MATCH('index match'!$D138,Sheet1!$C:$C,0),MATCH('index match'!F$2,Sheet1!$1:$1,0))</f>
        <v>4</v>
      </c>
      <c r="G138" t="str">
        <f>INDEX(Sheet1!$A:$J,MATCH('index match'!$D138,Sheet1!$C:$C,0),MATCH('index match'!G$2,Sheet1!$1:$1,0))</f>
        <v>Middle Age</v>
      </c>
      <c r="K138" t="str">
        <v>Marcus Chapman</v>
      </c>
      <c r="L138" t="str">
        <f>INDEX(Sheet1!$A:$J,MATCH('index match'!$K138,Sheet1!$C:$C,0),MATCH('index match'!L$2,Sheet1!$A$1:$J$1,0))</f>
        <v>Chapman</v>
      </c>
      <c r="M138">
        <f>INDEX(Sheet1!$A:$J,MATCH('index match'!$K138,Sheet1!$C:$C,0),MATCH('index match'!M$2,Sheet1!$A$1:$J$1,0))</f>
        <v>5</v>
      </c>
      <c r="N138" t="str">
        <f>INDEX(Sheet1!$A:$J,MATCH('index match'!$K138,Sheet1!$C:$C,0),MATCH('index match'!N$2,Sheet1!$A$1:$J$1,0))</f>
        <v>Young</v>
      </c>
    </row>
    <row r="139" spans="4:14" x14ac:dyDescent="0.25">
      <c r="D139" t="str">
        <v>Lana Martin</v>
      </c>
      <c r="E139" t="str">
        <f>INDEX(Sheet1!$A:$J,MATCH('index match'!$D139,Sheet1!$C:$C,0),MATCH('index match'!E$2,Sheet1!$1:$1,0))</f>
        <v>Martin</v>
      </c>
      <c r="F139">
        <f>INDEX(Sheet1!$A:$J,MATCH('index match'!$D139,Sheet1!$C:$C,0),MATCH('index match'!F$2,Sheet1!$1:$1,0))</f>
        <v>4</v>
      </c>
      <c r="G139" t="str">
        <f>INDEX(Sheet1!$A:$J,MATCH('index match'!$D139,Sheet1!$C:$C,0),MATCH('index match'!G$2,Sheet1!$1:$1,0))</f>
        <v>Middle Age</v>
      </c>
      <c r="K139" t="str">
        <v>Fiona Moore</v>
      </c>
      <c r="L139" t="str">
        <f>INDEX(Sheet1!$A:$J,MATCH('index match'!$K139,Sheet1!$C:$C,0),MATCH('index match'!L$2,Sheet1!$A$1:$J$1,0))</f>
        <v>Moore</v>
      </c>
      <c r="M139">
        <f>INDEX(Sheet1!$A:$J,MATCH('index match'!$K139,Sheet1!$C:$C,0),MATCH('index match'!M$2,Sheet1!$A$1:$J$1,0))</f>
        <v>1</v>
      </c>
      <c r="N139" t="str">
        <f>INDEX(Sheet1!$A:$J,MATCH('index match'!$K139,Sheet1!$C:$C,0),MATCH('index match'!N$2,Sheet1!$A$1:$J$1,0))</f>
        <v>Middle Age</v>
      </c>
    </row>
    <row r="140" spans="4:14" x14ac:dyDescent="0.25">
      <c r="D140" t="str">
        <v>Lydia Foster</v>
      </c>
      <c r="E140" t="str">
        <f>INDEX(Sheet1!$A:$J,MATCH('index match'!$D140,Sheet1!$C:$C,0),MATCH('index match'!E$2,Sheet1!$1:$1,0))</f>
        <v>Foster</v>
      </c>
      <c r="F140">
        <f>INDEX(Sheet1!$A:$J,MATCH('index match'!$D140,Sheet1!$C:$C,0),MATCH('index match'!F$2,Sheet1!$1:$1,0))</f>
        <v>2</v>
      </c>
      <c r="G140" t="str">
        <f>INDEX(Sheet1!$A:$J,MATCH('index match'!$D140,Sheet1!$C:$C,0),MATCH('index match'!G$2,Sheet1!$1:$1,0))</f>
        <v>Old</v>
      </c>
      <c r="K140" t="str">
        <v>Andrew Sullivan</v>
      </c>
      <c r="L140" t="str">
        <f>INDEX(Sheet1!$A:$J,MATCH('index match'!$K140,Sheet1!$C:$C,0),MATCH('index match'!L$2,Sheet1!$A$1:$J$1,0))</f>
        <v>Sullivan</v>
      </c>
      <c r="M140">
        <f>INDEX(Sheet1!$A:$J,MATCH('index match'!$K140,Sheet1!$C:$C,0),MATCH('index match'!M$2,Sheet1!$A$1:$J$1,0))</f>
        <v>0</v>
      </c>
      <c r="N140" t="str">
        <f>INDEX(Sheet1!$A:$J,MATCH('index match'!$K140,Sheet1!$C:$C,0),MATCH('index match'!N$2,Sheet1!$A$1:$J$1,0))</f>
        <v>Middle Age</v>
      </c>
    </row>
    <row r="141" spans="4:14" x14ac:dyDescent="0.25">
      <c r="D141" t="str">
        <v>Maria Crawford</v>
      </c>
      <c r="E141" t="str">
        <f>INDEX(Sheet1!$A:$J,MATCH('index match'!$D141,Sheet1!$C:$C,0),MATCH('index match'!E$2,Sheet1!$1:$1,0))</f>
        <v>Crawford</v>
      </c>
      <c r="F141">
        <f>INDEX(Sheet1!$A:$J,MATCH('index match'!$D141,Sheet1!$C:$C,0),MATCH('index match'!F$2,Sheet1!$1:$1,0))</f>
        <v>1</v>
      </c>
      <c r="G141" t="str">
        <f>INDEX(Sheet1!$A:$J,MATCH('index match'!$D141,Sheet1!$C:$C,0),MATCH('index match'!G$2,Sheet1!$1:$1,0))</f>
        <v>Young</v>
      </c>
      <c r="K141" t="str">
        <v>Maximilian Crawford</v>
      </c>
      <c r="L141" t="str">
        <f>INDEX(Sheet1!$A:$J,MATCH('index match'!$K141,Sheet1!$C:$C,0),MATCH('index match'!L$2,Sheet1!$A$1:$J$1,0))</f>
        <v>Crawford</v>
      </c>
      <c r="M141">
        <f>INDEX(Sheet1!$A:$J,MATCH('index match'!$K141,Sheet1!$C:$C,0),MATCH('index match'!M$2,Sheet1!$A$1:$J$1,0))</f>
        <v>3</v>
      </c>
      <c r="N141" t="str">
        <f>INDEX(Sheet1!$A:$J,MATCH('index match'!$K141,Sheet1!$C:$C,0),MATCH('index match'!N$2,Sheet1!$A$1:$J$1,0))</f>
        <v>Middle Age</v>
      </c>
    </row>
    <row r="142" spans="4:14" x14ac:dyDescent="0.25">
      <c r="D142" t="str">
        <v>Steven Payne</v>
      </c>
      <c r="E142" t="str">
        <f>INDEX(Sheet1!$A:$J,MATCH('index match'!$D142,Sheet1!$C:$C,0),MATCH('index match'!E$2,Sheet1!$1:$1,0))</f>
        <v>Payne</v>
      </c>
      <c r="F142">
        <f>INDEX(Sheet1!$A:$J,MATCH('index match'!$D142,Sheet1!$C:$C,0),MATCH('index match'!F$2,Sheet1!$1:$1,0))</f>
        <v>1</v>
      </c>
      <c r="G142" t="str">
        <f>INDEX(Sheet1!$A:$J,MATCH('index match'!$D142,Sheet1!$C:$C,0),MATCH('index match'!G$2,Sheet1!$1:$1,0))</f>
        <v>Middle Age</v>
      </c>
      <c r="K142" t="str">
        <v>Robert Campbell</v>
      </c>
      <c r="L142" t="str">
        <f>INDEX(Sheet1!$A:$J,MATCH('index match'!$K142,Sheet1!$C:$C,0),MATCH('index match'!L$2,Sheet1!$A$1:$J$1,0))</f>
        <v>Campbell</v>
      </c>
      <c r="M142">
        <f>INDEX(Sheet1!$A:$J,MATCH('index match'!$K142,Sheet1!$C:$C,0),MATCH('index match'!M$2,Sheet1!$A$1:$J$1,0))</f>
        <v>2</v>
      </c>
      <c r="N142" t="str">
        <f>INDEX(Sheet1!$A:$J,MATCH('index match'!$K142,Sheet1!$C:$C,0),MATCH('index match'!N$2,Sheet1!$A$1:$J$1,0))</f>
        <v>Middle Age</v>
      </c>
    </row>
    <row r="143" spans="4:14" x14ac:dyDescent="0.25">
      <c r="D143" t="str">
        <v>Sofia Wilson</v>
      </c>
      <c r="E143" t="str">
        <f>INDEX(Sheet1!$A:$J,MATCH('index match'!$D143,Sheet1!$C:$C,0),MATCH('index match'!E$2,Sheet1!$1:$1,0))</f>
        <v>Wilson</v>
      </c>
      <c r="F143">
        <f>INDEX(Sheet1!$A:$J,MATCH('index match'!$D143,Sheet1!$C:$C,0),MATCH('index match'!F$2,Sheet1!$1:$1,0))</f>
        <v>0</v>
      </c>
      <c r="G143" t="str">
        <f>INDEX(Sheet1!$A:$J,MATCH('index match'!$D143,Sheet1!$C:$C,0),MATCH('index match'!G$2,Sheet1!$1:$1,0))</f>
        <v>Middle Age</v>
      </c>
      <c r="K143" t="str">
        <v>Jared Hunt</v>
      </c>
      <c r="L143" t="str">
        <f>INDEX(Sheet1!$A:$J,MATCH('index match'!$K143,Sheet1!$C:$C,0),MATCH('index match'!L$2,Sheet1!$A$1:$J$1,0))</f>
        <v>Hunt</v>
      </c>
      <c r="M143">
        <f>INDEX(Sheet1!$A:$J,MATCH('index match'!$K143,Sheet1!$C:$C,0),MATCH('index match'!M$2,Sheet1!$A$1:$J$1,0))</f>
        <v>5</v>
      </c>
      <c r="N143" t="str">
        <f>INDEX(Sheet1!$A:$J,MATCH('index match'!$K143,Sheet1!$C:$C,0),MATCH('index match'!N$2,Sheet1!$A$1:$J$1,0))</f>
        <v>Old</v>
      </c>
    </row>
    <row r="144" spans="4:14" x14ac:dyDescent="0.25">
      <c r="D144" t="str">
        <v>Naomi Barrett</v>
      </c>
      <c r="E144" t="str">
        <f>INDEX(Sheet1!$A:$J,MATCH('index match'!$D144,Sheet1!$C:$C,0),MATCH('index match'!E$2,Sheet1!$1:$1,0))</f>
        <v>Barrett</v>
      </c>
      <c r="F144">
        <f>INDEX(Sheet1!$A:$J,MATCH('index match'!$D144,Sheet1!$C:$C,0),MATCH('index match'!F$2,Sheet1!$1:$1,0))</f>
        <v>3</v>
      </c>
      <c r="G144" t="str">
        <f>INDEX(Sheet1!$A:$J,MATCH('index match'!$D144,Sheet1!$C:$C,0),MATCH('index match'!G$2,Sheet1!$1:$1,0))</f>
        <v>Middle Age</v>
      </c>
      <c r="K144" t="str">
        <v>Kelvin Warren</v>
      </c>
      <c r="L144" t="str">
        <f>INDEX(Sheet1!$A:$J,MATCH('index match'!$K144,Sheet1!$C:$C,0),MATCH('index match'!L$2,Sheet1!$A$1:$J$1,0))</f>
        <v>Warren</v>
      </c>
      <c r="M144">
        <f>INDEX(Sheet1!$A:$J,MATCH('index match'!$K144,Sheet1!$C:$C,0),MATCH('index match'!M$2,Sheet1!$A$1:$J$1,0))</f>
        <v>4</v>
      </c>
      <c r="N144" t="str">
        <f>INDEX(Sheet1!$A:$J,MATCH('index match'!$K144,Sheet1!$C:$C,0),MATCH('index match'!N$2,Sheet1!$A$1:$J$1,0))</f>
        <v>Old</v>
      </c>
    </row>
    <row r="145" spans="4:14" x14ac:dyDescent="0.25">
      <c r="D145" t="str">
        <v>David Gray</v>
      </c>
      <c r="E145" t="str">
        <f>INDEX(Sheet1!$A:$J,MATCH('index match'!$D145,Sheet1!$C:$C,0),MATCH('index match'!E$2,Sheet1!$1:$1,0))</f>
        <v>Gray</v>
      </c>
      <c r="F145">
        <f>INDEX(Sheet1!$A:$J,MATCH('index match'!$D145,Sheet1!$C:$C,0),MATCH('index match'!F$2,Sheet1!$1:$1,0))</f>
        <v>2</v>
      </c>
      <c r="G145" t="str">
        <f>INDEX(Sheet1!$A:$J,MATCH('index match'!$D145,Sheet1!$C:$C,0),MATCH('index match'!G$2,Sheet1!$1:$1,0))</f>
        <v>Middle Age</v>
      </c>
      <c r="K145" t="str">
        <v>Alissa Sullivan</v>
      </c>
      <c r="L145" t="str">
        <f>INDEX(Sheet1!$A:$J,MATCH('index match'!$K145,Sheet1!$C:$C,0),MATCH('index match'!L$2,Sheet1!$A$1:$J$1,0))</f>
        <v>Sullivan</v>
      </c>
      <c r="M145">
        <f>INDEX(Sheet1!$A:$J,MATCH('index match'!$K145,Sheet1!$C:$C,0),MATCH('index match'!M$2,Sheet1!$A$1:$J$1,0))</f>
        <v>1</v>
      </c>
      <c r="N145" t="str">
        <f>INDEX(Sheet1!$A:$J,MATCH('index match'!$K145,Sheet1!$C:$C,0),MATCH('index match'!N$2,Sheet1!$A$1:$J$1,0))</f>
        <v>Middle Age</v>
      </c>
    </row>
    <row r="146" spans="4:14" x14ac:dyDescent="0.25">
      <c r="D146" t="str">
        <v>Jack Anderson</v>
      </c>
      <c r="E146" t="str">
        <f>INDEX(Sheet1!$A:$J,MATCH('index match'!$D146,Sheet1!$C:$C,0),MATCH('index match'!E$2,Sheet1!$1:$1,0))</f>
        <v>Anderson</v>
      </c>
      <c r="F146">
        <f>INDEX(Sheet1!$A:$J,MATCH('index match'!$D146,Sheet1!$C:$C,0),MATCH('index match'!F$2,Sheet1!$1:$1,0))</f>
        <v>4</v>
      </c>
      <c r="G146" t="str">
        <f>INDEX(Sheet1!$A:$J,MATCH('index match'!$D146,Sheet1!$C:$C,0),MATCH('index match'!G$2,Sheet1!$1:$1,0))</f>
        <v>Middle Age</v>
      </c>
      <c r="K146" t="str">
        <v>Myra Barrett</v>
      </c>
      <c r="L146" t="str">
        <f>INDEX(Sheet1!$A:$J,MATCH('index match'!$K146,Sheet1!$C:$C,0),MATCH('index match'!L$2,Sheet1!$A$1:$J$1,0))</f>
        <v>Barrett</v>
      </c>
      <c r="M146">
        <f>INDEX(Sheet1!$A:$J,MATCH('index match'!$K146,Sheet1!$C:$C,0),MATCH('index match'!M$2,Sheet1!$A$1:$J$1,0))</f>
        <v>3</v>
      </c>
      <c r="N146" t="str">
        <f>INDEX(Sheet1!$A:$J,MATCH('index match'!$K146,Sheet1!$C:$C,0),MATCH('index match'!N$2,Sheet1!$A$1:$J$1,0))</f>
        <v>Middle Age</v>
      </c>
    </row>
    <row r="147" spans="4:14" x14ac:dyDescent="0.25">
      <c r="D147" t="str">
        <v>Honey Russell</v>
      </c>
      <c r="E147" t="str">
        <f>INDEX(Sheet1!$A:$J,MATCH('index match'!$D147,Sheet1!$C:$C,0),MATCH('index match'!E$2,Sheet1!$1:$1,0))</f>
        <v>Russell</v>
      </c>
      <c r="F147">
        <f>INDEX(Sheet1!$A:$J,MATCH('index match'!$D147,Sheet1!$C:$C,0),MATCH('index match'!F$2,Sheet1!$1:$1,0))</f>
        <v>2</v>
      </c>
      <c r="G147" t="str">
        <f>INDEX(Sheet1!$A:$J,MATCH('index match'!$D147,Sheet1!$C:$C,0),MATCH('index match'!G$2,Sheet1!$1:$1,0))</f>
        <v>Old</v>
      </c>
      <c r="K147" t="str">
        <v>Cadie Harris</v>
      </c>
      <c r="L147" t="str">
        <f>INDEX(Sheet1!$A:$J,MATCH('index match'!$K147,Sheet1!$C:$C,0),MATCH('index match'!L$2,Sheet1!$A$1:$J$1,0))</f>
        <v>Harris</v>
      </c>
      <c r="M147">
        <f>INDEX(Sheet1!$A:$J,MATCH('index match'!$K147,Sheet1!$C:$C,0),MATCH('index match'!M$2,Sheet1!$A$1:$J$1,0))</f>
        <v>4</v>
      </c>
      <c r="N147" t="str">
        <f>INDEX(Sheet1!$A:$J,MATCH('index match'!$K147,Sheet1!$C:$C,0),MATCH('index match'!N$2,Sheet1!$A$1:$J$1,0))</f>
        <v>Middle Age</v>
      </c>
    </row>
    <row r="148" spans="4:14" x14ac:dyDescent="0.25">
      <c r="D148" t="str">
        <v>Sam Johnston</v>
      </c>
      <c r="E148" t="str">
        <f>INDEX(Sheet1!$A:$J,MATCH('index match'!$D148,Sheet1!$C:$C,0),MATCH('index match'!E$2,Sheet1!$1:$1,0))</f>
        <v>Johnston</v>
      </c>
      <c r="F148">
        <f>INDEX(Sheet1!$A:$J,MATCH('index match'!$D148,Sheet1!$C:$C,0),MATCH('index match'!F$2,Sheet1!$1:$1,0))</f>
        <v>4</v>
      </c>
      <c r="G148" t="str">
        <f>INDEX(Sheet1!$A:$J,MATCH('index match'!$D148,Sheet1!$C:$C,0),MATCH('index match'!G$2,Sheet1!$1:$1,0))</f>
        <v>Middle Age</v>
      </c>
      <c r="K148" t="str">
        <v>April Morris</v>
      </c>
      <c r="L148" t="str">
        <f>INDEX(Sheet1!$A:$J,MATCH('index match'!$K148,Sheet1!$C:$C,0),MATCH('index match'!L$2,Sheet1!$A$1:$J$1,0))</f>
        <v>Morris</v>
      </c>
      <c r="M148">
        <f>INDEX(Sheet1!$A:$J,MATCH('index match'!$K148,Sheet1!$C:$C,0),MATCH('index match'!M$2,Sheet1!$A$1:$J$1,0))</f>
        <v>5</v>
      </c>
      <c r="N148" t="str">
        <f>INDEX(Sheet1!$A:$J,MATCH('index match'!$K148,Sheet1!$C:$C,0),MATCH('index match'!N$2,Sheet1!$A$1:$J$1,0))</f>
        <v>Young</v>
      </c>
    </row>
    <row r="149" spans="4:14" x14ac:dyDescent="0.25">
      <c r="D149" t="str">
        <v>Alan Smith</v>
      </c>
      <c r="E149" t="str">
        <f>INDEX(Sheet1!$A:$J,MATCH('index match'!$D149,Sheet1!$C:$C,0),MATCH('index match'!E$2,Sheet1!$1:$1,0))</f>
        <v>Smith</v>
      </c>
      <c r="F149">
        <f>INDEX(Sheet1!$A:$J,MATCH('index match'!$D149,Sheet1!$C:$C,0),MATCH('index match'!F$2,Sheet1!$1:$1,0))</f>
        <v>1</v>
      </c>
      <c r="G149" t="str">
        <f>INDEX(Sheet1!$A:$J,MATCH('index match'!$D149,Sheet1!$C:$C,0),MATCH('index match'!G$2,Sheet1!$1:$1,0))</f>
        <v>Old</v>
      </c>
      <c r="K149" t="str">
        <v>Brianna Perry</v>
      </c>
      <c r="L149" t="str">
        <f>INDEX(Sheet1!$A:$J,MATCH('index match'!$K149,Sheet1!$C:$C,0),MATCH('index match'!L$2,Sheet1!$A$1:$J$1,0))</f>
        <v>Perry</v>
      </c>
      <c r="M149">
        <f>INDEX(Sheet1!$A:$J,MATCH('index match'!$K149,Sheet1!$C:$C,0),MATCH('index match'!M$2,Sheet1!$A$1:$J$1,0))</f>
        <v>2</v>
      </c>
      <c r="N149" t="str">
        <f>INDEX(Sheet1!$A:$J,MATCH('index match'!$K149,Sheet1!$C:$C,0),MATCH('index match'!N$2,Sheet1!$A$1:$J$1,0))</f>
        <v>Middle Age</v>
      </c>
    </row>
    <row r="150" spans="4:14" x14ac:dyDescent="0.25">
      <c r="D150" t="str">
        <v>Andrew Mason</v>
      </c>
      <c r="E150" t="str">
        <f>INDEX(Sheet1!$A:$J,MATCH('index match'!$D150,Sheet1!$C:$C,0),MATCH('index match'!E$2,Sheet1!$1:$1,0))</f>
        <v>Mason</v>
      </c>
      <c r="F150">
        <f>INDEX(Sheet1!$A:$J,MATCH('index match'!$D150,Sheet1!$C:$C,0),MATCH('index match'!F$2,Sheet1!$1:$1,0))</f>
        <v>0</v>
      </c>
      <c r="G150" t="str">
        <f>INDEX(Sheet1!$A:$J,MATCH('index match'!$D150,Sheet1!$C:$C,0),MATCH('index match'!G$2,Sheet1!$1:$1,0))</f>
        <v>Middle Age</v>
      </c>
      <c r="K150" t="str">
        <v>Arianna Elliott</v>
      </c>
      <c r="L150" t="str">
        <f>INDEX(Sheet1!$A:$J,MATCH('index match'!$K150,Sheet1!$C:$C,0),MATCH('index match'!L$2,Sheet1!$A$1:$J$1,0))</f>
        <v>Elliott</v>
      </c>
      <c r="M150">
        <f>INDEX(Sheet1!$A:$J,MATCH('index match'!$K150,Sheet1!$C:$C,0),MATCH('index match'!M$2,Sheet1!$A$1:$J$1,0))</f>
        <v>2</v>
      </c>
      <c r="N150" t="str">
        <f>INDEX(Sheet1!$A:$J,MATCH('index match'!$K150,Sheet1!$C:$C,0),MATCH('index match'!N$2,Sheet1!$A$1:$J$1,0))</f>
        <v>Young</v>
      </c>
    </row>
    <row r="151" spans="4:14" x14ac:dyDescent="0.25">
      <c r="D151" t="str">
        <v>Max Carroll</v>
      </c>
      <c r="E151" t="str">
        <f>INDEX(Sheet1!$A:$J,MATCH('index match'!$D151,Sheet1!$C:$C,0),MATCH('index match'!E$2,Sheet1!$1:$1,0))</f>
        <v>Carroll</v>
      </c>
      <c r="F151">
        <f>INDEX(Sheet1!$A:$J,MATCH('index match'!$D151,Sheet1!$C:$C,0),MATCH('index match'!F$2,Sheet1!$1:$1,0))</f>
        <v>5</v>
      </c>
      <c r="G151" t="str">
        <f>INDEX(Sheet1!$A:$J,MATCH('index match'!$D151,Sheet1!$C:$C,0),MATCH('index match'!G$2,Sheet1!$1:$1,0))</f>
        <v>Young</v>
      </c>
      <c r="K151" t="str">
        <v>Preston Williams</v>
      </c>
      <c r="L151" t="str">
        <f>INDEX(Sheet1!$A:$J,MATCH('index match'!$K151,Sheet1!$C:$C,0),MATCH('index match'!L$2,Sheet1!$A$1:$J$1,0))</f>
        <v>Williams</v>
      </c>
      <c r="M151">
        <f>INDEX(Sheet1!$A:$J,MATCH('index match'!$K151,Sheet1!$C:$C,0),MATCH('index match'!M$2,Sheet1!$A$1:$J$1,0))</f>
        <v>0</v>
      </c>
      <c r="N151" t="str">
        <f>INDEX(Sheet1!$A:$J,MATCH('index match'!$K151,Sheet1!$C:$C,0),MATCH('index match'!N$2,Sheet1!$A$1:$J$1,0))</f>
        <v>Old</v>
      </c>
    </row>
    <row r="152" spans="4:14" x14ac:dyDescent="0.25">
      <c r="D152" t="str">
        <v>Rafael Kelley</v>
      </c>
      <c r="E152" t="str">
        <f>INDEX(Sheet1!$A:$J,MATCH('index match'!$D152,Sheet1!$C:$C,0),MATCH('index match'!E$2,Sheet1!$1:$1,0))</f>
        <v>Kelley</v>
      </c>
      <c r="F152">
        <f>INDEX(Sheet1!$A:$J,MATCH('index match'!$D152,Sheet1!$C:$C,0),MATCH('index match'!F$2,Sheet1!$1:$1,0))</f>
        <v>3</v>
      </c>
      <c r="G152" t="str">
        <f>INDEX(Sheet1!$A:$J,MATCH('index match'!$D152,Sheet1!$C:$C,0),MATCH('index match'!G$2,Sheet1!$1:$1,0))</f>
        <v>Old</v>
      </c>
      <c r="K152" t="str">
        <v>Violet Cooper</v>
      </c>
      <c r="L152" t="str">
        <f>INDEX(Sheet1!$A:$J,MATCH('index match'!$K152,Sheet1!$C:$C,0),MATCH('index match'!L$2,Sheet1!$A$1:$J$1,0))</f>
        <v>Cooper</v>
      </c>
      <c r="M152">
        <f>INDEX(Sheet1!$A:$J,MATCH('index match'!$K152,Sheet1!$C:$C,0),MATCH('index match'!M$2,Sheet1!$A$1:$J$1,0))</f>
        <v>2</v>
      </c>
      <c r="N152" t="str">
        <f>INDEX(Sheet1!$A:$J,MATCH('index match'!$K152,Sheet1!$C:$C,0),MATCH('index match'!N$2,Sheet1!$A$1:$J$1,0))</f>
        <v>Old</v>
      </c>
    </row>
    <row r="153" spans="4:14" x14ac:dyDescent="0.25">
      <c r="D153" t="str">
        <v>Alen Harper</v>
      </c>
      <c r="E153" t="str">
        <f>INDEX(Sheet1!$A:$J,MATCH('index match'!$D153,Sheet1!$C:$C,0),MATCH('index match'!E$2,Sheet1!$1:$1,0))</f>
        <v>Harper</v>
      </c>
      <c r="F153">
        <f>INDEX(Sheet1!$A:$J,MATCH('index match'!$D153,Sheet1!$C:$C,0),MATCH('index match'!F$2,Sheet1!$1:$1,0))</f>
        <v>3</v>
      </c>
      <c r="G153" t="str">
        <f>INDEX(Sheet1!$A:$J,MATCH('index match'!$D153,Sheet1!$C:$C,0),MATCH('index match'!G$2,Sheet1!$1:$1,0))</f>
        <v>Middle Age</v>
      </c>
      <c r="K153" t="str">
        <v>Alina Parker</v>
      </c>
      <c r="L153" t="str">
        <f>INDEX(Sheet1!$A:$J,MATCH('index match'!$K153,Sheet1!$C:$C,0),MATCH('index match'!L$2,Sheet1!$A$1:$J$1,0))</f>
        <v>Parker</v>
      </c>
      <c r="M153">
        <f>INDEX(Sheet1!$A:$J,MATCH('index match'!$K153,Sheet1!$C:$C,0),MATCH('index match'!M$2,Sheet1!$A$1:$J$1,0))</f>
        <v>4</v>
      </c>
      <c r="N153" t="str">
        <f>INDEX(Sheet1!$A:$J,MATCH('index match'!$K153,Sheet1!$C:$C,0),MATCH('index match'!N$2,Sheet1!$A$1:$J$1,0))</f>
        <v>Middle Age</v>
      </c>
    </row>
    <row r="154" spans="4:14" x14ac:dyDescent="0.25">
      <c r="D154" t="str">
        <v>Emily Walker</v>
      </c>
      <c r="E154" t="str">
        <f>INDEX(Sheet1!$A:$J,MATCH('index match'!$D154,Sheet1!$C:$C,0),MATCH('index match'!E$2,Sheet1!$1:$1,0))</f>
        <v>Walker</v>
      </c>
      <c r="F154">
        <f>INDEX(Sheet1!$A:$J,MATCH('index match'!$D154,Sheet1!$C:$C,0),MATCH('index match'!F$2,Sheet1!$1:$1,0))</f>
        <v>3</v>
      </c>
      <c r="G154" t="str">
        <f>INDEX(Sheet1!$A:$J,MATCH('index match'!$D154,Sheet1!$C:$C,0),MATCH('index match'!G$2,Sheet1!$1:$1,0))</f>
        <v>Old</v>
      </c>
      <c r="K154" t="str">
        <v>Paul Harrison</v>
      </c>
      <c r="L154" t="str">
        <f>INDEX(Sheet1!$A:$J,MATCH('index match'!$K154,Sheet1!$C:$C,0),MATCH('index match'!L$2,Sheet1!$A$1:$J$1,0))</f>
        <v>Harrison</v>
      </c>
      <c r="M154">
        <f>INDEX(Sheet1!$A:$J,MATCH('index match'!$K154,Sheet1!$C:$C,0),MATCH('index match'!M$2,Sheet1!$A$1:$J$1,0))</f>
        <v>4</v>
      </c>
      <c r="N154" t="str">
        <f>INDEX(Sheet1!$A:$J,MATCH('index match'!$K154,Sheet1!$C:$C,0),MATCH('index match'!N$2,Sheet1!$A$1:$J$1,0))</f>
        <v>Middle Age</v>
      </c>
    </row>
    <row r="155" spans="4:14" x14ac:dyDescent="0.25">
      <c r="D155" t="str">
        <v>Connie Gibson</v>
      </c>
      <c r="E155" t="str">
        <f>INDEX(Sheet1!$A:$J,MATCH('index match'!$D155,Sheet1!$C:$C,0),MATCH('index match'!E$2,Sheet1!$1:$1,0))</f>
        <v>Gibson</v>
      </c>
      <c r="F155">
        <f>INDEX(Sheet1!$A:$J,MATCH('index match'!$D155,Sheet1!$C:$C,0),MATCH('index match'!F$2,Sheet1!$1:$1,0))</f>
        <v>3</v>
      </c>
      <c r="G155" t="str">
        <f>INDEX(Sheet1!$A:$J,MATCH('index match'!$D155,Sheet1!$C:$C,0),MATCH('index match'!G$2,Sheet1!$1:$1,0))</f>
        <v>Middle Age</v>
      </c>
      <c r="K155" t="str">
        <v>Ryan Parker</v>
      </c>
      <c r="L155" t="str">
        <f>INDEX(Sheet1!$A:$J,MATCH('index match'!$K155,Sheet1!$C:$C,0),MATCH('index match'!L$2,Sheet1!$A$1:$J$1,0))</f>
        <v>Parker</v>
      </c>
      <c r="M155">
        <f>INDEX(Sheet1!$A:$J,MATCH('index match'!$K155,Sheet1!$C:$C,0),MATCH('index match'!M$2,Sheet1!$A$1:$J$1,0))</f>
        <v>5</v>
      </c>
      <c r="N155" t="str">
        <f>INDEX(Sheet1!$A:$J,MATCH('index match'!$K155,Sheet1!$C:$C,0),MATCH('index match'!N$2,Sheet1!$A$1:$J$1,0))</f>
        <v>Middle Age</v>
      </c>
    </row>
    <row r="156" spans="4:14" x14ac:dyDescent="0.25">
      <c r="D156" t="str">
        <v>Kimberly Rogers</v>
      </c>
      <c r="E156" t="str">
        <f>INDEX(Sheet1!$A:$J,MATCH('index match'!$D156,Sheet1!$C:$C,0),MATCH('index match'!E$2,Sheet1!$1:$1,0))</f>
        <v>Rogers</v>
      </c>
      <c r="F156">
        <f>INDEX(Sheet1!$A:$J,MATCH('index match'!$D156,Sheet1!$C:$C,0),MATCH('index match'!F$2,Sheet1!$1:$1,0))</f>
        <v>2</v>
      </c>
      <c r="G156" t="str">
        <f>INDEX(Sheet1!$A:$J,MATCH('index match'!$D156,Sheet1!$C:$C,0),MATCH('index match'!G$2,Sheet1!$1:$1,0))</f>
        <v>Old</v>
      </c>
      <c r="K156" t="str">
        <v>Elise Tucker</v>
      </c>
      <c r="L156" t="str">
        <f>INDEX(Sheet1!$A:$J,MATCH('index match'!$K156,Sheet1!$C:$C,0),MATCH('index match'!L$2,Sheet1!$A$1:$J$1,0))</f>
        <v>Tucker</v>
      </c>
      <c r="M156">
        <f>INDEX(Sheet1!$A:$J,MATCH('index match'!$K156,Sheet1!$C:$C,0),MATCH('index match'!M$2,Sheet1!$A$1:$J$1,0))</f>
        <v>5</v>
      </c>
      <c r="N156" t="str">
        <f>INDEX(Sheet1!$A:$J,MATCH('index match'!$K156,Sheet1!$C:$C,0),MATCH('index match'!N$2,Sheet1!$A$1:$J$1,0))</f>
        <v>Young</v>
      </c>
    </row>
    <row r="157" spans="4:14" x14ac:dyDescent="0.25">
      <c r="D157" t="str">
        <v>Ned Brown</v>
      </c>
      <c r="E157" t="str">
        <f>INDEX(Sheet1!$A:$J,MATCH('index match'!$D157,Sheet1!$C:$C,0),MATCH('index match'!E$2,Sheet1!$1:$1,0))</f>
        <v>Brown</v>
      </c>
      <c r="F157">
        <f>INDEX(Sheet1!$A:$J,MATCH('index match'!$D157,Sheet1!$C:$C,0),MATCH('index match'!F$2,Sheet1!$1:$1,0))</f>
        <v>1</v>
      </c>
      <c r="G157" t="str">
        <f>INDEX(Sheet1!$A:$J,MATCH('index match'!$D157,Sheet1!$C:$C,0),MATCH('index match'!G$2,Sheet1!$1:$1,0))</f>
        <v>Middle Age</v>
      </c>
      <c r="K157" t="str">
        <v>Eleanor Thomas</v>
      </c>
      <c r="L157" t="str">
        <f>INDEX(Sheet1!$A:$J,MATCH('index match'!$K157,Sheet1!$C:$C,0),MATCH('index match'!L$2,Sheet1!$A$1:$J$1,0))</f>
        <v>Thomas</v>
      </c>
      <c r="M157">
        <f>INDEX(Sheet1!$A:$J,MATCH('index match'!$K157,Sheet1!$C:$C,0),MATCH('index match'!M$2,Sheet1!$A$1:$J$1,0))</f>
        <v>0</v>
      </c>
      <c r="N157" t="str">
        <f>INDEX(Sheet1!$A:$J,MATCH('index match'!$K157,Sheet1!$C:$C,0),MATCH('index match'!N$2,Sheet1!$A$1:$J$1,0))</f>
        <v>Old</v>
      </c>
    </row>
    <row r="158" spans="4:14" x14ac:dyDescent="0.25">
      <c r="D158" t="str">
        <v>Agata West</v>
      </c>
      <c r="E158" t="str">
        <f>INDEX(Sheet1!$A:$J,MATCH('index match'!$D158,Sheet1!$C:$C,0),MATCH('index match'!E$2,Sheet1!$1:$1,0))</f>
        <v>West</v>
      </c>
      <c r="F158">
        <f>INDEX(Sheet1!$A:$J,MATCH('index match'!$D158,Sheet1!$C:$C,0),MATCH('index match'!F$2,Sheet1!$1:$1,0))</f>
        <v>3</v>
      </c>
      <c r="G158" t="str">
        <f>INDEX(Sheet1!$A:$J,MATCH('index match'!$D158,Sheet1!$C:$C,0),MATCH('index match'!G$2,Sheet1!$1:$1,0))</f>
        <v>Old</v>
      </c>
      <c r="K158" t="str">
        <v>Maya Mitchell</v>
      </c>
      <c r="L158" t="str">
        <f>INDEX(Sheet1!$A:$J,MATCH('index match'!$K158,Sheet1!$C:$C,0),MATCH('index match'!L$2,Sheet1!$A$1:$J$1,0))</f>
        <v>Mitchell</v>
      </c>
      <c r="M158">
        <f>INDEX(Sheet1!$A:$J,MATCH('index match'!$K158,Sheet1!$C:$C,0),MATCH('index match'!M$2,Sheet1!$A$1:$J$1,0))</f>
        <v>3</v>
      </c>
      <c r="N158" t="str">
        <f>INDEX(Sheet1!$A:$J,MATCH('index match'!$K158,Sheet1!$C:$C,0),MATCH('index match'!N$2,Sheet1!$A$1:$J$1,0))</f>
        <v>Middle Age</v>
      </c>
    </row>
    <row r="159" spans="4:14" x14ac:dyDescent="0.25">
      <c r="D159" t="str">
        <v>Sophia West</v>
      </c>
      <c r="E159" t="str">
        <f>INDEX(Sheet1!$A:$J,MATCH('index match'!$D159,Sheet1!$C:$C,0),MATCH('index match'!E$2,Sheet1!$1:$1,0))</f>
        <v>West</v>
      </c>
      <c r="F159">
        <f>INDEX(Sheet1!$A:$J,MATCH('index match'!$D159,Sheet1!$C:$C,0),MATCH('index match'!F$2,Sheet1!$1:$1,0))</f>
        <v>4</v>
      </c>
      <c r="G159" t="str">
        <f>INDEX(Sheet1!$A:$J,MATCH('index match'!$D159,Sheet1!$C:$C,0),MATCH('index match'!G$2,Sheet1!$1:$1,0))</f>
        <v>Young</v>
      </c>
      <c r="K159" t="str">
        <v>Sawyer Wright</v>
      </c>
      <c r="L159" t="str">
        <f>INDEX(Sheet1!$A:$J,MATCH('index match'!$K159,Sheet1!$C:$C,0),MATCH('index match'!L$2,Sheet1!$A$1:$J$1,0))</f>
        <v>Wright</v>
      </c>
      <c r="M159">
        <f>INDEX(Sheet1!$A:$J,MATCH('index match'!$K159,Sheet1!$C:$C,0),MATCH('index match'!M$2,Sheet1!$A$1:$J$1,0))</f>
        <v>4</v>
      </c>
      <c r="N159" t="str">
        <f>INDEX(Sheet1!$A:$J,MATCH('index match'!$K159,Sheet1!$C:$C,0),MATCH('index match'!N$2,Sheet1!$A$1:$J$1,0))</f>
        <v>Middle Age</v>
      </c>
    </row>
    <row r="160" spans="4:14" x14ac:dyDescent="0.25">
      <c r="D160" t="str">
        <v>Tess Adams</v>
      </c>
      <c r="E160" t="str">
        <f>INDEX(Sheet1!$A:$J,MATCH('index match'!$D160,Sheet1!$C:$C,0),MATCH('index match'!E$2,Sheet1!$1:$1,0))</f>
        <v>Adams</v>
      </c>
      <c r="F160">
        <f>INDEX(Sheet1!$A:$J,MATCH('index match'!$D160,Sheet1!$C:$C,0),MATCH('index match'!F$2,Sheet1!$1:$1,0))</f>
        <v>2</v>
      </c>
      <c r="G160" t="str">
        <f>INDEX(Sheet1!$A:$J,MATCH('index match'!$D160,Sheet1!$C:$C,0),MATCH('index match'!G$2,Sheet1!$1:$1,0))</f>
        <v>Young</v>
      </c>
      <c r="K160" t="str">
        <v>Jared Perkins</v>
      </c>
      <c r="L160" t="str">
        <f>INDEX(Sheet1!$A:$J,MATCH('index match'!$K160,Sheet1!$C:$C,0),MATCH('index match'!L$2,Sheet1!$A$1:$J$1,0))</f>
        <v>Perkins</v>
      </c>
      <c r="M160">
        <f>INDEX(Sheet1!$A:$J,MATCH('index match'!$K160,Sheet1!$C:$C,0),MATCH('index match'!M$2,Sheet1!$A$1:$J$1,0))</f>
        <v>1</v>
      </c>
      <c r="N160" t="str">
        <f>INDEX(Sheet1!$A:$J,MATCH('index match'!$K160,Sheet1!$C:$C,0),MATCH('index match'!N$2,Sheet1!$A$1:$J$1,0))</f>
        <v>Middle Age</v>
      </c>
    </row>
    <row r="161" spans="4:14" x14ac:dyDescent="0.25">
      <c r="D161" t="str">
        <v>Edgar Warren</v>
      </c>
      <c r="E161" t="str">
        <f>INDEX(Sheet1!$A:$J,MATCH('index match'!$D161,Sheet1!$C:$C,0),MATCH('index match'!E$2,Sheet1!$1:$1,0))</f>
        <v>Warren</v>
      </c>
      <c r="F161">
        <f>INDEX(Sheet1!$A:$J,MATCH('index match'!$D161,Sheet1!$C:$C,0),MATCH('index match'!F$2,Sheet1!$1:$1,0))</f>
        <v>2</v>
      </c>
      <c r="G161" t="str">
        <f>INDEX(Sheet1!$A:$J,MATCH('index match'!$D161,Sheet1!$C:$C,0),MATCH('index match'!G$2,Sheet1!$1:$1,0))</f>
        <v>Young</v>
      </c>
      <c r="K161" t="str">
        <v>Darcy Jones</v>
      </c>
      <c r="L161" t="str">
        <f>INDEX(Sheet1!$A:$J,MATCH('index match'!$K161,Sheet1!$C:$C,0),MATCH('index match'!L$2,Sheet1!$A$1:$J$1,0))</f>
        <v>Jones</v>
      </c>
      <c r="M161">
        <f>INDEX(Sheet1!$A:$J,MATCH('index match'!$K161,Sheet1!$C:$C,0),MATCH('index match'!M$2,Sheet1!$A$1:$J$1,0))</f>
        <v>5</v>
      </c>
      <c r="N161" t="str">
        <f>INDEX(Sheet1!$A:$J,MATCH('index match'!$K161,Sheet1!$C:$C,0),MATCH('index match'!N$2,Sheet1!$A$1:$J$1,0))</f>
        <v>Middle Age</v>
      </c>
    </row>
    <row r="162" spans="4:14" x14ac:dyDescent="0.25">
      <c r="D162" t="str">
        <v>Darcy Fowler</v>
      </c>
      <c r="E162" t="str">
        <f>INDEX(Sheet1!$A:$J,MATCH('index match'!$D162,Sheet1!$C:$C,0),MATCH('index match'!E$2,Sheet1!$1:$1,0))</f>
        <v>Fowler</v>
      </c>
      <c r="F162">
        <f>INDEX(Sheet1!$A:$J,MATCH('index match'!$D162,Sheet1!$C:$C,0),MATCH('index match'!F$2,Sheet1!$1:$1,0))</f>
        <v>3</v>
      </c>
      <c r="G162" t="str">
        <f>INDEX(Sheet1!$A:$J,MATCH('index match'!$D162,Sheet1!$C:$C,0),MATCH('index match'!G$2,Sheet1!$1:$1,0))</f>
        <v>Old</v>
      </c>
      <c r="K162" t="str">
        <v>Lilianna Bailey</v>
      </c>
      <c r="L162" t="str">
        <f>INDEX(Sheet1!$A:$J,MATCH('index match'!$K162,Sheet1!$C:$C,0),MATCH('index match'!L$2,Sheet1!$A$1:$J$1,0))</f>
        <v>Bailey</v>
      </c>
      <c r="M162">
        <f>INDEX(Sheet1!$A:$J,MATCH('index match'!$K162,Sheet1!$C:$C,0),MATCH('index match'!M$2,Sheet1!$A$1:$J$1,0))</f>
        <v>3</v>
      </c>
      <c r="N162" t="str">
        <f>INDEX(Sheet1!$A:$J,MATCH('index match'!$K162,Sheet1!$C:$C,0),MATCH('index match'!N$2,Sheet1!$A$1:$J$1,0))</f>
        <v>Middle Age</v>
      </c>
    </row>
    <row r="163" spans="4:14" x14ac:dyDescent="0.25">
      <c r="D163" t="str">
        <v>April Armstrong</v>
      </c>
      <c r="E163" t="str">
        <f>INDEX(Sheet1!$A:$J,MATCH('index match'!$D163,Sheet1!$C:$C,0),MATCH('index match'!E$2,Sheet1!$1:$1,0))</f>
        <v>Armstrong</v>
      </c>
      <c r="F163">
        <f>INDEX(Sheet1!$A:$J,MATCH('index match'!$D163,Sheet1!$C:$C,0),MATCH('index match'!F$2,Sheet1!$1:$1,0))</f>
        <v>4</v>
      </c>
      <c r="G163" t="str">
        <f>INDEX(Sheet1!$A:$J,MATCH('index match'!$D163,Sheet1!$C:$C,0),MATCH('index match'!G$2,Sheet1!$1:$1,0))</f>
        <v>Young</v>
      </c>
      <c r="K163" t="str">
        <v>Vincent Armstrong</v>
      </c>
      <c r="L163" t="str">
        <f>INDEX(Sheet1!$A:$J,MATCH('index match'!$K163,Sheet1!$C:$C,0),MATCH('index match'!L$2,Sheet1!$A$1:$J$1,0))</f>
        <v>Armstrong</v>
      </c>
      <c r="M163">
        <f>INDEX(Sheet1!$A:$J,MATCH('index match'!$K163,Sheet1!$C:$C,0),MATCH('index match'!M$2,Sheet1!$A$1:$J$1,0))</f>
        <v>0</v>
      </c>
      <c r="N163" t="str">
        <f>INDEX(Sheet1!$A:$J,MATCH('index match'!$K163,Sheet1!$C:$C,0),MATCH('index match'!N$2,Sheet1!$A$1:$J$1,0))</f>
        <v>Middle Age</v>
      </c>
    </row>
    <row r="164" spans="4:14" x14ac:dyDescent="0.25">
      <c r="D164" t="str">
        <v>Adrianna Bennett</v>
      </c>
      <c r="E164" t="str">
        <f>INDEX(Sheet1!$A:$J,MATCH('index match'!$D164,Sheet1!$C:$C,0),MATCH('index match'!E$2,Sheet1!$1:$1,0))</f>
        <v>Bennett</v>
      </c>
      <c r="F164">
        <f>INDEX(Sheet1!$A:$J,MATCH('index match'!$D164,Sheet1!$C:$C,0),MATCH('index match'!F$2,Sheet1!$1:$1,0))</f>
        <v>1</v>
      </c>
      <c r="G164" t="str">
        <f>INDEX(Sheet1!$A:$J,MATCH('index match'!$D164,Sheet1!$C:$C,0),MATCH('index match'!G$2,Sheet1!$1:$1,0))</f>
        <v>Middle Age</v>
      </c>
      <c r="K164" t="str">
        <v>Kelvin Edwards</v>
      </c>
      <c r="L164" t="str">
        <f>INDEX(Sheet1!$A:$J,MATCH('index match'!$K164,Sheet1!$C:$C,0),MATCH('index match'!L$2,Sheet1!$A$1:$J$1,0))</f>
        <v>Edwards</v>
      </c>
      <c r="M164">
        <f>INDEX(Sheet1!$A:$J,MATCH('index match'!$K164,Sheet1!$C:$C,0),MATCH('index match'!M$2,Sheet1!$A$1:$J$1,0))</f>
        <v>3</v>
      </c>
      <c r="N164" t="str">
        <f>INDEX(Sheet1!$A:$J,MATCH('index match'!$K164,Sheet1!$C:$C,0),MATCH('index match'!N$2,Sheet1!$A$1:$J$1,0))</f>
        <v>Middle Age</v>
      </c>
    </row>
    <row r="165" spans="4:14" x14ac:dyDescent="0.25">
      <c r="D165" t="str">
        <v>Adelaide Crawford</v>
      </c>
      <c r="E165" t="str">
        <f>INDEX(Sheet1!$A:$J,MATCH('index match'!$D165,Sheet1!$C:$C,0),MATCH('index match'!E$2,Sheet1!$1:$1,0))</f>
        <v>Crawford</v>
      </c>
      <c r="F165">
        <f>INDEX(Sheet1!$A:$J,MATCH('index match'!$D165,Sheet1!$C:$C,0),MATCH('index match'!F$2,Sheet1!$1:$1,0))</f>
        <v>2</v>
      </c>
      <c r="G165" t="str">
        <f>INDEX(Sheet1!$A:$J,MATCH('index match'!$D165,Sheet1!$C:$C,0),MATCH('index match'!G$2,Sheet1!$1:$1,0))</f>
        <v>Middle Age</v>
      </c>
      <c r="K165" t="str">
        <v>Julian Watson</v>
      </c>
      <c r="L165" t="str">
        <f>INDEX(Sheet1!$A:$J,MATCH('index match'!$K165,Sheet1!$C:$C,0),MATCH('index match'!L$2,Sheet1!$A$1:$J$1,0))</f>
        <v>Watson</v>
      </c>
      <c r="M165">
        <f>INDEX(Sheet1!$A:$J,MATCH('index match'!$K165,Sheet1!$C:$C,0),MATCH('index match'!M$2,Sheet1!$A$1:$J$1,0))</f>
        <v>5</v>
      </c>
      <c r="N165" t="str">
        <f>INDEX(Sheet1!$A:$J,MATCH('index match'!$K165,Sheet1!$C:$C,0),MATCH('index match'!N$2,Sheet1!$A$1:$J$1,0))</f>
        <v>Middle Age</v>
      </c>
    </row>
    <row r="166" spans="4:14" x14ac:dyDescent="0.25">
      <c r="D166" t="str">
        <v>John Gray</v>
      </c>
      <c r="E166" t="str">
        <f>INDEX(Sheet1!$A:$J,MATCH('index match'!$D166,Sheet1!$C:$C,0),MATCH('index match'!E$2,Sheet1!$1:$1,0))</f>
        <v>Gray</v>
      </c>
      <c r="F166">
        <f>INDEX(Sheet1!$A:$J,MATCH('index match'!$D166,Sheet1!$C:$C,0),MATCH('index match'!F$2,Sheet1!$1:$1,0))</f>
        <v>2</v>
      </c>
      <c r="G166" t="str">
        <f>INDEX(Sheet1!$A:$J,MATCH('index match'!$D166,Sheet1!$C:$C,0),MATCH('index match'!G$2,Sheet1!$1:$1,0))</f>
        <v>Middle Age</v>
      </c>
      <c r="K166" t="str">
        <v>Sienna Howard</v>
      </c>
      <c r="L166" t="str">
        <f>INDEX(Sheet1!$A:$J,MATCH('index match'!$K166,Sheet1!$C:$C,0),MATCH('index match'!L$2,Sheet1!$A$1:$J$1,0))</f>
        <v>Howard</v>
      </c>
      <c r="M166">
        <f>INDEX(Sheet1!$A:$J,MATCH('index match'!$K166,Sheet1!$C:$C,0),MATCH('index match'!M$2,Sheet1!$A$1:$J$1,0))</f>
        <v>2</v>
      </c>
      <c r="N166" t="str">
        <f>INDEX(Sheet1!$A:$J,MATCH('index match'!$K166,Sheet1!$C:$C,0),MATCH('index match'!N$2,Sheet1!$A$1:$J$1,0))</f>
        <v>Young</v>
      </c>
    </row>
    <row r="167" spans="4:14" x14ac:dyDescent="0.25">
      <c r="D167" t="str">
        <v>Samantha Howard</v>
      </c>
      <c r="E167" t="str">
        <f>INDEX(Sheet1!$A:$J,MATCH('index match'!$D167,Sheet1!$C:$C,0),MATCH('index match'!E$2,Sheet1!$1:$1,0))</f>
        <v>Howard</v>
      </c>
      <c r="F167">
        <f>INDEX(Sheet1!$A:$J,MATCH('index match'!$D167,Sheet1!$C:$C,0),MATCH('index match'!F$2,Sheet1!$1:$1,0))</f>
        <v>5</v>
      </c>
      <c r="G167" t="str">
        <f>INDEX(Sheet1!$A:$J,MATCH('index match'!$D167,Sheet1!$C:$C,0),MATCH('index match'!G$2,Sheet1!$1:$1,0))</f>
        <v>Young</v>
      </c>
      <c r="K167" t="str">
        <v>Rubie Montgomery</v>
      </c>
      <c r="L167" t="str">
        <f>INDEX(Sheet1!$A:$J,MATCH('index match'!$K167,Sheet1!$C:$C,0),MATCH('index match'!L$2,Sheet1!$A$1:$J$1,0))</f>
        <v>Montgomery</v>
      </c>
      <c r="M167">
        <f>INDEX(Sheet1!$A:$J,MATCH('index match'!$K167,Sheet1!$C:$C,0),MATCH('index match'!M$2,Sheet1!$A$1:$J$1,0))</f>
        <v>4</v>
      </c>
      <c r="N167" t="str">
        <f>INDEX(Sheet1!$A:$J,MATCH('index match'!$K167,Sheet1!$C:$C,0),MATCH('index match'!N$2,Sheet1!$A$1:$J$1,0))</f>
        <v>Old</v>
      </c>
    </row>
    <row r="168" spans="4:14" x14ac:dyDescent="0.25">
      <c r="D168" t="str">
        <v>Agata Watson</v>
      </c>
      <c r="E168" t="str">
        <f>INDEX(Sheet1!$A:$J,MATCH('index match'!$D168,Sheet1!$C:$C,0),MATCH('index match'!E$2,Sheet1!$1:$1,0))</f>
        <v>Watson</v>
      </c>
      <c r="F168">
        <f>INDEX(Sheet1!$A:$J,MATCH('index match'!$D168,Sheet1!$C:$C,0),MATCH('index match'!F$2,Sheet1!$1:$1,0))</f>
        <v>3</v>
      </c>
      <c r="G168" t="str">
        <f>INDEX(Sheet1!$A:$J,MATCH('index match'!$D168,Sheet1!$C:$C,0),MATCH('index match'!G$2,Sheet1!$1:$1,0))</f>
        <v>Middle Age</v>
      </c>
      <c r="K168" t="str">
        <v>Jessica Cameron</v>
      </c>
      <c r="L168" t="str">
        <f>INDEX(Sheet1!$A:$J,MATCH('index match'!$K168,Sheet1!$C:$C,0),MATCH('index match'!L$2,Sheet1!$A$1:$J$1,0))</f>
        <v>Cameron</v>
      </c>
      <c r="M168">
        <f>INDEX(Sheet1!$A:$J,MATCH('index match'!$K168,Sheet1!$C:$C,0),MATCH('index match'!M$2,Sheet1!$A$1:$J$1,0))</f>
        <v>1</v>
      </c>
      <c r="N168" t="str">
        <f>INDEX(Sheet1!$A:$J,MATCH('index match'!$K168,Sheet1!$C:$C,0),MATCH('index match'!N$2,Sheet1!$A$1:$J$1,0))</f>
        <v>Young</v>
      </c>
    </row>
    <row r="169" spans="4:14" x14ac:dyDescent="0.25">
      <c r="D169" t="str">
        <v>Julia Bailey</v>
      </c>
      <c r="E169" t="str">
        <f>INDEX(Sheet1!$A:$J,MATCH('index match'!$D169,Sheet1!$C:$C,0),MATCH('index match'!E$2,Sheet1!$1:$1,0))</f>
        <v>Bailey</v>
      </c>
      <c r="F169">
        <f>INDEX(Sheet1!$A:$J,MATCH('index match'!$D169,Sheet1!$C:$C,0),MATCH('index match'!F$2,Sheet1!$1:$1,0))</f>
        <v>4</v>
      </c>
      <c r="G169" t="str">
        <f>INDEX(Sheet1!$A:$J,MATCH('index match'!$D169,Sheet1!$C:$C,0),MATCH('index match'!G$2,Sheet1!$1:$1,0))</f>
        <v>Middle Age</v>
      </c>
      <c r="K169" t="str">
        <v>Ashton Miller</v>
      </c>
      <c r="L169" t="str">
        <f>INDEX(Sheet1!$A:$J,MATCH('index match'!$K169,Sheet1!$C:$C,0),MATCH('index match'!L$2,Sheet1!$A$1:$J$1,0))</f>
        <v>Miller</v>
      </c>
      <c r="M169">
        <f>INDEX(Sheet1!$A:$J,MATCH('index match'!$K169,Sheet1!$C:$C,0),MATCH('index match'!M$2,Sheet1!$A$1:$J$1,0))</f>
        <v>1</v>
      </c>
      <c r="N169" t="str">
        <f>INDEX(Sheet1!$A:$J,MATCH('index match'!$K169,Sheet1!$C:$C,0),MATCH('index match'!N$2,Sheet1!$A$1:$J$1,0))</f>
        <v>Old</v>
      </c>
    </row>
    <row r="170" spans="4:14" x14ac:dyDescent="0.25">
      <c r="D170" t="str">
        <v>Penelope Henderson</v>
      </c>
      <c r="E170" t="str">
        <f>INDEX(Sheet1!$A:$J,MATCH('index match'!$D170,Sheet1!$C:$C,0),MATCH('index match'!E$2,Sheet1!$1:$1,0))</f>
        <v>Henderson</v>
      </c>
      <c r="F170">
        <f>INDEX(Sheet1!$A:$J,MATCH('index match'!$D170,Sheet1!$C:$C,0),MATCH('index match'!F$2,Sheet1!$1:$1,0))</f>
        <v>5</v>
      </c>
      <c r="G170" t="str">
        <f>INDEX(Sheet1!$A:$J,MATCH('index match'!$D170,Sheet1!$C:$C,0),MATCH('index match'!G$2,Sheet1!$1:$1,0))</f>
        <v>Middle Age</v>
      </c>
      <c r="K170" t="str">
        <v>Victoria Foster</v>
      </c>
      <c r="L170" t="str">
        <f>INDEX(Sheet1!$A:$J,MATCH('index match'!$K170,Sheet1!$C:$C,0),MATCH('index match'!L$2,Sheet1!$A$1:$J$1,0))</f>
        <v>Foster</v>
      </c>
      <c r="M170">
        <f>INDEX(Sheet1!$A:$J,MATCH('index match'!$K170,Sheet1!$C:$C,0),MATCH('index match'!M$2,Sheet1!$A$1:$J$1,0))</f>
        <v>3</v>
      </c>
      <c r="N170" t="str">
        <f>INDEX(Sheet1!$A:$J,MATCH('index match'!$K170,Sheet1!$C:$C,0),MATCH('index match'!N$2,Sheet1!$A$1:$J$1,0))</f>
        <v>Young</v>
      </c>
    </row>
    <row r="171" spans="4:14" x14ac:dyDescent="0.25">
      <c r="D171" t="str">
        <v>Edward Wilson</v>
      </c>
      <c r="E171" t="str">
        <f>INDEX(Sheet1!$A:$J,MATCH('index match'!$D171,Sheet1!$C:$C,0),MATCH('index match'!E$2,Sheet1!$1:$1,0))</f>
        <v>Wilson</v>
      </c>
      <c r="F171">
        <f>INDEX(Sheet1!$A:$J,MATCH('index match'!$D171,Sheet1!$C:$C,0),MATCH('index match'!F$2,Sheet1!$1:$1,0))</f>
        <v>1</v>
      </c>
      <c r="G171" t="str">
        <f>INDEX(Sheet1!$A:$J,MATCH('index match'!$D171,Sheet1!$C:$C,0),MATCH('index match'!G$2,Sheet1!$1:$1,0))</f>
        <v>Middle Age</v>
      </c>
      <c r="K171" t="str">
        <v>Thomas Harris</v>
      </c>
      <c r="L171" t="str">
        <f>INDEX(Sheet1!$A:$J,MATCH('index match'!$K171,Sheet1!$C:$C,0),MATCH('index match'!L$2,Sheet1!$A$1:$J$1,0))</f>
        <v>Harris</v>
      </c>
      <c r="M171">
        <f>INDEX(Sheet1!$A:$J,MATCH('index match'!$K171,Sheet1!$C:$C,0),MATCH('index match'!M$2,Sheet1!$A$1:$J$1,0))</f>
        <v>1</v>
      </c>
      <c r="N171" t="str">
        <f>INDEX(Sheet1!$A:$J,MATCH('index match'!$K171,Sheet1!$C:$C,0),MATCH('index match'!N$2,Sheet1!$A$1:$J$1,0))</f>
        <v>Middle Age</v>
      </c>
    </row>
    <row r="172" spans="4:14" x14ac:dyDescent="0.25">
      <c r="D172" t="str">
        <v>Arnold Higgins</v>
      </c>
      <c r="E172" t="str">
        <f>INDEX(Sheet1!$A:$J,MATCH('index match'!$D172,Sheet1!$C:$C,0),MATCH('index match'!E$2,Sheet1!$1:$1,0))</f>
        <v>Higgins</v>
      </c>
      <c r="F172">
        <f>INDEX(Sheet1!$A:$J,MATCH('index match'!$D172,Sheet1!$C:$C,0),MATCH('index match'!F$2,Sheet1!$1:$1,0))</f>
        <v>4</v>
      </c>
      <c r="G172" t="str">
        <f>INDEX(Sheet1!$A:$J,MATCH('index match'!$D172,Sheet1!$C:$C,0),MATCH('index match'!G$2,Sheet1!$1:$1,0))</f>
        <v>Old</v>
      </c>
      <c r="K172" t="str">
        <v>Edwin Douglas</v>
      </c>
      <c r="L172" t="str">
        <f>INDEX(Sheet1!$A:$J,MATCH('index match'!$K172,Sheet1!$C:$C,0),MATCH('index match'!L$2,Sheet1!$A$1:$J$1,0))</f>
        <v>Douglas</v>
      </c>
      <c r="M172">
        <f>INDEX(Sheet1!$A:$J,MATCH('index match'!$K172,Sheet1!$C:$C,0),MATCH('index match'!M$2,Sheet1!$A$1:$J$1,0))</f>
        <v>5</v>
      </c>
      <c r="N172" t="str">
        <f>INDEX(Sheet1!$A:$J,MATCH('index match'!$K172,Sheet1!$C:$C,0),MATCH('index match'!N$2,Sheet1!$A$1:$J$1,0))</f>
        <v>Middle Age</v>
      </c>
    </row>
    <row r="173" spans="4:14" x14ac:dyDescent="0.25">
      <c r="D173" t="str">
        <v>Ashton Parker</v>
      </c>
      <c r="E173" t="str">
        <f>INDEX(Sheet1!$A:$J,MATCH('index match'!$D173,Sheet1!$C:$C,0),MATCH('index match'!E$2,Sheet1!$1:$1,0))</f>
        <v>Parker</v>
      </c>
      <c r="F173">
        <f>INDEX(Sheet1!$A:$J,MATCH('index match'!$D173,Sheet1!$C:$C,0),MATCH('index match'!F$2,Sheet1!$1:$1,0))</f>
        <v>4</v>
      </c>
      <c r="G173" t="str">
        <f>INDEX(Sheet1!$A:$J,MATCH('index match'!$D173,Sheet1!$C:$C,0),MATCH('index match'!G$2,Sheet1!$1:$1,0))</f>
        <v>Middle Age</v>
      </c>
      <c r="K173" t="str">
        <v>Tiana Smith</v>
      </c>
      <c r="L173" t="str">
        <f>INDEX(Sheet1!$A:$J,MATCH('index match'!$K173,Sheet1!$C:$C,0),MATCH('index match'!L$2,Sheet1!$A$1:$J$1,0))</f>
        <v>Smith</v>
      </c>
      <c r="M173">
        <f>INDEX(Sheet1!$A:$J,MATCH('index match'!$K173,Sheet1!$C:$C,0),MATCH('index match'!M$2,Sheet1!$A$1:$J$1,0))</f>
        <v>3</v>
      </c>
      <c r="N173" t="str">
        <f>INDEX(Sheet1!$A:$J,MATCH('index match'!$K173,Sheet1!$C:$C,0),MATCH('index match'!N$2,Sheet1!$A$1:$J$1,0))</f>
        <v>Middle Age</v>
      </c>
    </row>
    <row r="174" spans="4:14" x14ac:dyDescent="0.25">
      <c r="D174" t="str">
        <v>Dexter Cole</v>
      </c>
      <c r="E174" t="str">
        <f>INDEX(Sheet1!$A:$J,MATCH('index match'!$D174,Sheet1!$C:$C,0),MATCH('index match'!E$2,Sheet1!$1:$1,0))</f>
        <v>Cole</v>
      </c>
      <c r="F174">
        <f>INDEX(Sheet1!$A:$J,MATCH('index match'!$D174,Sheet1!$C:$C,0),MATCH('index match'!F$2,Sheet1!$1:$1,0))</f>
        <v>0</v>
      </c>
      <c r="G174" t="str">
        <f>INDEX(Sheet1!$A:$J,MATCH('index match'!$D174,Sheet1!$C:$C,0),MATCH('index match'!G$2,Sheet1!$1:$1,0))</f>
        <v>Middle Age</v>
      </c>
      <c r="K174" t="str">
        <v>Kristian Riley</v>
      </c>
      <c r="L174" t="str">
        <f>INDEX(Sheet1!$A:$J,MATCH('index match'!$K174,Sheet1!$C:$C,0),MATCH('index match'!L$2,Sheet1!$A$1:$J$1,0))</f>
        <v>Riley</v>
      </c>
      <c r="M174">
        <f>INDEX(Sheet1!$A:$J,MATCH('index match'!$K174,Sheet1!$C:$C,0),MATCH('index match'!M$2,Sheet1!$A$1:$J$1,0))</f>
        <v>3</v>
      </c>
      <c r="N174" t="str">
        <f>INDEX(Sheet1!$A:$J,MATCH('index match'!$K174,Sheet1!$C:$C,0),MATCH('index match'!N$2,Sheet1!$A$1:$J$1,0))</f>
        <v>Middle Age</v>
      </c>
    </row>
    <row r="175" spans="4:14" x14ac:dyDescent="0.25">
      <c r="D175" t="str">
        <v>Blake Edwards</v>
      </c>
      <c r="E175" t="str">
        <f>INDEX(Sheet1!$A:$J,MATCH('index match'!$D175,Sheet1!$C:$C,0),MATCH('index match'!E$2,Sheet1!$1:$1,0))</f>
        <v>Edwards</v>
      </c>
      <c r="F175">
        <f>INDEX(Sheet1!$A:$J,MATCH('index match'!$D175,Sheet1!$C:$C,0),MATCH('index match'!F$2,Sheet1!$1:$1,0))</f>
        <v>1</v>
      </c>
      <c r="G175" t="str">
        <f>INDEX(Sheet1!$A:$J,MATCH('index match'!$D175,Sheet1!$C:$C,0),MATCH('index match'!G$2,Sheet1!$1:$1,0))</f>
        <v>Young</v>
      </c>
      <c r="K175" t="str">
        <v>Camila Robinson</v>
      </c>
      <c r="L175" t="str">
        <f>INDEX(Sheet1!$A:$J,MATCH('index match'!$K175,Sheet1!$C:$C,0),MATCH('index match'!L$2,Sheet1!$A$1:$J$1,0))</f>
        <v>Robinson</v>
      </c>
      <c r="M175">
        <f>INDEX(Sheet1!$A:$J,MATCH('index match'!$K175,Sheet1!$C:$C,0),MATCH('index match'!M$2,Sheet1!$A$1:$J$1,0))</f>
        <v>1</v>
      </c>
      <c r="N175" t="str">
        <f>INDEX(Sheet1!$A:$J,MATCH('index match'!$K175,Sheet1!$C:$C,0),MATCH('index match'!N$2,Sheet1!$A$1:$J$1,0))</f>
        <v>Middle Age</v>
      </c>
    </row>
    <row r="176" spans="4:14" x14ac:dyDescent="0.25">
      <c r="D176" t="str">
        <v>Chelsea Richards</v>
      </c>
      <c r="E176" t="str">
        <f>INDEX(Sheet1!$A:$J,MATCH('index match'!$D176,Sheet1!$C:$C,0),MATCH('index match'!E$2,Sheet1!$1:$1,0))</f>
        <v>Richards</v>
      </c>
      <c r="F176">
        <f>INDEX(Sheet1!$A:$J,MATCH('index match'!$D176,Sheet1!$C:$C,0),MATCH('index match'!F$2,Sheet1!$1:$1,0))</f>
        <v>4</v>
      </c>
      <c r="G176" t="str">
        <f>INDEX(Sheet1!$A:$J,MATCH('index match'!$D176,Sheet1!$C:$C,0),MATCH('index match'!G$2,Sheet1!$1:$1,0))</f>
        <v>Middle Age</v>
      </c>
      <c r="K176" t="str">
        <v>Garry Wilson</v>
      </c>
      <c r="L176" t="str">
        <f>INDEX(Sheet1!$A:$J,MATCH('index match'!$K176,Sheet1!$C:$C,0),MATCH('index match'!L$2,Sheet1!$A$1:$J$1,0))</f>
        <v>Wilson</v>
      </c>
      <c r="M176">
        <f>INDEX(Sheet1!$A:$J,MATCH('index match'!$K176,Sheet1!$C:$C,0),MATCH('index match'!M$2,Sheet1!$A$1:$J$1,0))</f>
        <v>3</v>
      </c>
      <c r="N176" t="str">
        <f>INDEX(Sheet1!$A:$J,MATCH('index match'!$K176,Sheet1!$C:$C,0),MATCH('index match'!N$2,Sheet1!$A$1:$J$1,0))</f>
        <v>Young</v>
      </c>
    </row>
    <row r="177" spans="4:14" x14ac:dyDescent="0.25">
      <c r="D177" t="str">
        <v>Frederick Parker</v>
      </c>
      <c r="E177" t="str">
        <f>INDEX(Sheet1!$A:$J,MATCH('index match'!$D177,Sheet1!$C:$C,0),MATCH('index match'!E$2,Sheet1!$1:$1,0))</f>
        <v>Parker</v>
      </c>
      <c r="F177">
        <f>INDEX(Sheet1!$A:$J,MATCH('index match'!$D177,Sheet1!$C:$C,0),MATCH('index match'!F$2,Sheet1!$1:$1,0))</f>
        <v>3</v>
      </c>
      <c r="G177" t="str">
        <f>INDEX(Sheet1!$A:$J,MATCH('index match'!$D177,Sheet1!$C:$C,0),MATCH('index match'!G$2,Sheet1!$1:$1,0))</f>
        <v>Old</v>
      </c>
      <c r="K177" t="str">
        <v>Preston Moore</v>
      </c>
      <c r="L177" t="str">
        <f>INDEX(Sheet1!$A:$J,MATCH('index match'!$K177,Sheet1!$C:$C,0),MATCH('index match'!L$2,Sheet1!$A$1:$J$1,0))</f>
        <v>Moore</v>
      </c>
      <c r="M177">
        <f>INDEX(Sheet1!$A:$J,MATCH('index match'!$K177,Sheet1!$C:$C,0),MATCH('index match'!M$2,Sheet1!$A$1:$J$1,0))</f>
        <v>1</v>
      </c>
      <c r="N177" t="str">
        <f>INDEX(Sheet1!$A:$J,MATCH('index match'!$K177,Sheet1!$C:$C,0),MATCH('index match'!N$2,Sheet1!$A$1:$J$1,0))</f>
        <v>Old</v>
      </c>
    </row>
    <row r="178" spans="4:14" x14ac:dyDescent="0.25">
      <c r="D178" t="str">
        <v>Kate Grant</v>
      </c>
      <c r="E178" t="str">
        <f>INDEX(Sheet1!$A:$J,MATCH('index match'!$D178,Sheet1!$C:$C,0),MATCH('index match'!E$2,Sheet1!$1:$1,0))</f>
        <v>Grant</v>
      </c>
      <c r="F178">
        <f>INDEX(Sheet1!$A:$J,MATCH('index match'!$D178,Sheet1!$C:$C,0),MATCH('index match'!F$2,Sheet1!$1:$1,0))</f>
        <v>3</v>
      </c>
      <c r="G178" t="str">
        <f>INDEX(Sheet1!$A:$J,MATCH('index match'!$D178,Sheet1!$C:$C,0),MATCH('index match'!G$2,Sheet1!$1:$1,0))</f>
        <v>Middle Age</v>
      </c>
      <c r="K178" t="str">
        <v>Kevin Kelley</v>
      </c>
      <c r="L178" t="str">
        <f>INDEX(Sheet1!$A:$J,MATCH('index match'!$K178,Sheet1!$C:$C,0),MATCH('index match'!L$2,Sheet1!$A$1:$J$1,0))</f>
        <v>Kelley</v>
      </c>
      <c r="M178">
        <f>INDEX(Sheet1!$A:$J,MATCH('index match'!$K178,Sheet1!$C:$C,0),MATCH('index match'!M$2,Sheet1!$A$1:$J$1,0))</f>
        <v>1</v>
      </c>
      <c r="N178" t="str">
        <f>INDEX(Sheet1!$A:$J,MATCH('index match'!$K178,Sheet1!$C:$C,0),MATCH('index match'!N$2,Sheet1!$A$1:$J$1,0))</f>
        <v>Young</v>
      </c>
    </row>
    <row r="179" spans="4:14" x14ac:dyDescent="0.25">
      <c r="D179" t="str">
        <v>Amelia Crawford</v>
      </c>
      <c r="E179" t="str">
        <f>INDEX(Sheet1!$A:$J,MATCH('index match'!$D179,Sheet1!$C:$C,0),MATCH('index match'!E$2,Sheet1!$1:$1,0))</f>
        <v>Crawford</v>
      </c>
      <c r="F179">
        <f>INDEX(Sheet1!$A:$J,MATCH('index match'!$D179,Sheet1!$C:$C,0),MATCH('index match'!F$2,Sheet1!$1:$1,0))</f>
        <v>5</v>
      </c>
      <c r="G179" t="str">
        <f>INDEX(Sheet1!$A:$J,MATCH('index match'!$D179,Sheet1!$C:$C,0),MATCH('index match'!G$2,Sheet1!$1:$1,0))</f>
        <v>Middle Age</v>
      </c>
      <c r="K179" t="str">
        <v>Grace Murphy</v>
      </c>
      <c r="L179" t="str">
        <f>INDEX(Sheet1!$A:$J,MATCH('index match'!$K179,Sheet1!$C:$C,0),MATCH('index match'!L$2,Sheet1!$A$1:$J$1,0))</f>
        <v>Murphy</v>
      </c>
      <c r="M179">
        <f>INDEX(Sheet1!$A:$J,MATCH('index match'!$K179,Sheet1!$C:$C,0),MATCH('index match'!M$2,Sheet1!$A$1:$J$1,0))</f>
        <v>0</v>
      </c>
      <c r="N179" t="str">
        <f>INDEX(Sheet1!$A:$J,MATCH('index match'!$K179,Sheet1!$C:$C,0),MATCH('index match'!N$2,Sheet1!$A$1:$J$1,0))</f>
        <v>Young</v>
      </c>
    </row>
    <row r="180" spans="4:14" x14ac:dyDescent="0.25">
      <c r="D180" t="str">
        <v>Paige Alexander</v>
      </c>
      <c r="E180" t="str">
        <f>INDEX(Sheet1!$A:$J,MATCH('index match'!$D180,Sheet1!$C:$C,0),MATCH('index match'!E$2,Sheet1!$1:$1,0))</f>
        <v>Alexander</v>
      </c>
      <c r="F180">
        <f>INDEX(Sheet1!$A:$J,MATCH('index match'!$D180,Sheet1!$C:$C,0),MATCH('index match'!F$2,Sheet1!$1:$1,0))</f>
        <v>2</v>
      </c>
      <c r="G180" t="str">
        <f>INDEX(Sheet1!$A:$J,MATCH('index match'!$D180,Sheet1!$C:$C,0),MATCH('index match'!G$2,Sheet1!$1:$1,0))</f>
        <v>Old</v>
      </c>
      <c r="K180" t="str">
        <v>Evelyn Watson</v>
      </c>
      <c r="L180" t="str">
        <f>INDEX(Sheet1!$A:$J,MATCH('index match'!$K180,Sheet1!$C:$C,0),MATCH('index match'!L$2,Sheet1!$A$1:$J$1,0))</f>
        <v>Watson</v>
      </c>
      <c r="M180">
        <f>INDEX(Sheet1!$A:$J,MATCH('index match'!$K180,Sheet1!$C:$C,0),MATCH('index match'!M$2,Sheet1!$A$1:$J$1,0))</f>
        <v>3</v>
      </c>
      <c r="N180" t="str">
        <f>INDEX(Sheet1!$A:$J,MATCH('index match'!$K180,Sheet1!$C:$C,0),MATCH('index match'!N$2,Sheet1!$A$1:$J$1,0))</f>
        <v>Middle Age</v>
      </c>
    </row>
    <row r="181" spans="4:14" x14ac:dyDescent="0.25">
      <c r="D181" t="str">
        <v>Alan Moore</v>
      </c>
      <c r="E181" t="str">
        <f>INDEX(Sheet1!$A:$J,MATCH('index match'!$D181,Sheet1!$C:$C,0),MATCH('index match'!E$2,Sheet1!$1:$1,0))</f>
        <v>Moore</v>
      </c>
      <c r="F181">
        <f>INDEX(Sheet1!$A:$J,MATCH('index match'!$D181,Sheet1!$C:$C,0),MATCH('index match'!F$2,Sheet1!$1:$1,0))</f>
        <v>5</v>
      </c>
      <c r="G181" t="str">
        <f>INDEX(Sheet1!$A:$J,MATCH('index match'!$D181,Sheet1!$C:$C,0),MATCH('index match'!G$2,Sheet1!$1:$1,0))</f>
        <v>Young</v>
      </c>
      <c r="K181" t="str">
        <v>David Myers</v>
      </c>
      <c r="L181" t="str">
        <f>INDEX(Sheet1!$A:$J,MATCH('index match'!$K181,Sheet1!$C:$C,0),MATCH('index match'!L$2,Sheet1!$A$1:$J$1,0))</f>
        <v>Myers</v>
      </c>
      <c r="M181">
        <f>INDEX(Sheet1!$A:$J,MATCH('index match'!$K181,Sheet1!$C:$C,0),MATCH('index match'!M$2,Sheet1!$A$1:$J$1,0))</f>
        <v>2</v>
      </c>
      <c r="N181" t="str">
        <f>INDEX(Sheet1!$A:$J,MATCH('index match'!$K181,Sheet1!$C:$C,0),MATCH('index match'!N$2,Sheet1!$A$1:$J$1,0))</f>
        <v>Young</v>
      </c>
    </row>
    <row r="182" spans="4:14" x14ac:dyDescent="0.25">
      <c r="D182" t="str">
        <v>Catherine Montgomery</v>
      </c>
      <c r="E182" t="str">
        <f>INDEX(Sheet1!$A:$J,MATCH('index match'!$D182,Sheet1!$C:$C,0),MATCH('index match'!E$2,Sheet1!$1:$1,0))</f>
        <v>Montgomery</v>
      </c>
      <c r="F182">
        <f>INDEX(Sheet1!$A:$J,MATCH('index match'!$D182,Sheet1!$C:$C,0),MATCH('index match'!F$2,Sheet1!$1:$1,0))</f>
        <v>4</v>
      </c>
      <c r="G182" t="str">
        <f>INDEX(Sheet1!$A:$J,MATCH('index match'!$D182,Sheet1!$C:$C,0),MATCH('index match'!G$2,Sheet1!$1:$1,0))</f>
        <v>Middle Age</v>
      </c>
      <c r="K182" t="str">
        <v>Aldus Kelley</v>
      </c>
      <c r="L182" t="str">
        <f>INDEX(Sheet1!$A:$J,MATCH('index match'!$K182,Sheet1!$C:$C,0),MATCH('index match'!L$2,Sheet1!$A$1:$J$1,0))</f>
        <v>Kelley</v>
      </c>
      <c r="M182">
        <f>INDEX(Sheet1!$A:$J,MATCH('index match'!$K182,Sheet1!$C:$C,0),MATCH('index match'!M$2,Sheet1!$A$1:$J$1,0))</f>
        <v>4</v>
      </c>
      <c r="N182" t="str">
        <f>INDEX(Sheet1!$A:$J,MATCH('index match'!$K182,Sheet1!$C:$C,0),MATCH('index match'!N$2,Sheet1!$A$1:$J$1,0))</f>
        <v>Young</v>
      </c>
    </row>
    <row r="183" spans="4:14" x14ac:dyDescent="0.25">
      <c r="D183" t="str">
        <v>George Nelson</v>
      </c>
      <c r="E183" t="str">
        <f>INDEX(Sheet1!$A:$J,MATCH('index match'!$D183,Sheet1!$C:$C,0),MATCH('index match'!E$2,Sheet1!$1:$1,0))</f>
        <v>Nelson</v>
      </c>
      <c r="F183">
        <f>INDEX(Sheet1!$A:$J,MATCH('index match'!$D183,Sheet1!$C:$C,0),MATCH('index match'!F$2,Sheet1!$1:$1,0))</f>
        <v>5</v>
      </c>
      <c r="G183" t="str">
        <f>INDEX(Sheet1!$A:$J,MATCH('index match'!$D183,Sheet1!$C:$C,0),MATCH('index match'!G$2,Sheet1!$1:$1,0))</f>
        <v>Old</v>
      </c>
      <c r="K183" t="str">
        <v>Oscar Richards</v>
      </c>
      <c r="L183" t="str">
        <f>INDEX(Sheet1!$A:$J,MATCH('index match'!$K183,Sheet1!$C:$C,0),MATCH('index match'!L$2,Sheet1!$A$1:$J$1,0))</f>
        <v>Richards</v>
      </c>
      <c r="M183">
        <f>INDEX(Sheet1!$A:$J,MATCH('index match'!$K183,Sheet1!$C:$C,0),MATCH('index match'!M$2,Sheet1!$A$1:$J$1,0))</f>
        <v>2</v>
      </c>
      <c r="N183" t="str">
        <f>INDEX(Sheet1!$A:$J,MATCH('index match'!$K183,Sheet1!$C:$C,0),MATCH('index match'!N$2,Sheet1!$A$1:$J$1,0))</f>
        <v>Young</v>
      </c>
    </row>
    <row r="184" spans="4:14" x14ac:dyDescent="0.25">
      <c r="D184" t="str">
        <v>Honey Walker</v>
      </c>
      <c r="E184" t="str">
        <f>INDEX(Sheet1!$A:$J,MATCH('index match'!$D184,Sheet1!$C:$C,0),MATCH('index match'!E$2,Sheet1!$1:$1,0))</f>
        <v>Walker</v>
      </c>
      <c r="F184">
        <f>INDEX(Sheet1!$A:$J,MATCH('index match'!$D184,Sheet1!$C:$C,0),MATCH('index match'!F$2,Sheet1!$1:$1,0))</f>
        <v>0</v>
      </c>
      <c r="G184" t="str">
        <f>INDEX(Sheet1!$A:$J,MATCH('index match'!$D184,Sheet1!$C:$C,0),MATCH('index match'!G$2,Sheet1!$1:$1,0))</f>
        <v>Middle Age</v>
      </c>
      <c r="K184" t="str">
        <v>Myra Montgomery</v>
      </c>
      <c r="L184" t="str">
        <f>INDEX(Sheet1!$A:$J,MATCH('index match'!$K184,Sheet1!$C:$C,0),MATCH('index match'!L$2,Sheet1!$A$1:$J$1,0))</f>
        <v>Montgomery</v>
      </c>
      <c r="M184">
        <f>INDEX(Sheet1!$A:$J,MATCH('index match'!$K184,Sheet1!$C:$C,0),MATCH('index match'!M$2,Sheet1!$A$1:$J$1,0))</f>
        <v>3</v>
      </c>
      <c r="N184" t="str">
        <f>INDEX(Sheet1!$A:$J,MATCH('index match'!$K184,Sheet1!$C:$C,0),MATCH('index match'!N$2,Sheet1!$A$1:$J$1,0))</f>
        <v>Old</v>
      </c>
    </row>
    <row r="185" spans="4:14" x14ac:dyDescent="0.25">
      <c r="D185" t="str">
        <v>Edwin Reed</v>
      </c>
      <c r="E185" t="str">
        <f>INDEX(Sheet1!$A:$J,MATCH('index match'!$D185,Sheet1!$C:$C,0),MATCH('index match'!E$2,Sheet1!$1:$1,0))</f>
        <v>Reed</v>
      </c>
      <c r="F185">
        <f>INDEX(Sheet1!$A:$J,MATCH('index match'!$D185,Sheet1!$C:$C,0),MATCH('index match'!F$2,Sheet1!$1:$1,0))</f>
        <v>1</v>
      </c>
      <c r="G185" t="str">
        <f>INDEX(Sheet1!$A:$J,MATCH('index match'!$D185,Sheet1!$C:$C,0),MATCH('index match'!G$2,Sheet1!$1:$1,0))</f>
        <v>Young</v>
      </c>
      <c r="K185" t="str">
        <v>Maddie Thomas</v>
      </c>
      <c r="L185" t="str">
        <f>INDEX(Sheet1!$A:$J,MATCH('index match'!$K185,Sheet1!$C:$C,0),MATCH('index match'!L$2,Sheet1!$A$1:$J$1,0))</f>
        <v>Thomas</v>
      </c>
      <c r="M185">
        <f>INDEX(Sheet1!$A:$J,MATCH('index match'!$K185,Sheet1!$C:$C,0),MATCH('index match'!M$2,Sheet1!$A$1:$J$1,0))</f>
        <v>5</v>
      </c>
      <c r="N185" t="str">
        <f>INDEX(Sheet1!$A:$J,MATCH('index match'!$K185,Sheet1!$C:$C,0),MATCH('index match'!N$2,Sheet1!$A$1:$J$1,0))</f>
        <v>Young</v>
      </c>
    </row>
    <row r="186" spans="4:14" x14ac:dyDescent="0.25">
      <c r="D186" t="str">
        <v>Elian Allen</v>
      </c>
      <c r="E186" t="str">
        <f>INDEX(Sheet1!$A:$J,MATCH('index match'!$D186,Sheet1!$C:$C,0),MATCH('index match'!E$2,Sheet1!$1:$1,0))</f>
        <v>Allen</v>
      </c>
      <c r="F186">
        <f>INDEX(Sheet1!$A:$J,MATCH('index match'!$D186,Sheet1!$C:$C,0),MATCH('index match'!F$2,Sheet1!$1:$1,0))</f>
        <v>5</v>
      </c>
      <c r="G186" t="str">
        <f>INDEX(Sheet1!$A:$J,MATCH('index match'!$D186,Sheet1!$C:$C,0),MATCH('index match'!G$2,Sheet1!$1:$1,0))</f>
        <v>Young</v>
      </c>
      <c r="K186" t="str">
        <v>Cherry Ryan</v>
      </c>
      <c r="L186" t="str">
        <f>INDEX(Sheet1!$A:$J,MATCH('index match'!$K186,Sheet1!$C:$C,0),MATCH('index match'!L$2,Sheet1!$A$1:$J$1,0))</f>
        <v>Ryan</v>
      </c>
      <c r="M186">
        <f>INDEX(Sheet1!$A:$J,MATCH('index match'!$K186,Sheet1!$C:$C,0),MATCH('index match'!M$2,Sheet1!$A$1:$J$1,0))</f>
        <v>1</v>
      </c>
      <c r="N186" t="str">
        <f>INDEX(Sheet1!$A:$J,MATCH('index match'!$K186,Sheet1!$C:$C,0),MATCH('index match'!N$2,Sheet1!$A$1:$J$1,0))</f>
        <v>Middle Age</v>
      </c>
    </row>
    <row r="187" spans="4:14" x14ac:dyDescent="0.25">
      <c r="D187" t="str">
        <v>Tara Grant</v>
      </c>
      <c r="E187" t="str">
        <f>INDEX(Sheet1!$A:$J,MATCH('index match'!$D187,Sheet1!$C:$C,0),MATCH('index match'!E$2,Sheet1!$1:$1,0))</f>
        <v>Grant</v>
      </c>
      <c r="F187">
        <f>INDEX(Sheet1!$A:$J,MATCH('index match'!$D187,Sheet1!$C:$C,0),MATCH('index match'!F$2,Sheet1!$1:$1,0))</f>
        <v>1</v>
      </c>
      <c r="G187" t="str">
        <f>INDEX(Sheet1!$A:$J,MATCH('index match'!$D187,Sheet1!$C:$C,0),MATCH('index match'!G$2,Sheet1!$1:$1,0))</f>
        <v>Young</v>
      </c>
      <c r="K187" t="str">
        <v>Jared Carter</v>
      </c>
      <c r="L187" t="str">
        <f>INDEX(Sheet1!$A:$J,MATCH('index match'!$K187,Sheet1!$C:$C,0),MATCH('index match'!L$2,Sheet1!$A$1:$J$1,0))</f>
        <v>Carter</v>
      </c>
      <c r="M187">
        <f>INDEX(Sheet1!$A:$J,MATCH('index match'!$K187,Sheet1!$C:$C,0),MATCH('index match'!M$2,Sheet1!$A$1:$J$1,0))</f>
        <v>2</v>
      </c>
      <c r="N187" t="str">
        <f>INDEX(Sheet1!$A:$J,MATCH('index match'!$K187,Sheet1!$C:$C,0),MATCH('index match'!N$2,Sheet1!$A$1:$J$1,0))</f>
        <v>Middle Age</v>
      </c>
    </row>
    <row r="188" spans="4:14" x14ac:dyDescent="0.25">
      <c r="D188" t="str">
        <v>Maddie Cole</v>
      </c>
      <c r="E188" t="str">
        <f>INDEX(Sheet1!$A:$J,MATCH('index match'!$D188,Sheet1!$C:$C,0),MATCH('index match'!E$2,Sheet1!$1:$1,0))</f>
        <v>Cole</v>
      </c>
      <c r="F188">
        <f>INDEX(Sheet1!$A:$J,MATCH('index match'!$D188,Sheet1!$C:$C,0),MATCH('index match'!F$2,Sheet1!$1:$1,0))</f>
        <v>3</v>
      </c>
      <c r="G188" t="str">
        <f>INDEX(Sheet1!$A:$J,MATCH('index match'!$D188,Sheet1!$C:$C,0),MATCH('index match'!G$2,Sheet1!$1:$1,0))</f>
        <v>Young</v>
      </c>
      <c r="K188" t="str">
        <v>Vivian Casey</v>
      </c>
      <c r="L188" t="str">
        <f>INDEX(Sheet1!$A:$J,MATCH('index match'!$K188,Sheet1!$C:$C,0),MATCH('index match'!L$2,Sheet1!$A$1:$J$1,0))</f>
        <v>Casey</v>
      </c>
      <c r="M188">
        <f>INDEX(Sheet1!$A:$J,MATCH('index match'!$K188,Sheet1!$C:$C,0),MATCH('index match'!M$2,Sheet1!$A$1:$J$1,0))</f>
        <v>5</v>
      </c>
      <c r="N188" t="str">
        <f>INDEX(Sheet1!$A:$J,MATCH('index match'!$K188,Sheet1!$C:$C,0),MATCH('index match'!N$2,Sheet1!$A$1:$J$1,0))</f>
        <v>Middle Age</v>
      </c>
    </row>
    <row r="189" spans="4:14" x14ac:dyDescent="0.25">
      <c r="D189" t="str">
        <v>Maximilian Wells</v>
      </c>
      <c r="E189" t="str">
        <f>INDEX(Sheet1!$A:$J,MATCH('index match'!$D189,Sheet1!$C:$C,0),MATCH('index match'!E$2,Sheet1!$1:$1,0))</f>
        <v>Wells</v>
      </c>
      <c r="F189">
        <f>INDEX(Sheet1!$A:$J,MATCH('index match'!$D189,Sheet1!$C:$C,0),MATCH('index match'!F$2,Sheet1!$1:$1,0))</f>
        <v>5</v>
      </c>
      <c r="G189" t="str">
        <f>INDEX(Sheet1!$A:$J,MATCH('index match'!$D189,Sheet1!$C:$C,0),MATCH('index match'!G$2,Sheet1!$1:$1,0))</f>
        <v>Young</v>
      </c>
      <c r="K189" t="str">
        <v>Fiona Cole</v>
      </c>
      <c r="L189" t="str">
        <f>INDEX(Sheet1!$A:$J,MATCH('index match'!$K189,Sheet1!$C:$C,0),MATCH('index match'!L$2,Sheet1!$A$1:$J$1,0))</f>
        <v>Cole</v>
      </c>
      <c r="M189">
        <f>INDEX(Sheet1!$A:$J,MATCH('index match'!$K189,Sheet1!$C:$C,0),MATCH('index match'!M$2,Sheet1!$A$1:$J$1,0))</f>
        <v>3</v>
      </c>
      <c r="N189" t="str">
        <f>INDEX(Sheet1!$A:$J,MATCH('index match'!$K189,Sheet1!$C:$C,0),MATCH('index match'!N$2,Sheet1!$A$1:$J$1,0))</f>
        <v>Young</v>
      </c>
    </row>
    <row r="190" spans="4:14" x14ac:dyDescent="0.25">
      <c r="D190" t="str">
        <v>Charlotte Williams</v>
      </c>
      <c r="E190" t="str">
        <f>INDEX(Sheet1!$A:$J,MATCH('index match'!$D190,Sheet1!$C:$C,0),MATCH('index match'!E$2,Sheet1!$1:$1,0))</f>
        <v>Williams</v>
      </c>
      <c r="F190">
        <f>INDEX(Sheet1!$A:$J,MATCH('index match'!$D190,Sheet1!$C:$C,0),MATCH('index match'!F$2,Sheet1!$1:$1,0))</f>
        <v>3</v>
      </c>
      <c r="G190" t="str">
        <f>INDEX(Sheet1!$A:$J,MATCH('index match'!$D190,Sheet1!$C:$C,0),MATCH('index match'!G$2,Sheet1!$1:$1,0))</f>
        <v>Middle Age</v>
      </c>
      <c r="K190" t="str">
        <v>David Barrett</v>
      </c>
      <c r="L190" t="str">
        <f>INDEX(Sheet1!$A:$J,MATCH('index match'!$K190,Sheet1!$C:$C,0),MATCH('index match'!L$2,Sheet1!$A$1:$J$1,0))</f>
        <v>Barrett</v>
      </c>
      <c r="M190">
        <f>INDEX(Sheet1!$A:$J,MATCH('index match'!$K190,Sheet1!$C:$C,0),MATCH('index match'!M$2,Sheet1!$A$1:$J$1,0))</f>
        <v>5</v>
      </c>
      <c r="N190" t="str">
        <f>INDEX(Sheet1!$A:$J,MATCH('index match'!$K190,Sheet1!$C:$C,0),MATCH('index match'!N$2,Sheet1!$A$1:$J$1,0))</f>
        <v>Middle Age</v>
      </c>
    </row>
    <row r="191" spans="4:14" x14ac:dyDescent="0.25">
      <c r="D191" t="str">
        <v>Cherry Lloyd</v>
      </c>
      <c r="E191" t="str">
        <f>INDEX(Sheet1!$A:$J,MATCH('index match'!$D191,Sheet1!$C:$C,0),MATCH('index match'!E$2,Sheet1!$1:$1,0))</f>
        <v>Lloyd</v>
      </c>
      <c r="F191">
        <f>INDEX(Sheet1!$A:$J,MATCH('index match'!$D191,Sheet1!$C:$C,0),MATCH('index match'!F$2,Sheet1!$1:$1,0))</f>
        <v>5</v>
      </c>
      <c r="G191" t="str">
        <f>INDEX(Sheet1!$A:$J,MATCH('index match'!$D191,Sheet1!$C:$C,0),MATCH('index match'!G$2,Sheet1!$1:$1,0))</f>
        <v>Young</v>
      </c>
      <c r="K191" t="str">
        <v>Jessica Ellis</v>
      </c>
      <c r="L191" t="str">
        <f>INDEX(Sheet1!$A:$J,MATCH('index match'!$K191,Sheet1!$C:$C,0),MATCH('index match'!L$2,Sheet1!$A$1:$J$1,0))</f>
        <v>Ellis</v>
      </c>
      <c r="M191">
        <f>INDEX(Sheet1!$A:$J,MATCH('index match'!$K191,Sheet1!$C:$C,0),MATCH('index match'!M$2,Sheet1!$A$1:$J$1,0))</f>
        <v>4</v>
      </c>
      <c r="N191" t="str">
        <f>INDEX(Sheet1!$A:$J,MATCH('index match'!$K191,Sheet1!$C:$C,0),MATCH('index match'!N$2,Sheet1!$A$1:$J$1,0))</f>
        <v>Young</v>
      </c>
    </row>
    <row r="192" spans="4:14" x14ac:dyDescent="0.25">
      <c r="D192" t="str">
        <v>Ted Watson</v>
      </c>
      <c r="E192" t="str">
        <f>INDEX(Sheet1!$A:$J,MATCH('index match'!$D192,Sheet1!$C:$C,0),MATCH('index match'!E$2,Sheet1!$1:$1,0))</f>
        <v>Watson</v>
      </c>
      <c r="F192">
        <f>INDEX(Sheet1!$A:$J,MATCH('index match'!$D192,Sheet1!$C:$C,0),MATCH('index match'!F$2,Sheet1!$1:$1,0))</f>
        <v>5</v>
      </c>
      <c r="G192" t="str">
        <f>INDEX(Sheet1!$A:$J,MATCH('index match'!$D192,Sheet1!$C:$C,0),MATCH('index match'!G$2,Sheet1!$1:$1,0))</f>
        <v>Middle Age</v>
      </c>
      <c r="K192" t="str">
        <v>Maya Thomas</v>
      </c>
      <c r="L192" t="str">
        <f>INDEX(Sheet1!$A:$J,MATCH('index match'!$K192,Sheet1!$C:$C,0),MATCH('index match'!L$2,Sheet1!$A$1:$J$1,0))</f>
        <v>Thomas</v>
      </c>
      <c r="M192">
        <f>INDEX(Sheet1!$A:$J,MATCH('index match'!$K192,Sheet1!$C:$C,0),MATCH('index match'!M$2,Sheet1!$A$1:$J$1,0))</f>
        <v>4</v>
      </c>
      <c r="N192" t="str">
        <f>INDEX(Sheet1!$A:$J,MATCH('index match'!$K192,Sheet1!$C:$C,0),MATCH('index match'!N$2,Sheet1!$A$1:$J$1,0))</f>
        <v>Old</v>
      </c>
    </row>
    <row r="193" spans="4:14" x14ac:dyDescent="0.25">
      <c r="D193" t="str">
        <v>Albert Robinson</v>
      </c>
      <c r="E193" t="str">
        <f>INDEX(Sheet1!$A:$J,MATCH('index match'!$D193,Sheet1!$C:$C,0),MATCH('index match'!E$2,Sheet1!$1:$1,0))</f>
        <v>Robinson</v>
      </c>
      <c r="F193">
        <f>INDEX(Sheet1!$A:$J,MATCH('index match'!$D193,Sheet1!$C:$C,0),MATCH('index match'!F$2,Sheet1!$1:$1,0))</f>
        <v>1</v>
      </c>
      <c r="G193" t="str">
        <f>INDEX(Sheet1!$A:$J,MATCH('index match'!$D193,Sheet1!$C:$C,0),MATCH('index match'!G$2,Sheet1!$1:$1,0))</f>
        <v>Middle Age</v>
      </c>
      <c r="K193" t="str">
        <v>Tiana Adams</v>
      </c>
      <c r="L193" t="str">
        <f>INDEX(Sheet1!$A:$J,MATCH('index match'!$K193,Sheet1!$C:$C,0),MATCH('index match'!L$2,Sheet1!$A$1:$J$1,0))</f>
        <v>Adams</v>
      </c>
      <c r="M193">
        <f>INDEX(Sheet1!$A:$J,MATCH('index match'!$K193,Sheet1!$C:$C,0),MATCH('index match'!M$2,Sheet1!$A$1:$J$1,0))</f>
        <v>0</v>
      </c>
      <c r="N193" t="str">
        <f>INDEX(Sheet1!$A:$J,MATCH('index match'!$K193,Sheet1!$C:$C,0),MATCH('index match'!N$2,Sheet1!$A$1:$J$1,0))</f>
        <v>Young</v>
      </c>
    </row>
    <row r="194" spans="4:14" x14ac:dyDescent="0.25">
      <c r="D194" t="str">
        <v>Dale Elliott</v>
      </c>
      <c r="E194" t="str">
        <f>INDEX(Sheet1!$A:$J,MATCH('index match'!$D194,Sheet1!$C:$C,0),MATCH('index match'!E$2,Sheet1!$1:$1,0))</f>
        <v>Elliott</v>
      </c>
      <c r="F194">
        <f>INDEX(Sheet1!$A:$J,MATCH('index match'!$D194,Sheet1!$C:$C,0),MATCH('index match'!F$2,Sheet1!$1:$1,0))</f>
        <v>5</v>
      </c>
      <c r="G194" t="str">
        <f>INDEX(Sheet1!$A:$J,MATCH('index match'!$D194,Sheet1!$C:$C,0),MATCH('index match'!G$2,Sheet1!$1:$1,0))</f>
        <v>Middle Age</v>
      </c>
      <c r="K194" t="str">
        <v>Justin Dixon</v>
      </c>
      <c r="L194" t="str">
        <f>INDEX(Sheet1!$A:$J,MATCH('index match'!$K194,Sheet1!$C:$C,0),MATCH('index match'!L$2,Sheet1!$A$1:$J$1,0))</f>
        <v>Dixon</v>
      </c>
      <c r="M194">
        <f>INDEX(Sheet1!$A:$J,MATCH('index match'!$K194,Sheet1!$C:$C,0),MATCH('index match'!M$2,Sheet1!$A$1:$J$1,0))</f>
        <v>1</v>
      </c>
      <c r="N194" t="str">
        <f>INDEX(Sheet1!$A:$J,MATCH('index match'!$K194,Sheet1!$C:$C,0),MATCH('index match'!N$2,Sheet1!$A$1:$J$1,0))</f>
        <v>Middle Age</v>
      </c>
    </row>
    <row r="195" spans="4:14" x14ac:dyDescent="0.25">
      <c r="D195" t="str">
        <v>Charlie Edwards</v>
      </c>
      <c r="E195" t="str">
        <f>INDEX(Sheet1!$A:$J,MATCH('index match'!$D195,Sheet1!$C:$C,0),MATCH('index match'!E$2,Sheet1!$1:$1,0))</f>
        <v>Edwards</v>
      </c>
      <c r="F195">
        <f>INDEX(Sheet1!$A:$J,MATCH('index match'!$D195,Sheet1!$C:$C,0),MATCH('index match'!F$2,Sheet1!$1:$1,0))</f>
        <v>0</v>
      </c>
      <c r="G195" t="str">
        <f>INDEX(Sheet1!$A:$J,MATCH('index match'!$D195,Sheet1!$C:$C,0),MATCH('index match'!G$2,Sheet1!$1:$1,0))</f>
        <v>Young</v>
      </c>
      <c r="K195" t="str">
        <v>Mike Henderson</v>
      </c>
      <c r="L195" t="str">
        <f>INDEX(Sheet1!$A:$J,MATCH('index match'!$K195,Sheet1!$C:$C,0),MATCH('index match'!L$2,Sheet1!$A$1:$J$1,0))</f>
        <v>Henderson</v>
      </c>
      <c r="M195">
        <f>INDEX(Sheet1!$A:$J,MATCH('index match'!$K195,Sheet1!$C:$C,0),MATCH('index match'!M$2,Sheet1!$A$1:$J$1,0))</f>
        <v>5</v>
      </c>
      <c r="N195" t="str">
        <f>INDEX(Sheet1!$A:$J,MATCH('index match'!$K195,Sheet1!$C:$C,0),MATCH('index match'!N$2,Sheet1!$A$1:$J$1,0))</f>
        <v>Middle Age</v>
      </c>
    </row>
    <row r="196" spans="4:14" x14ac:dyDescent="0.25">
      <c r="D196" t="str">
        <v>Edgar Phillips</v>
      </c>
      <c r="E196" t="str">
        <f>INDEX(Sheet1!$A:$J,MATCH('index match'!$D196,Sheet1!$C:$C,0),MATCH('index match'!E$2,Sheet1!$1:$1,0))</f>
        <v>Phillips</v>
      </c>
      <c r="F196">
        <f>INDEX(Sheet1!$A:$J,MATCH('index match'!$D196,Sheet1!$C:$C,0),MATCH('index match'!F$2,Sheet1!$1:$1,0))</f>
        <v>0</v>
      </c>
      <c r="G196" t="str">
        <f>INDEX(Sheet1!$A:$J,MATCH('index match'!$D196,Sheet1!$C:$C,0),MATCH('index match'!G$2,Sheet1!$1:$1,0))</f>
        <v>Young</v>
      </c>
      <c r="K196" t="str">
        <v>Lucy Hunt</v>
      </c>
      <c r="L196" t="str">
        <f>INDEX(Sheet1!$A:$J,MATCH('index match'!$K196,Sheet1!$C:$C,0),MATCH('index match'!L$2,Sheet1!$A$1:$J$1,0))</f>
        <v>Hunt</v>
      </c>
      <c r="M196">
        <f>INDEX(Sheet1!$A:$J,MATCH('index match'!$K196,Sheet1!$C:$C,0),MATCH('index match'!M$2,Sheet1!$A$1:$J$1,0))</f>
        <v>1</v>
      </c>
      <c r="N196" t="str">
        <f>INDEX(Sheet1!$A:$J,MATCH('index match'!$K196,Sheet1!$C:$C,0),MATCH('index match'!N$2,Sheet1!$A$1:$J$1,0))</f>
        <v>Young</v>
      </c>
    </row>
    <row r="197" spans="4:14" x14ac:dyDescent="0.25">
      <c r="D197" t="str">
        <v>Edgar Barnes</v>
      </c>
      <c r="E197" t="str">
        <f>INDEX(Sheet1!$A:$J,MATCH('index match'!$D197,Sheet1!$C:$C,0),MATCH('index match'!E$2,Sheet1!$1:$1,0))</f>
        <v>Barnes</v>
      </c>
      <c r="F197">
        <f>INDEX(Sheet1!$A:$J,MATCH('index match'!$D197,Sheet1!$C:$C,0),MATCH('index match'!F$2,Sheet1!$1:$1,0))</f>
        <v>4</v>
      </c>
      <c r="G197" t="str">
        <f>INDEX(Sheet1!$A:$J,MATCH('index match'!$D197,Sheet1!$C:$C,0),MATCH('index match'!G$2,Sheet1!$1:$1,0))</f>
        <v>Old</v>
      </c>
      <c r="K197" t="str">
        <v>Alford Elliott</v>
      </c>
      <c r="L197" t="str">
        <f>INDEX(Sheet1!$A:$J,MATCH('index match'!$K197,Sheet1!$C:$C,0),MATCH('index match'!L$2,Sheet1!$A$1:$J$1,0))</f>
        <v>Elliott</v>
      </c>
      <c r="M197">
        <f>INDEX(Sheet1!$A:$J,MATCH('index match'!$K197,Sheet1!$C:$C,0),MATCH('index match'!M$2,Sheet1!$A$1:$J$1,0))</f>
        <v>0</v>
      </c>
      <c r="N197" t="str">
        <f>INDEX(Sheet1!$A:$J,MATCH('index match'!$K197,Sheet1!$C:$C,0),MATCH('index match'!N$2,Sheet1!$A$1:$J$1,0))</f>
        <v>Middle Age</v>
      </c>
    </row>
    <row r="198" spans="4:14" x14ac:dyDescent="0.25">
      <c r="D198" t="str">
        <v>Edith Hall</v>
      </c>
      <c r="E198" t="str">
        <f>INDEX(Sheet1!$A:$J,MATCH('index match'!$D198,Sheet1!$C:$C,0),MATCH('index match'!E$2,Sheet1!$1:$1,0))</f>
        <v>Hall</v>
      </c>
      <c r="F198">
        <f>INDEX(Sheet1!$A:$J,MATCH('index match'!$D198,Sheet1!$C:$C,0),MATCH('index match'!F$2,Sheet1!$1:$1,0))</f>
        <v>3</v>
      </c>
      <c r="G198" t="str">
        <f>INDEX(Sheet1!$A:$J,MATCH('index match'!$D198,Sheet1!$C:$C,0),MATCH('index match'!G$2,Sheet1!$1:$1,0))</f>
        <v>Young</v>
      </c>
      <c r="K198" t="str">
        <v>Natalie Myers</v>
      </c>
      <c r="L198" t="str">
        <f>INDEX(Sheet1!$A:$J,MATCH('index match'!$K198,Sheet1!$C:$C,0),MATCH('index match'!L$2,Sheet1!$A$1:$J$1,0))</f>
        <v>Myers</v>
      </c>
      <c r="M198">
        <f>INDEX(Sheet1!$A:$J,MATCH('index match'!$K198,Sheet1!$C:$C,0),MATCH('index match'!M$2,Sheet1!$A$1:$J$1,0))</f>
        <v>4</v>
      </c>
      <c r="N198" t="str">
        <f>INDEX(Sheet1!$A:$J,MATCH('index match'!$K198,Sheet1!$C:$C,0),MATCH('index match'!N$2,Sheet1!$A$1:$J$1,0))</f>
        <v>Middle Age</v>
      </c>
    </row>
    <row r="199" spans="4:14" x14ac:dyDescent="0.25">
      <c r="D199" t="str">
        <v>Tony Armstrong</v>
      </c>
      <c r="E199" t="str">
        <f>INDEX(Sheet1!$A:$J,MATCH('index match'!$D199,Sheet1!$C:$C,0),MATCH('index match'!E$2,Sheet1!$1:$1,0))</f>
        <v>Armstrong</v>
      </c>
      <c r="F199">
        <f>INDEX(Sheet1!$A:$J,MATCH('index match'!$D199,Sheet1!$C:$C,0),MATCH('index match'!F$2,Sheet1!$1:$1,0))</f>
        <v>4</v>
      </c>
      <c r="G199" t="str">
        <f>INDEX(Sheet1!$A:$J,MATCH('index match'!$D199,Sheet1!$C:$C,0),MATCH('index match'!G$2,Sheet1!$1:$1,0))</f>
        <v>Young</v>
      </c>
      <c r="K199" t="str">
        <v>Elian Hill</v>
      </c>
      <c r="L199" t="str">
        <f>INDEX(Sheet1!$A:$J,MATCH('index match'!$K199,Sheet1!$C:$C,0),MATCH('index match'!L$2,Sheet1!$A$1:$J$1,0))</f>
        <v>Hill</v>
      </c>
      <c r="M199">
        <f>INDEX(Sheet1!$A:$J,MATCH('index match'!$K199,Sheet1!$C:$C,0),MATCH('index match'!M$2,Sheet1!$A$1:$J$1,0))</f>
        <v>2</v>
      </c>
      <c r="N199" t="str">
        <f>INDEX(Sheet1!$A:$J,MATCH('index match'!$K199,Sheet1!$C:$C,0),MATCH('index match'!N$2,Sheet1!$A$1:$J$1,0))</f>
        <v>Young</v>
      </c>
    </row>
    <row r="200" spans="4:14" x14ac:dyDescent="0.25">
      <c r="D200" t="str">
        <v>Aiden Armstrong</v>
      </c>
      <c r="E200" t="str">
        <f>INDEX(Sheet1!$A:$J,MATCH('index match'!$D200,Sheet1!$C:$C,0),MATCH('index match'!E$2,Sheet1!$1:$1,0))</f>
        <v>Armstrong</v>
      </c>
      <c r="F200">
        <f>INDEX(Sheet1!$A:$J,MATCH('index match'!$D200,Sheet1!$C:$C,0),MATCH('index match'!F$2,Sheet1!$1:$1,0))</f>
        <v>3</v>
      </c>
      <c r="G200" t="str">
        <f>INDEX(Sheet1!$A:$J,MATCH('index match'!$D200,Sheet1!$C:$C,0),MATCH('index match'!G$2,Sheet1!$1:$1,0))</f>
        <v>Middle Age</v>
      </c>
      <c r="K200" t="str">
        <v>Honey Carroll</v>
      </c>
      <c r="L200" t="str">
        <f>INDEX(Sheet1!$A:$J,MATCH('index match'!$K200,Sheet1!$C:$C,0),MATCH('index match'!L$2,Sheet1!$A$1:$J$1,0))</f>
        <v>Carroll</v>
      </c>
      <c r="M200">
        <f>INDEX(Sheet1!$A:$J,MATCH('index match'!$K200,Sheet1!$C:$C,0),MATCH('index match'!M$2,Sheet1!$A$1:$J$1,0))</f>
        <v>2</v>
      </c>
      <c r="N200" t="str">
        <f>INDEX(Sheet1!$A:$J,MATCH('index match'!$K200,Sheet1!$C:$C,0),MATCH('index match'!N$2,Sheet1!$A$1:$J$1,0))</f>
        <v>Young</v>
      </c>
    </row>
    <row r="201" spans="4:14" x14ac:dyDescent="0.25">
      <c r="D201" t="str">
        <v>Roman Douglas</v>
      </c>
      <c r="E201" t="str">
        <f>INDEX(Sheet1!$A:$J,MATCH('index match'!$D201,Sheet1!$C:$C,0),MATCH('index match'!E$2,Sheet1!$1:$1,0))</f>
        <v>Douglas</v>
      </c>
      <c r="F201">
        <f>INDEX(Sheet1!$A:$J,MATCH('index match'!$D201,Sheet1!$C:$C,0),MATCH('index match'!F$2,Sheet1!$1:$1,0))</f>
        <v>4</v>
      </c>
      <c r="G201" t="str">
        <f>INDEX(Sheet1!$A:$J,MATCH('index match'!$D201,Sheet1!$C:$C,0),MATCH('index match'!G$2,Sheet1!$1:$1,0))</f>
        <v>Young</v>
      </c>
      <c r="K201" t="str">
        <v>Valeria Howard</v>
      </c>
      <c r="L201" t="str">
        <f>INDEX(Sheet1!$A:$J,MATCH('index match'!$K201,Sheet1!$C:$C,0),MATCH('index match'!L$2,Sheet1!$A$1:$J$1,0))</f>
        <v>Howard</v>
      </c>
      <c r="M201">
        <f>INDEX(Sheet1!$A:$J,MATCH('index match'!$K201,Sheet1!$C:$C,0),MATCH('index match'!M$2,Sheet1!$A$1:$J$1,0))</f>
        <v>4</v>
      </c>
      <c r="N201" t="str">
        <f>INDEX(Sheet1!$A:$J,MATCH('index match'!$K201,Sheet1!$C:$C,0),MATCH('index match'!N$2,Sheet1!$A$1:$J$1,0))</f>
        <v>Young</v>
      </c>
    </row>
    <row r="202" spans="4:14" x14ac:dyDescent="0.25">
      <c r="D202" t="str">
        <v>Roland Gray</v>
      </c>
      <c r="E202" t="str">
        <f>INDEX(Sheet1!$A:$J,MATCH('index match'!$D202,Sheet1!$C:$C,0),MATCH('index match'!E$2,Sheet1!$1:$1,0))</f>
        <v>Gray</v>
      </c>
      <c r="F202">
        <f>INDEX(Sheet1!$A:$J,MATCH('index match'!$D202,Sheet1!$C:$C,0),MATCH('index match'!F$2,Sheet1!$1:$1,0))</f>
        <v>5</v>
      </c>
      <c r="G202" t="str">
        <f>INDEX(Sheet1!$A:$J,MATCH('index match'!$D202,Sheet1!$C:$C,0),MATCH('index match'!G$2,Sheet1!$1:$1,0))</f>
        <v>Young</v>
      </c>
      <c r="K202" t="str">
        <v>Julian Scott</v>
      </c>
      <c r="L202" t="str">
        <f>INDEX(Sheet1!$A:$J,MATCH('index match'!$K202,Sheet1!$C:$C,0),MATCH('index match'!L$2,Sheet1!$A$1:$J$1,0))</f>
        <v>Scott</v>
      </c>
      <c r="M202">
        <f>INDEX(Sheet1!$A:$J,MATCH('index match'!$K202,Sheet1!$C:$C,0),MATCH('index match'!M$2,Sheet1!$A$1:$J$1,0))</f>
        <v>5</v>
      </c>
      <c r="N202" t="str">
        <f>INDEX(Sheet1!$A:$J,MATCH('index match'!$K202,Sheet1!$C:$C,0),MATCH('index match'!N$2,Sheet1!$A$1:$J$1,0))</f>
        <v>Middle Age</v>
      </c>
    </row>
    <row r="203" spans="4:14" x14ac:dyDescent="0.25">
      <c r="D203" t="str">
        <v>Maddie Perry</v>
      </c>
      <c r="E203" t="str">
        <f>INDEX(Sheet1!$A:$J,MATCH('index match'!$D203,Sheet1!$C:$C,0),MATCH('index match'!E$2,Sheet1!$1:$1,0))</f>
        <v>Perry</v>
      </c>
      <c r="F203">
        <f>INDEX(Sheet1!$A:$J,MATCH('index match'!$D203,Sheet1!$C:$C,0),MATCH('index match'!F$2,Sheet1!$1:$1,0))</f>
        <v>0</v>
      </c>
      <c r="G203" t="str">
        <f>INDEX(Sheet1!$A:$J,MATCH('index match'!$D203,Sheet1!$C:$C,0),MATCH('index match'!G$2,Sheet1!$1:$1,0))</f>
        <v>Old</v>
      </c>
      <c r="K203" t="str">
        <v>Adison Bailey</v>
      </c>
      <c r="L203" t="str">
        <f>INDEX(Sheet1!$A:$J,MATCH('index match'!$K203,Sheet1!$C:$C,0),MATCH('index match'!L$2,Sheet1!$A$1:$J$1,0))</f>
        <v>Bailey</v>
      </c>
      <c r="M203">
        <f>INDEX(Sheet1!$A:$J,MATCH('index match'!$K203,Sheet1!$C:$C,0),MATCH('index match'!M$2,Sheet1!$A$1:$J$1,0))</f>
        <v>1</v>
      </c>
      <c r="N203" t="str">
        <f>INDEX(Sheet1!$A:$J,MATCH('index match'!$K203,Sheet1!$C:$C,0),MATCH('index match'!N$2,Sheet1!$A$1:$J$1,0))</f>
        <v>Middle Age</v>
      </c>
    </row>
    <row r="204" spans="4:14" x14ac:dyDescent="0.25">
      <c r="D204" t="str">
        <v>Elian Scott</v>
      </c>
      <c r="E204" t="str">
        <f>INDEX(Sheet1!$A:$J,MATCH('index match'!$D204,Sheet1!$C:$C,0),MATCH('index match'!E$2,Sheet1!$1:$1,0))</f>
        <v>Scott</v>
      </c>
      <c r="F204">
        <f>INDEX(Sheet1!$A:$J,MATCH('index match'!$D204,Sheet1!$C:$C,0),MATCH('index match'!F$2,Sheet1!$1:$1,0))</f>
        <v>1</v>
      </c>
      <c r="G204" t="str">
        <f>INDEX(Sheet1!$A:$J,MATCH('index match'!$D204,Sheet1!$C:$C,0),MATCH('index match'!G$2,Sheet1!$1:$1,0))</f>
        <v>Young</v>
      </c>
      <c r="K204" t="str">
        <v>Carina Henderson</v>
      </c>
      <c r="L204" t="str">
        <f>INDEX(Sheet1!$A:$J,MATCH('index match'!$K204,Sheet1!$C:$C,0),MATCH('index match'!L$2,Sheet1!$A$1:$J$1,0))</f>
        <v>Henderson</v>
      </c>
      <c r="M204">
        <f>INDEX(Sheet1!$A:$J,MATCH('index match'!$K204,Sheet1!$C:$C,0),MATCH('index match'!M$2,Sheet1!$A$1:$J$1,0))</f>
        <v>3</v>
      </c>
      <c r="N204" t="str">
        <f>INDEX(Sheet1!$A:$J,MATCH('index match'!$K204,Sheet1!$C:$C,0),MATCH('index match'!N$2,Sheet1!$A$1:$J$1,0))</f>
        <v>Old</v>
      </c>
    </row>
    <row r="205" spans="4:14" x14ac:dyDescent="0.25">
      <c r="D205" t="str">
        <v>Thomas Armstrong</v>
      </c>
      <c r="E205" t="str">
        <f>INDEX(Sheet1!$A:$J,MATCH('index match'!$D205,Sheet1!$C:$C,0),MATCH('index match'!E$2,Sheet1!$1:$1,0))</f>
        <v>Armstrong</v>
      </c>
      <c r="F205">
        <f>INDEX(Sheet1!$A:$J,MATCH('index match'!$D205,Sheet1!$C:$C,0),MATCH('index match'!F$2,Sheet1!$1:$1,0))</f>
        <v>4</v>
      </c>
      <c r="G205" t="str">
        <f>INDEX(Sheet1!$A:$J,MATCH('index match'!$D205,Sheet1!$C:$C,0),MATCH('index match'!G$2,Sheet1!$1:$1,0))</f>
        <v>Young</v>
      </c>
      <c r="K205" t="str">
        <v>Ryan Hawkins</v>
      </c>
      <c r="L205" t="str">
        <f>INDEX(Sheet1!$A:$J,MATCH('index match'!$K205,Sheet1!$C:$C,0),MATCH('index match'!L$2,Sheet1!$A$1:$J$1,0))</f>
        <v>Hawkins</v>
      </c>
      <c r="M205">
        <f>INDEX(Sheet1!$A:$J,MATCH('index match'!$K205,Sheet1!$C:$C,0),MATCH('index match'!M$2,Sheet1!$A$1:$J$1,0))</f>
        <v>3</v>
      </c>
      <c r="N205" t="str">
        <f>INDEX(Sheet1!$A:$J,MATCH('index match'!$K205,Sheet1!$C:$C,0),MATCH('index match'!N$2,Sheet1!$A$1:$J$1,0))</f>
        <v>Young</v>
      </c>
    </row>
    <row r="206" spans="4:14" x14ac:dyDescent="0.25">
      <c r="D206" t="str">
        <v>Aida Edwards</v>
      </c>
      <c r="E206" t="str">
        <f>INDEX(Sheet1!$A:$J,MATCH('index match'!$D206,Sheet1!$C:$C,0),MATCH('index match'!E$2,Sheet1!$1:$1,0))</f>
        <v>Edwards</v>
      </c>
      <c r="F206">
        <f>INDEX(Sheet1!$A:$J,MATCH('index match'!$D206,Sheet1!$C:$C,0),MATCH('index match'!F$2,Sheet1!$1:$1,0))</f>
        <v>4</v>
      </c>
      <c r="G206" t="str">
        <f>INDEX(Sheet1!$A:$J,MATCH('index match'!$D206,Sheet1!$C:$C,0),MATCH('index match'!G$2,Sheet1!$1:$1,0))</f>
        <v>Young</v>
      </c>
      <c r="K206" t="str">
        <v>Connie Chapman</v>
      </c>
      <c r="L206" t="str">
        <f>INDEX(Sheet1!$A:$J,MATCH('index match'!$K206,Sheet1!$C:$C,0),MATCH('index match'!L$2,Sheet1!$A$1:$J$1,0))</f>
        <v>Chapman</v>
      </c>
      <c r="M206">
        <f>INDEX(Sheet1!$A:$J,MATCH('index match'!$K206,Sheet1!$C:$C,0),MATCH('index match'!M$2,Sheet1!$A$1:$J$1,0))</f>
        <v>4</v>
      </c>
      <c r="N206" t="str">
        <f>INDEX(Sheet1!$A:$J,MATCH('index match'!$K206,Sheet1!$C:$C,0),MATCH('index match'!N$2,Sheet1!$A$1:$J$1,0))</f>
        <v>Old</v>
      </c>
    </row>
    <row r="207" spans="4:14" x14ac:dyDescent="0.25">
      <c r="D207" t="str">
        <v>Chester Sullivan</v>
      </c>
      <c r="E207" t="str">
        <f>INDEX(Sheet1!$A:$J,MATCH('index match'!$D207,Sheet1!$C:$C,0),MATCH('index match'!E$2,Sheet1!$1:$1,0))</f>
        <v>Sullivan</v>
      </c>
      <c r="F207">
        <f>INDEX(Sheet1!$A:$J,MATCH('index match'!$D207,Sheet1!$C:$C,0),MATCH('index match'!F$2,Sheet1!$1:$1,0))</f>
        <v>3</v>
      </c>
      <c r="G207" t="str">
        <f>INDEX(Sheet1!$A:$J,MATCH('index match'!$D207,Sheet1!$C:$C,0),MATCH('index match'!G$2,Sheet1!$1:$1,0))</f>
        <v>Middle Age</v>
      </c>
      <c r="K207" t="str">
        <v>Kelsey Rogers</v>
      </c>
      <c r="L207" t="str">
        <f>INDEX(Sheet1!$A:$J,MATCH('index match'!$K207,Sheet1!$C:$C,0),MATCH('index match'!L$2,Sheet1!$A$1:$J$1,0))</f>
        <v>Rogers</v>
      </c>
      <c r="M207">
        <f>INDEX(Sheet1!$A:$J,MATCH('index match'!$K207,Sheet1!$C:$C,0),MATCH('index match'!M$2,Sheet1!$A$1:$J$1,0))</f>
        <v>5</v>
      </c>
      <c r="N207" t="str">
        <f>INDEX(Sheet1!$A:$J,MATCH('index match'!$K207,Sheet1!$C:$C,0),MATCH('index match'!N$2,Sheet1!$A$1:$J$1,0))</f>
        <v>Middle Age</v>
      </c>
    </row>
    <row r="208" spans="4:14" x14ac:dyDescent="0.25">
      <c r="D208" t="str">
        <v>Arianna Kelly</v>
      </c>
      <c r="E208" t="str">
        <f>INDEX(Sheet1!$A:$J,MATCH('index match'!$D208,Sheet1!$C:$C,0),MATCH('index match'!E$2,Sheet1!$1:$1,0))</f>
        <v>Kelly</v>
      </c>
      <c r="F208">
        <f>INDEX(Sheet1!$A:$J,MATCH('index match'!$D208,Sheet1!$C:$C,0),MATCH('index match'!F$2,Sheet1!$1:$1,0))</f>
        <v>3</v>
      </c>
      <c r="G208" t="str">
        <f>INDEX(Sheet1!$A:$J,MATCH('index match'!$D208,Sheet1!$C:$C,0),MATCH('index match'!G$2,Sheet1!$1:$1,0))</f>
        <v>Young</v>
      </c>
      <c r="K208" t="str">
        <v>James Williams</v>
      </c>
      <c r="L208" t="str">
        <f>INDEX(Sheet1!$A:$J,MATCH('index match'!$K208,Sheet1!$C:$C,0),MATCH('index match'!L$2,Sheet1!$A$1:$J$1,0))</f>
        <v>Williams</v>
      </c>
      <c r="M208">
        <f>INDEX(Sheet1!$A:$J,MATCH('index match'!$K208,Sheet1!$C:$C,0),MATCH('index match'!M$2,Sheet1!$A$1:$J$1,0))</f>
        <v>0</v>
      </c>
      <c r="N208" t="str">
        <f>INDEX(Sheet1!$A:$J,MATCH('index match'!$K208,Sheet1!$C:$C,0),MATCH('index match'!N$2,Sheet1!$A$1:$J$1,0))</f>
        <v>Middle Age</v>
      </c>
    </row>
    <row r="209" spans="4:14" x14ac:dyDescent="0.25">
      <c r="D209" t="str">
        <v>Lucas Chapman</v>
      </c>
      <c r="E209" t="str">
        <f>INDEX(Sheet1!$A:$J,MATCH('index match'!$D209,Sheet1!$C:$C,0),MATCH('index match'!E$2,Sheet1!$1:$1,0))</f>
        <v>Chapman</v>
      </c>
      <c r="F209">
        <f>INDEX(Sheet1!$A:$J,MATCH('index match'!$D209,Sheet1!$C:$C,0),MATCH('index match'!F$2,Sheet1!$1:$1,0))</f>
        <v>2</v>
      </c>
      <c r="G209" t="str">
        <f>INDEX(Sheet1!$A:$J,MATCH('index match'!$D209,Sheet1!$C:$C,0),MATCH('index match'!G$2,Sheet1!$1:$1,0))</f>
        <v>Old</v>
      </c>
      <c r="K209" t="str">
        <v>Chester Casey</v>
      </c>
      <c r="L209" t="str">
        <f>INDEX(Sheet1!$A:$J,MATCH('index match'!$K209,Sheet1!$C:$C,0),MATCH('index match'!L$2,Sheet1!$A$1:$J$1,0))</f>
        <v>Casey</v>
      </c>
      <c r="M209">
        <f>INDEX(Sheet1!$A:$J,MATCH('index match'!$K209,Sheet1!$C:$C,0),MATCH('index match'!M$2,Sheet1!$A$1:$J$1,0))</f>
        <v>2</v>
      </c>
      <c r="N209" t="str">
        <f>INDEX(Sheet1!$A:$J,MATCH('index match'!$K209,Sheet1!$C:$C,0),MATCH('index match'!N$2,Sheet1!$A$1:$J$1,0))</f>
        <v>Middle Age</v>
      </c>
    </row>
    <row r="210" spans="4:14" x14ac:dyDescent="0.25">
      <c r="D210" t="str">
        <v>Bruce Gray</v>
      </c>
      <c r="E210" t="str">
        <f>INDEX(Sheet1!$A:$J,MATCH('index match'!$D210,Sheet1!$C:$C,0),MATCH('index match'!E$2,Sheet1!$1:$1,0))</f>
        <v>Gray</v>
      </c>
      <c r="F210">
        <f>INDEX(Sheet1!$A:$J,MATCH('index match'!$D210,Sheet1!$C:$C,0),MATCH('index match'!F$2,Sheet1!$1:$1,0))</f>
        <v>0</v>
      </c>
      <c r="G210" t="str">
        <f>INDEX(Sheet1!$A:$J,MATCH('index match'!$D210,Sheet1!$C:$C,0),MATCH('index match'!G$2,Sheet1!$1:$1,0))</f>
        <v>Young</v>
      </c>
      <c r="K210" t="str">
        <v>Robert Adams</v>
      </c>
      <c r="L210" t="str">
        <f>INDEX(Sheet1!$A:$J,MATCH('index match'!$K210,Sheet1!$C:$C,0),MATCH('index match'!L$2,Sheet1!$A$1:$J$1,0))</f>
        <v>Adams</v>
      </c>
      <c r="M210">
        <f>INDEX(Sheet1!$A:$J,MATCH('index match'!$K210,Sheet1!$C:$C,0),MATCH('index match'!M$2,Sheet1!$A$1:$J$1,0))</f>
        <v>3</v>
      </c>
      <c r="N210" t="str">
        <f>INDEX(Sheet1!$A:$J,MATCH('index match'!$K210,Sheet1!$C:$C,0),MATCH('index match'!N$2,Sheet1!$A$1:$J$1,0))</f>
        <v>Middle Age</v>
      </c>
    </row>
    <row r="211" spans="4:14" x14ac:dyDescent="0.25">
      <c r="D211" t="str">
        <v>Carlos Watson</v>
      </c>
      <c r="E211" t="str">
        <f>INDEX(Sheet1!$A:$J,MATCH('index match'!$D211,Sheet1!$C:$C,0),MATCH('index match'!E$2,Sheet1!$1:$1,0))</f>
        <v>Watson</v>
      </c>
      <c r="F211">
        <f>INDEX(Sheet1!$A:$J,MATCH('index match'!$D211,Sheet1!$C:$C,0),MATCH('index match'!F$2,Sheet1!$1:$1,0))</f>
        <v>2</v>
      </c>
      <c r="G211" t="str">
        <f>INDEX(Sheet1!$A:$J,MATCH('index match'!$D211,Sheet1!$C:$C,0),MATCH('index match'!G$2,Sheet1!$1:$1,0))</f>
        <v>Old</v>
      </c>
      <c r="K211" t="str">
        <v>Abigail Ryan</v>
      </c>
      <c r="L211" t="str">
        <f>INDEX(Sheet1!$A:$J,MATCH('index match'!$K211,Sheet1!$C:$C,0),MATCH('index match'!L$2,Sheet1!$A$1:$J$1,0))</f>
        <v>Ryan</v>
      </c>
      <c r="M211">
        <f>INDEX(Sheet1!$A:$J,MATCH('index match'!$K211,Sheet1!$C:$C,0),MATCH('index match'!M$2,Sheet1!$A$1:$J$1,0))</f>
        <v>0</v>
      </c>
      <c r="N211" t="str">
        <f>INDEX(Sheet1!$A:$J,MATCH('index match'!$K211,Sheet1!$C:$C,0),MATCH('index match'!N$2,Sheet1!$A$1:$J$1,0))</f>
        <v>Old</v>
      </c>
    </row>
    <row r="212" spans="4:14" x14ac:dyDescent="0.25">
      <c r="D212" t="str">
        <v>Vincent Foster</v>
      </c>
      <c r="E212" t="str">
        <f>INDEX(Sheet1!$A:$J,MATCH('index match'!$D212,Sheet1!$C:$C,0),MATCH('index match'!E$2,Sheet1!$1:$1,0))</f>
        <v>Foster</v>
      </c>
      <c r="F212">
        <f>INDEX(Sheet1!$A:$J,MATCH('index match'!$D212,Sheet1!$C:$C,0),MATCH('index match'!F$2,Sheet1!$1:$1,0))</f>
        <v>3</v>
      </c>
      <c r="G212" t="str">
        <f>INDEX(Sheet1!$A:$J,MATCH('index match'!$D212,Sheet1!$C:$C,0),MATCH('index match'!G$2,Sheet1!$1:$1,0))</f>
        <v>Middle Age</v>
      </c>
      <c r="K212" t="str">
        <v>Rubie Phillips</v>
      </c>
      <c r="L212" t="str">
        <f>INDEX(Sheet1!$A:$J,MATCH('index match'!$K212,Sheet1!$C:$C,0),MATCH('index match'!L$2,Sheet1!$A$1:$J$1,0))</f>
        <v>Phillips</v>
      </c>
      <c r="M212">
        <f>INDEX(Sheet1!$A:$J,MATCH('index match'!$K212,Sheet1!$C:$C,0),MATCH('index match'!M$2,Sheet1!$A$1:$J$1,0))</f>
        <v>1</v>
      </c>
      <c r="N212" t="str">
        <f>INDEX(Sheet1!$A:$J,MATCH('index match'!$K212,Sheet1!$C:$C,0),MATCH('index match'!N$2,Sheet1!$A$1:$J$1,0))</f>
        <v>Middle Age</v>
      </c>
    </row>
    <row r="213" spans="4:14" x14ac:dyDescent="0.25">
      <c r="D213" t="str">
        <v>Amber Murray</v>
      </c>
      <c r="E213" t="str">
        <f>INDEX(Sheet1!$A:$J,MATCH('index match'!$D213,Sheet1!$C:$C,0),MATCH('index match'!E$2,Sheet1!$1:$1,0))</f>
        <v>Murray</v>
      </c>
      <c r="F213">
        <f>INDEX(Sheet1!$A:$J,MATCH('index match'!$D213,Sheet1!$C:$C,0),MATCH('index match'!F$2,Sheet1!$1:$1,0))</f>
        <v>3</v>
      </c>
      <c r="G213" t="str">
        <f>INDEX(Sheet1!$A:$J,MATCH('index match'!$D213,Sheet1!$C:$C,0),MATCH('index match'!G$2,Sheet1!$1:$1,0))</f>
        <v>Middle Age</v>
      </c>
      <c r="K213" t="str">
        <v>Elise Smith</v>
      </c>
      <c r="L213" t="str">
        <f>INDEX(Sheet1!$A:$J,MATCH('index match'!$K213,Sheet1!$C:$C,0),MATCH('index match'!L$2,Sheet1!$A$1:$J$1,0))</f>
        <v>Smith</v>
      </c>
      <c r="M213">
        <f>INDEX(Sheet1!$A:$J,MATCH('index match'!$K213,Sheet1!$C:$C,0),MATCH('index match'!M$2,Sheet1!$A$1:$J$1,0))</f>
        <v>5</v>
      </c>
      <c r="N213" t="str">
        <f>INDEX(Sheet1!$A:$J,MATCH('index match'!$K213,Sheet1!$C:$C,0),MATCH('index match'!N$2,Sheet1!$A$1:$J$1,0))</f>
        <v>Middle Age</v>
      </c>
    </row>
    <row r="214" spans="4:14" x14ac:dyDescent="0.25">
      <c r="D214" t="str">
        <v>Kimberly Brown</v>
      </c>
      <c r="E214" t="str">
        <f>INDEX(Sheet1!$A:$J,MATCH('index match'!$D214,Sheet1!$C:$C,0),MATCH('index match'!E$2,Sheet1!$1:$1,0))</f>
        <v>Brown</v>
      </c>
      <c r="F214">
        <f>INDEX(Sheet1!$A:$J,MATCH('index match'!$D214,Sheet1!$C:$C,0),MATCH('index match'!F$2,Sheet1!$1:$1,0))</f>
        <v>3</v>
      </c>
      <c r="G214" t="str">
        <f>INDEX(Sheet1!$A:$J,MATCH('index match'!$D214,Sheet1!$C:$C,0),MATCH('index match'!G$2,Sheet1!$1:$1,0))</f>
        <v>Middle Age</v>
      </c>
      <c r="K214" t="str">
        <v>Albert Cameron</v>
      </c>
      <c r="L214" t="str">
        <f>INDEX(Sheet1!$A:$J,MATCH('index match'!$K214,Sheet1!$C:$C,0),MATCH('index match'!L$2,Sheet1!$A$1:$J$1,0))</f>
        <v>Cameron</v>
      </c>
      <c r="M214">
        <f>INDEX(Sheet1!$A:$J,MATCH('index match'!$K214,Sheet1!$C:$C,0),MATCH('index match'!M$2,Sheet1!$A$1:$J$1,0))</f>
        <v>4</v>
      </c>
      <c r="N214" t="str">
        <f>INDEX(Sheet1!$A:$J,MATCH('index match'!$K214,Sheet1!$C:$C,0),MATCH('index match'!N$2,Sheet1!$A$1:$J$1,0))</f>
        <v>Old</v>
      </c>
    </row>
    <row r="215" spans="4:14" x14ac:dyDescent="0.25">
      <c r="D215" t="str">
        <v>Connie Tucker</v>
      </c>
      <c r="E215" t="str">
        <f>INDEX(Sheet1!$A:$J,MATCH('index match'!$D215,Sheet1!$C:$C,0),MATCH('index match'!E$2,Sheet1!$1:$1,0))</f>
        <v>Tucker</v>
      </c>
      <c r="F215">
        <f>INDEX(Sheet1!$A:$J,MATCH('index match'!$D215,Sheet1!$C:$C,0),MATCH('index match'!F$2,Sheet1!$1:$1,0))</f>
        <v>3</v>
      </c>
      <c r="G215" t="str">
        <f>INDEX(Sheet1!$A:$J,MATCH('index match'!$D215,Sheet1!$C:$C,0),MATCH('index match'!G$2,Sheet1!$1:$1,0))</f>
        <v>Middle Age</v>
      </c>
      <c r="K215" t="str">
        <v>Annabella Parker</v>
      </c>
      <c r="L215" t="str">
        <f>INDEX(Sheet1!$A:$J,MATCH('index match'!$K215,Sheet1!$C:$C,0),MATCH('index match'!L$2,Sheet1!$A$1:$J$1,0))</f>
        <v>Parker</v>
      </c>
      <c r="M215">
        <f>INDEX(Sheet1!$A:$J,MATCH('index match'!$K215,Sheet1!$C:$C,0),MATCH('index match'!M$2,Sheet1!$A$1:$J$1,0))</f>
        <v>5</v>
      </c>
      <c r="N215" t="str">
        <f>INDEX(Sheet1!$A:$J,MATCH('index match'!$K215,Sheet1!$C:$C,0),MATCH('index match'!N$2,Sheet1!$A$1:$J$1,0))</f>
        <v>Middle Age</v>
      </c>
    </row>
    <row r="216" spans="4:14" x14ac:dyDescent="0.25">
      <c r="D216" t="str">
        <v>Emma Robinson</v>
      </c>
      <c r="E216" t="str">
        <f>INDEX(Sheet1!$A:$J,MATCH('index match'!$D216,Sheet1!$C:$C,0),MATCH('index match'!E$2,Sheet1!$1:$1,0))</f>
        <v>Robinson</v>
      </c>
      <c r="F216">
        <f>INDEX(Sheet1!$A:$J,MATCH('index match'!$D216,Sheet1!$C:$C,0),MATCH('index match'!F$2,Sheet1!$1:$1,0))</f>
        <v>1</v>
      </c>
      <c r="G216" t="str">
        <f>INDEX(Sheet1!$A:$J,MATCH('index match'!$D216,Sheet1!$C:$C,0),MATCH('index match'!G$2,Sheet1!$1:$1,0))</f>
        <v>Young</v>
      </c>
      <c r="K216" t="str">
        <v>Eleanor Morgan</v>
      </c>
      <c r="L216" t="str">
        <f>INDEX(Sheet1!$A:$J,MATCH('index match'!$K216,Sheet1!$C:$C,0),MATCH('index match'!L$2,Sheet1!$A$1:$J$1,0))</f>
        <v>Morgan</v>
      </c>
      <c r="M216">
        <f>INDEX(Sheet1!$A:$J,MATCH('index match'!$K216,Sheet1!$C:$C,0),MATCH('index match'!M$2,Sheet1!$A$1:$J$1,0))</f>
        <v>0</v>
      </c>
      <c r="N216" t="str">
        <f>INDEX(Sheet1!$A:$J,MATCH('index match'!$K216,Sheet1!$C:$C,0),MATCH('index match'!N$2,Sheet1!$A$1:$J$1,0))</f>
        <v>Middle Age</v>
      </c>
    </row>
    <row r="217" spans="4:14" x14ac:dyDescent="0.25">
      <c r="D217" t="str">
        <v>Tara Thomas</v>
      </c>
      <c r="E217" t="str">
        <f>INDEX(Sheet1!$A:$J,MATCH('index match'!$D217,Sheet1!$C:$C,0),MATCH('index match'!E$2,Sheet1!$1:$1,0))</f>
        <v>Thomas</v>
      </c>
      <c r="F217">
        <f>INDEX(Sheet1!$A:$J,MATCH('index match'!$D217,Sheet1!$C:$C,0),MATCH('index match'!F$2,Sheet1!$1:$1,0))</f>
        <v>0</v>
      </c>
      <c r="G217" t="str">
        <f>INDEX(Sheet1!$A:$J,MATCH('index match'!$D217,Sheet1!$C:$C,0),MATCH('index match'!G$2,Sheet1!$1:$1,0))</f>
        <v>Middle Age</v>
      </c>
      <c r="K217" t="str">
        <v>Heather Gray</v>
      </c>
      <c r="L217" t="str">
        <f>INDEX(Sheet1!$A:$J,MATCH('index match'!$K217,Sheet1!$C:$C,0),MATCH('index match'!L$2,Sheet1!$A$1:$J$1,0))</f>
        <v>Gray</v>
      </c>
      <c r="M217">
        <f>INDEX(Sheet1!$A:$J,MATCH('index match'!$K217,Sheet1!$C:$C,0),MATCH('index match'!M$2,Sheet1!$A$1:$J$1,0))</f>
        <v>3</v>
      </c>
      <c r="N217" t="str">
        <f>INDEX(Sheet1!$A:$J,MATCH('index match'!$K217,Sheet1!$C:$C,0),MATCH('index match'!N$2,Sheet1!$A$1:$J$1,0))</f>
        <v>Middle Age</v>
      </c>
    </row>
    <row r="218" spans="4:14" x14ac:dyDescent="0.25">
      <c r="D218" t="str">
        <v>Nicole Allen</v>
      </c>
      <c r="E218" t="str">
        <f>INDEX(Sheet1!$A:$J,MATCH('index match'!$D218,Sheet1!$C:$C,0),MATCH('index match'!E$2,Sheet1!$1:$1,0))</f>
        <v>Allen</v>
      </c>
      <c r="F218">
        <f>INDEX(Sheet1!$A:$J,MATCH('index match'!$D218,Sheet1!$C:$C,0),MATCH('index match'!F$2,Sheet1!$1:$1,0))</f>
        <v>0</v>
      </c>
      <c r="G218" t="str">
        <f>INDEX(Sheet1!$A:$J,MATCH('index match'!$D218,Sheet1!$C:$C,0),MATCH('index match'!G$2,Sheet1!$1:$1,0))</f>
        <v>Young</v>
      </c>
      <c r="K218" t="str">
        <v>Arianna Andrews</v>
      </c>
      <c r="L218" t="str">
        <f>INDEX(Sheet1!$A:$J,MATCH('index match'!$K218,Sheet1!$C:$C,0),MATCH('index match'!L$2,Sheet1!$A$1:$J$1,0))</f>
        <v>Andrews</v>
      </c>
      <c r="M218">
        <f>INDEX(Sheet1!$A:$J,MATCH('index match'!$K218,Sheet1!$C:$C,0),MATCH('index match'!M$2,Sheet1!$A$1:$J$1,0))</f>
        <v>5</v>
      </c>
      <c r="N218" t="str">
        <f>INDEX(Sheet1!$A:$J,MATCH('index match'!$K218,Sheet1!$C:$C,0),MATCH('index match'!N$2,Sheet1!$A$1:$J$1,0))</f>
        <v>Young</v>
      </c>
    </row>
    <row r="219" spans="4:14" x14ac:dyDescent="0.25">
      <c r="D219" t="str">
        <v>Sarah Parker</v>
      </c>
      <c r="E219" t="str">
        <f>INDEX(Sheet1!$A:$J,MATCH('index match'!$D219,Sheet1!$C:$C,0),MATCH('index match'!E$2,Sheet1!$1:$1,0))</f>
        <v>Parker</v>
      </c>
      <c r="F219">
        <f>INDEX(Sheet1!$A:$J,MATCH('index match'!$D219,Sheet1!$C:$C,0),MATCH('index match'!F$2,Sheet1!$1:$1,0))</f>
        <v>1</v>
      </c>
      <c r="G219" t="str">
        <f>INDEX(Sheet1!$A:$J,MATCH('index match'!$D219,Sheet1!$C:$C,0),MATCH('index match'!G$2,Sheet1!$1:$1,0))</f>
        <v>Middle Age</v>
      </c>
      <c r="K219" t="str">
        <v>Thomas Hill</v>
      </c>
      <c r="L219" t="str">
        <f>INDEX(Sheet1!$A:$J,MATCH('index match'!$K219,Sheet1!$C:$C,0),MATCH('index match'!L$2,Sheet1!$A$1:$J$1,0))</f>
        <v>Hill</v>
      </c>
      <c r="M219">
        <f>INDEX(Sheet1!$A:$J,MATCH('index match'!$K219,Sheet1!$C:$C,0),MATCH('index match'!M$2,Sheet1!$A$1:$J$1,0))</f>
        <v>1</v>
      </c>
      <c r="N219" t="str">
        <f>INDEX(Sheet1!$A:$J,MATCH('index match'!$K219,Sheet1!$C:$C,0),MATCH('index match'!N$2,Sheet1!$A$1:$J$1,0))</f>
        <v>Old</v>
      </c>
    </row>
    <row r="220" spans="4:14" x14ac:dyDescent="0.25">
      <c r="D220" t="str">
        <v>Violet Stewart</v>
      </c>
      <c r="E220" t="str">
        <f>INDEX(Sheet1!$A:$J,MATCH('index match'!$D220,Sheet1!$C:$C,0),MATCH('index match'!E$2,Sheet1!$1:$1,0))</f>
        <v>Stewart</v>
      </c>
      <c r="F220">
        <f>INDEX(Sheet1!$A:$J,MATCH('index match'!$D220,Sheet1!$C:$C,0),MATCH('index match'!F$2,Sheet1!$1:$1,0))</f>
        <v>4</v>
      </c>
      <c r="G220" t="str">
        <f>INDEX(Sheet1!$A:$J,MATCH('index match'!$D220,Sheet1!$C:$C,0),MATCH('index match'!G$2,Sheet1!$1:$1,0))</f>
        <v>Middle Age</v>
      </c>
      <c r="K220" t="str">
        <v>Thomas Harper</v>
      </c>
      <c r="L220" t="str">
        <f>INDEX(Sheet1!$A:$J,MATCH('index match'!$K220,Sheet1!$C:$C,0),MATCH('index match'!L$2,Sheet1!$A$1:$J$1,0))</f>
        <v>Harper</v>
      </c>
      <c r="M220">
        <f>INDEX(Sheet1!$A:$J,MATCH('index match'!$K220,Sheet1!$C:$C,0),MATCH('index match'!M$2,Sheet1!$A$1:$J$1,0))</f>
        <v>2</v>
      </c>
      <c r="N220" t="str">
        <f>INDEX(Sheet1!$A:$J,MATCH('index match'!$K220,Sheet1!$C:$C,0),MATCH('index match'!N$2,Sheet1!$A$1:$J$1,0))</f>
        <v>Middle Age</v>
      </c>
    </row>
    <row r="221" spans="4:14" x14ac:dyDescent="0.25">
      <c r="D221" t="str">
        <v>Marcus Roberts</v>
      </c>
      <c r="E221" t="str">
        <f>INDEX(Sheet1!$A:$J,MATCH('index match'!$D221,Sheet1!$C:$C,0),MATCH('index match'!E$2,Sheet1!$1:$1,0))</f>
        <v>Roberts</v>
      </c>
      <c r="F221">
        <f>INDEX(Sheet1!$A:$J,MATCH('index match'!$D221,Sheet1!$C:$C,0),MATCH('index match'!F$2,Sheet1!$1:$1,0))</f>
        <v>5</v>
      </c>
      <c r="G221" t="str">
        <f>INDEX(Sheet1!$A:$J,MATCH('index match'!$D221,Sheet1!$C:$C,0),MATCH('index match'!G$2,Sheet1!$1:$1,0))</f>
        <v>Middle Age</v>
      </c>
      <c r="K221" t="str">
        <v>Jacob Jones</v>
      </c>
      <c r="L221" t="str">
        <f>INDEX(Sheet1!$A:$J,MATCH('index match'!$K221,Sheet1!$C:$C,0),MATCH('index match'!L$2,Sheet1!$A$1:$J$1,0))</f>
        <v>Jones</v>
      </c>
      <c r="M221">
        <f>INDEX(Sheet1!$A:$J,MATCH('index match'!$K221,Sheet1!$C:$C,0),MATCH('index match'!M$2,Sheet1!$A$1:$J$1,0))</f>
        <v>1</v>
      </c>
      <c r="N221" t="str">
        <f>INDEX(Sheet1!$A:$J,MATCH('index match'!$K221,Sheet1!$C:$C,0),MATCH('index match'!N$2,Sheet1!$A$1:$J$1,0))</f>
        <v>Young</v>
      </c>
    </row>
    <row r="222" spans="4:14" x14ac:dyDescent="0.25">
      <c r="D222" t="str">
        <v>Elise Bennett</v>
      </c>
      <c r="E222" t="str">
        <f>INDEX(Sheet1!$A:$J,MATCH('index match'!$D222,Sheet1!$C:$C,0),MATCH('index match'!E$2,Sheet1!$1:$1,0))</f>
        <v>Bennett</v>
      </c>
      <c r="F222">
        <f>INDEX(Sheet1!$A:$J,MATCH('index match'!$D222,Sheet1!$C:$C,0),MATCH('index match'!F$2,Sheet1!$1:$1,0))</f>
        <v>1</v>
      </c>
      <c r="G222" t="str">
        <f>INDEX(Sheet1!$A:$J,MATCH('index match'!$D222,Sheet1!$C:$C,0),MATCH('index match'!G$2,Sheet1!$1:$1,0))</f>
        <v>Young</v>
      </c>
      <c r="K222" t="str">
        <v>Alan Payne</v>
      </c>
      <c r="L222" t="str">
        <f>INDEX(Sheet1!$A:$J,MATCH('index match'!$K222,Sheet1!$C:$C,0),MATCH('index match'!L$2,Sheet1!$A$1:$J$1,0))</f>
        <v>Payne</v>
      </c>
      <c r="M222">
        <f>INDEX(Sheet1!$A:$J,MATCH('index match'!$K222,Sheet1!$C:$C,0),MATCH('index match'!M$2,Sheet1!$A$1:$J$1,0))</f>
        <v>1</v>
      </c>
      <c r="N222" t="str">
        <f>INDEX(Sheet1!$A:$J,MATCH('index match'!$K222,Sheet1!$C:$C,0),MATCH('index match'!N$2,Sheet1!$A$1:$J$1,0))</f>
        <v>Middle Age</v>
      </c>
    </row>
    <row r="223" spans="4:14" x14ac:dyDescent="0.25">
      <c r="D223" t="str">
        <v>Savana Harris</v>
      </c>
      <c r="E223" t="str">
        <f>INDEX(Sheet1!$A:$J,MATCH('index match'!$D223,Sheet1!$C:$C,0),MATCH('index match'!E$2,Sheet1!$1:$1,0))</f>
        <v>Harris</v>
      </c>
      <c r="F223">
        <f>INDEX(Sheet1!$A:$J,MATCH('index match'!$D223,Sheet1!$C:$C,0),MATCH('index match'!F$2,Sheet1!$1:$1,0))</f>
        <v>0</v>
      </c>
      <c r="G223" t="str">
        <f>INDEX(Sheet1!$A:$J,MATCH('index match'!$D223,Sheet1!$C:$C,0),MATCH('index match'!G$2,Sheet1!$1:$1,0))</f>
        <v>Middle Age</v>
      </c>
      <c r="K223" t="str">
        <v>Maximilian Perry</v>
      </c>
      <c r="L223" t="str">
        <f>INDEX(Sheet1!$A:$J,MATCH('index match'!$K223,Sheet1!$C:$C,0),MATCH('index match'!L$2,Sheet1!$A$1:$J$1,0))</f>
        <v>Perry</v>
      </c>
      <c r="M223">
        <f>INDEX(Sheet1!$A:$J,MATCH('index match'!$K223,Sheet1!$C:$C,0),MATCH('index match'!M$2,Sheet1!$A$1:$J$1,0))</f>
        <v>2</v>
      </c>
      <c r="N223" t="str">
        <f>INDEX(Sheet1!$A:$J,MATCH('index match'!$K223,Sheet1!$C:$C,0),MATCH('index match'!N$2,Sheet1!$A$1:$J$1,0))</f>
        <v>Old</v>
      </c>
    </row>
    <row r="224" spans="4:14" x14ac:dyDescent="0.25">
      <c r="D224" t="str">
        <v>Rafael Owens</v>
      </c>
      <c r="E224" t="str">
        <f>INDEX(Sheet1!$A:$J,MATCH('index match'!$D224,Sheet1!$C:$C,0),MATCH('index match'!E$2,Sheet1!$1:$1,0))</f>
        <v>Owens</v>
      </c>
      <c r="F224">
        <f>INDEX(Sheet1!$A:$J,MATCH('index match'!$D224,Sheet1!$C:$C,0),MATCH('index match'!F$2,Sheet1!$1:$1,0))</f>
        <v>3</v>
      </c>
      <c r="G224" t="str">
        <f>INDEX(Sheet1!$A:$J,MATCH('index match'!$D224,Sheet1!$C:$C,0),MATCH('index match'!G$2,Sheet1!$1:$1,0))</f>
        <v>Young</v>
      </c>
      <c r="K224" t="str">
        <v>Victoria Perkins</v>
      </c>
      <c r="L224" t="str">
        <f>INDEX(Sheet1!$A:$J,MATCH('index match'!$K224,Sheet1!$C:$C,0),MATCH('index match'!L$2,Sheet1!$A$1:$J$1,0))</f>
        <v>Perkins</v>
      </c>
      <c r="M224">
        <f>INDEX(Sheet1!$A:$J,MATCH('index match'!$K224,Sheet1!$C:$C,0),MATCH('index match'!M$2,Sheet1!$A$1:$J$1,0))</f>
        <v>1</v>
      </c>
      <c r="N224" t="str">
        <f>INDEX(Sheet1!$A:$J,MATCH('index match'!$K224,Sheet1!$C:$C,0),MATCH('index match'!N$2,Sheet1!$A$1:$J$1,0))</f>
        <v>Old</v>
      </c>
    </row>
    <row r="225" spans="4:14" x14ac:dyDescent="0.25">
      <c r="D225" t="str">
        <v>Kirsten Perry</v>
      </c>
      <c r="E225" t="str">
        <f>INDEX(Sheet1!$A:$J,MATCH('index match'!$D225,Sheet1!$C:$C,0),MATCH('index match'!E$2,Sheet1!$1:$1,0))</f>
        <v>Perry</v>
      </c>
      <c r="F225">
        <f>INDEX(Sheet1!$A:$J,MATCH('index match'!$D225,Sheet1!$C:$C,0),MATCH('index match'!F$2,Sheet1!$1:$1,0))</f>
        <v>3</v>
      </c>
      <c r="G225" t="str">
        <f>INDEX(Sheet1!$A:$J,MATCH('index match'!$D225,Sheet1!$C:$C,0),MATCH('index match'!G$2,Sheet1!$1:$1,0))</f>
        <v>Young</v>
      </c>
      <c r="K225" t="str">
        <v>Alen Hill</v>
      </c>
      <c r="L225" t="str">
        <f>INDEX(Sheet1!$A:$J,MATCH('index match'!$K225,Sheet1!$C:$C,0),MATCH('index match'!L$2,Sheet1!$A$1:$J$1,0))</f>
        <v>Hill</v>
      </c>
      <c r="M225">
        <f>INDEX(Sheet1!$A:$J,MATCH('index match'!$K225,Sheet1!$C:$C,0),MATCH('index match'!M$2,Sheet1!$A$1:$J$1,0))</f>
        <v>1</v>
      </c>
      <c r="N225" t="str">
        <f>INDEX(Sheet1!$A:$J,MATCH('index match'!$K225,Sheet1!$C:$C,0),MATCH('index match'!N$2,Sheet1!$A$1:$J$1,0))</f>
        <v>Old</v>
      </c>
    </row>
    <row r="226" spans="4:14" x14ac:dyDescent="0.25">
      <c r="D226" t="str">
        <v>Carina Hall</v>
      </c>
      <c r="E226" t="str">
        <f>INDEX(Sheet1!$A:$J,MATCH('index match'!$D226,Sheet1!$C:$C,0),MATCH('index match'!E$2,Sheet1!$1:$1,0))</f>
        <v>Hall</v>
      </c>
      <c r="F226">
        <f>INDEX(Sheet1!$A:$J,MATCH('index match'!$D226,Sheet1!$C:$C,0),MATCH('index match'!F$2,Sheet1!$1:$1,0))</f>
        <v>0</v>
      </c>
      <c r="G226" t="str">
        <f>INDEX(Sheet1!$A:$J,MATCH('index match'!$D226,Sheet1!$C:$C,0),MATCH('index match'!G$2,Sheet1!$1:$1,0))</f>
        <v>Young</v>
      </c>
      <c r="K226" t="str">
        <v>Carina Edwards</v>
      </c>
      <c r="L226" t="str">
        <f>INDEX(Sheet1!$A:$J,MATCH('index match'!$K226,Sheet1!$C:$C,0),MATCH('index match'!L$2,Sheet1!$A$1:$J$1,0))</f>
        <v>Edwards</v>
      </c>
      <c r="M226">
        <f>INDEX(Sheet1!$A:$J,MATCH('index match'!$K226,Sheet1!$C:$C,0),MATCH('index match'!M$2,Sheet1!$A$1:$J$1,0))</f>
        <v>2</v>
      </c>
      <c r="N226" t="str">
        <f>INDEX(Sheet1!$A:$J,MATCH('index match'!$K226,Sheet1!$C:$C,0),MATCH('index match'!N$2,Sheet1!$A$1:$J$1,0))</f>
        <v>Old</v>
      </c>
    </row>
    <row r="227" spans="4:14" x14ac:dyDescent="0.25">
      <c r="D227" t="str">
        <v>Roland Watson</v>
      </c>
      <c r="E227" t="str">
        <f>INDEX(Sheet1!$A:$J,MATCH('index match'!$D227,Sheet1!$C:$C,0),MATCH('index match'!E$2,Sheet1!$1:$1,0))</f>
        <v>Watson</v>
      </c>
      <c r="F227">
        <f>INDEX(Sheet1!$A:$J,MATCH('index match'!$D227,Sheet1!$C:$C,0),MATCH('index match'!F$2,Sheet1!$1:$1,0))</f>
        <v>3</v>
      </c>
      <c r="G227" t="str">
        <f>INDEX(Sheet1!$A:$J,MATCH('index match'!$D227,Sheet1!$C:$C,0),MATCH('index match'!G$2,Sheet1!$1:$1,0))</f>
        <v>Middle Age</v>
      </c>
      <c r="K227" t="str">
        <v>Amelia Perry</v>
      </c>
      <c r="L227" t="str">
        <f>INDEX(Sheet1!$A:$J,MATCH('index match'!$K227,Sheet1!$C:$C,0),MATCH('index match'!L$2,Sheet1!$A$1:$J$1,0))</f>
        <v>Perry</v>
      </c>
      <c r="M227">
        <f>INDEX(Sheet1!$A:$J,MATCH('index match'!$K227,Sheet1!$C:$C,0),MATCH('index match'!M$2,Sheet1!$A$1:$J$1,0))</f>
        <v>4</v>
      </c>
      <c r="N227" t="str">
        <f>INDEX(Sheet1!$A:$J,MATCH('index match'!$K227,Sheet1!$C:$C,0),MATCH('index match'!N$2,Sheet1!$A$1:$J$1,0))</f>
        <v>Young</v>
      </c>
    </row>
    <row r="228" spans="4:14" x14ac:dyDescent="0.25">
      <c r="D228" t="str">
        <v>Lucas Kelly</v>
      </c>
      <c r="E228" t="str">
        <f>INDEX(Sheet1!$A:$J,MATCH('index match'!$D228,Sheet1!$C:$C,0),MATCH('index match'!E$2,Sheet1!$1:$1,0))</f>
        <v>Kelly</v>
      </c>
      <c r="F228">
        <f>INDEX(Sheet1!$A:$J,MATCH('index match'!$D228,Sheet1!$C:$C,0),MATCH('index match'!F$2,Sheet1!$1:$1,0))</f>
        <v>3</v>
      </c>
      <c r="G228" t="str">
        <f>INDEX(Sheet1!$A:$J,MATCH('index match'!$D228,Sheet1!$C:$C,0),MATCH('index match'!G$2,Sheet1!$1:$1,0))</f>
        <v>Middle Age</v>
      </c>
      <c r="K228" t="str">
        <v>Victoria Stewart</v>
      </c>
      <c r="L228" t="str">
        <f>INDEX(Sheet1!$A:$J,MATCH('index match'!$K228,Sheet1!$C:$C,0),MATCH('index match'!L$2,Sheet1!$A$1:$J$1,0))</f>
        <v>Stewart</v>
      </c>
      <c r="M228">
        <f>INDEX(Sheet1!$A:$J,MATCH('index match'!$K228,Sheet1!$C:$C,0),MATCH('index match'!M$2,Sheet1!$A$1:$J$1,0))</f>
        <v>0</v>
      </c>
      <c r="N228" t="str">
        <f>INDEX(Sheet1!$A:$J,MATCH('index match'!$K228,Sheet1!$C:$C,0),MATCH('index match'!N$2,Sheet1!$A$1:$J$1,0))</f>
        <v>Middle Age</v>
      </c>
    </row>
    <row r="229" spans="4:14" x14ac:dyDescent="0.25">
      <c r="D229" t="str">
        <v>Lucia Cameron</v>
      </c>
      <c r="E229" t="str">
        <f>INDEX(Sheet1!$A:$J,MATCH('index match'!$D229,Sheet1!$C:$C,0),MATCH('index match'!E$2,Sheet1!$1:$1,0))</f>
        <v>Cameron</v>
      </c>
      <c r="F229">
        <f>INDEX(Sheet1!$A:$J,MATCH('index match'!$D229,Sheet1!$C:$C,0),MATCH('index match'!F$2,Sheet1!$1:$1,0))</f>
        <v>5</v>
      </c>
      <c r="G229" t="str">
        <f>INDEX(Sheet1!$A:$J,MATCH('index match'!$D229,Sheet1!$C:$C,0),MATCH('index match'!G$2,Sheet1!$1:$1,0))</f>
        <v>Middle Age</v>
      </c>
      <c r="K229" t="str">
        <v>Eddy Roberts</v>
      </c>
      <c r="L229" t="str">
        <f>INDEX(Sheet1!$A:$J,MATCH('index match'!$K229,Sheet1!$C:$C,0),MATCH('index match'!L$2,Sheet1!$A$1:$J$1,0))</f>
        <v>Roberts</v>
      </c>
      <c r="M229">
        <f>INDEX(Sheet1!$A:$J,MATCH('index match'!$K229,Sheet1!$C:$C,0),MATCH('index match'!M$2,Sheet1!$A$1:$J$1,0))</f>
        <v>1</v>
      </c>
      <c r="N229" t="str">
        <f>INDEX(Sheet1!$A:$J,MATCH('index match'!$K229,Sheet1!$C:$C,0),MATCH('index match'!N$2,Sheet1!$A$1:$J$1,0))</f>
        <v>Young</v>
      </c>
    </row>
    <row r="230" spans="4:14" x14ac:dyDescent="0.25">
      <c r="D230" t="str">
        <v>Sam Brooks</v>
      </c>
      <c r="E230" t="str">
        <f>INDEX(Sheet1!$A:$J,MATCH('index match'!$D230,Sheet1!$C:$C,0),MATCH('index match'!E$2,Sheet1!$1:$1,0))</f>
        <v>Brooks</v>
      </c>
      <c r="F230">
        <f>INDEX(Sheet1!$A:$J,MATCH('index match'!$D230,Sheet1!$C:$C,0),MATCH('index match'!F$2,Sheet1!$1:$1,0))</f>
        <v>2</v>
      </c>
      <c r="G230" t="str">
        <f>INDEX(Sheet1!$A:$J,MATCH('index match'!$D230,Sheet1!$C:$C,0),MATCH('index match'!G$2,Sheet1!$1:$1,0))</f>
        <v>Middle Age</v>
      </c>
      <c r="K230" t="str">
        <v>Jordan Chapman</v>
      </c>
      <c r="L230" t="str">
        <f>INDEX(Sheet1!$A:$J,MATCH('index match'!$K230,Sheet1!$C:$C,0),MATCH('index match'!L$2,Sheet1!$A$1:$J$1,0))</f>
        <v>Chapman</v>
      </c>
      <c r="M230">
        <f>INDEX(Sheet1!$A:$J,MATCH('index match'!$K230,Sheet1!$C:$C,0),MATCH('index match'!M$2,Sheet1!$A$1:$J$1,0))</f>
        <v>5</v>
      </c>
      <c r="N230" t="str">
        <f>INDEX(Sheet1!$A:$J,MATCH('index match'!$K230,Sheet1!$C:$C,0),MATCH('index match'!N$2,Sheet1!$A$1:$J$1,0))</f>
        <v>Middle Age</v>
      </c>
    </row>
    <row r="231" spans="4:14" x14ac:dyDescent="0.25">
      <c r="D231" t="str">
        <v>Deanna Foster</v>
      </c>
      <c r="E231" t="str">
        <f>INDEX(Sheet1!$A:$J,MATCH('index match'!$D231,Sheet1!$C:$C,0),MATCH('index match'!E$2,Sheet1!$1:$1,0))</f>
        <v>Foster</v>
      </c>
      <c r="F231">
        <f>INDEX(Sheet1!$A:$J,MATCH('index match'!$D231,Sheet1!$C:$C,0),MATCH('index match'!F$2,Sheet1!$1:$1,0))</f>
        <v>2</v>
      </c>
      <c r="G231" t="str">
        <f>INDEX(Sheet1!$A:$J,MATCH('index match'!$D231,Sheet1!$C:$C,0),MATCH('index match'!G$2,Sheet1!$1:$1,0))</f>
        <v>Old</v>
      </c>
      <c r="K231" t="str">
        <v>Amelia Murphy</v>
      </c>
      <c r="L231" t="str">
        <f>INDEX(Sheet1!$A:$J,MATCH('index match'!$K231,Sheet1!$C:$C,0),MATCH('index match'!L$2,Sheet1!$A$1:$J$1,0))</f>
        <v>Murphy</v>
      </c>
      <c r="M231">
        <f>INDEX(Sheet1!$A:$J,MATCH('index match'!$K231,Sheet1!$C:$C,0),MATCH('index match'!M$2,Sheet1!$A$1:$J$1,0))</f>
        <v>4</v>
      </c>
      <c r="N231" t="str">
        <f>INDEX(Sheet1!$A:$J,MATCH('index match'!$K231,Sheet1!$C:$C,0),MATCH('index match'!N$2,Sheet1!$A$1:$J$1,0))</f>
        <v>Young</v>
      </c>
    </row>
    <row r="232" spans="4:14" x14ac:dyDescent="0.25">
      <c r="D232" t="str">
        <v>Adelaide Thompson</v>
      </c>
      <c r="E232" t="str">
        <f>INDEX(Sheet1!$A:$J,MATCH('index match'!$D232,Sheet1!$C:$C,0),MATCH('index match'!E$2,Sheet1!$1:$1,0))</f>
        <v>Thompson</v>
      </c>
      <c r="F232">
        <f>INDEX(Sheet1!$A:$J,MATCH('index match'!$D232,Sheet1!$C:$C,0),MATCH('index match'!F$2,Sheet1!$1:$1,0))</f>
        <v>1</v>
      </c>
      <c r="G232" t="str">
        <f>INDEX(Sheet1!$A:$J,MATCH('index match'!$D232,Sheet1!$C:$C,0),MATCH('index match'!G$2,Sheet1!$1:$1,0))</f>
        <v>Middle Age</v>
      </c>
      <c r="K232" t="str">
        <v>Frederick Martin</v>
      </c>
      <c r="L232" t="str">
        <f>INDEX(Sheet1!$A:$J,MATCH('index match'!$K232,Sheet1!$C:$C,0),MATCH('index match'!L$2,Sheet1!$A$1:$J$1,0))</f>
        <v>Martin</v>
      </c>
      <c r="M232">
        <f>INDEX(Sheet1!$A:$J,MATCH('index match'!$K232,Sheet1!$C:$C,0),MATCH('index match'!M$2,Sheet1!$A$1:$J$1,0))</f>
        <v>3</v>
      </c>
      <c r="N232" t="str">
        <f>INDEX(Sheet1!$A:$J,MATCH('index match'!$K232,Sheet1!$C:$C,0),MATCH('index match'!N$2,Sheet1!$A$1:$J$1,0))</f>
        <v>Middle Age</v>
      </c>
    </row>
    <row r="233" spans="4:14" x14ac:dyDescent="0.25">
      <c r="D233" t="str">
        <v>Richard Walker</v>
      </c>
      <c r="E233" t="str">
        <f>INDEX(Sheet1!$A:$J,MATCH('index match'!$D233,Sheet1!$C:$C,0),MATCH('index match'!E$2,Sheet1!$1:$1,0))</f>
        <v>Walker</v>
      </c>
      <c r="F233">
        <f>INDEX(Sheet1!$A:$J,MATCH('index match'!$D233,Sheet1!$C:$C,0),MATCH('index match'!F$2,Sheet1!$1:$1,0))</f>
        <v>5</v>
      </c>
      <c r="G233" t="str">
        <f>INDEX(Sheet1!$A:$J,MATCH('index match'!$D233,Sheet1!$C:$C,0),MATCH('index match'!G$2,Sheet1!$1:$1,0))</f>
        <v>Young</v>
      </c>
      <c r="K233" t="str">
        <v>Alina Fowler</v>
      </c>
      <c r="L233" t="str">
        <f>INDEX(Sheet1!$A:$J,MATCH('index match'!$K233,Sheet1!$C:$C,0),MATCH('index match'!L$2,Sheet1!$A$1:$J$1,0))</f>
        <v>Fowler</v>
      </c>
      <c r="M233">
        <f>INDEX(Sheet1!$A:$J,MATCH('index match'!$K233,Sheet1!$C:$C,0),MATCH('index match'!M$2,Sheet1!$A$1:$J$1,0))</f>
        <v>2</v>
      </c>
      <c r="N233" t="str">
        <f>INDEX(Sheet1!$A:$J,MATCH('index match'!$K233,Sheet1!$C:$C,0),MATCH('index match'!N$2,Sheet1!$A$1:$J$1,0))</f>
        <v>Young</v>
      </c>
    </row>
    <row r="234" spans="4:14" x14ac:dyDescent="0.25">
      <c r="D234" t="str">
        <v>Dexter Higgins</v>
      </c>
      <c r="E234" t="str">
        <f>INDEX(Sheet1!$A:$J,MATCH('index match'!$D234,Sheet1!$C:$C,0),MATCH('index match'!E$2,Sheet1!$1:$1,0))</f>
        <v>Higgins</v>
      </c>
      <c r="F234">
        <f>INDEX(Sheet1!$A:$J,MATCH('index match'!$D234,Sheet1!$C:$C,0),MATCH('index match'!F$2,Sheet1!$1:$1,0))</f>
        <v>5</v>
      </c>
      <c r="G234" t="str">
        <f>INDEX(Sheet1!$A:$J,MATCH('index match'!$D234,Sheet1!$C:$C,0),MATCH('index match'!G$2,Sheet1!$1:$1,0))</f>
        <v>Young</v>
      </c>
      <c r="K234" t="str">
        <v>Vincent Russell</v>
      </c>
      <c r="L234" t="str">
        <f>INDEX(Sheet1!$A:$J,MATCH('index match'!$K234,Sheet1!$C:$C,0),MATCH('index match'!L$2,Sheet1!$A$1:$J$1,0))</f>
        <v>Russell</v>
      </c>
      <c r="M234">
        <f>INDEX(Sheet1!$A:$J,MATCH('index match'!$K234,Sheet1!$C:$C,0),MATCH('index match'!M$2,Sheet1!$A$1:$J$1,0))</f>
        <v>4</v>
      </c>
      <c r="N234" t="str">
        <f>INDEX(Sheet1!$A:$J,MATCH('index match'!$K234,Sheet1!$C:$C,0),MATCH('index match'!N$2,Sheet1!$A$1:$J$1,0))</f>
        <v>Young</v>
      </c>
    </row>
    <row r="235" spans="4:14" x14ac:dyDescent="0.25">
      <c r="D235" t="str">
        <v>Spike Hunt</v>
      </c>
      <c r="E235" t="str">
        <f>INDEX(Sheet1!$A:$J,MATCH('index match'!$D235,Sheet1!$C:$C,0),MATCH('index match'!E$2,Sheet1!$1:$1,0))</f>
        <v>Hunt</v>
      </c>
      <c r="F235">
        <f>INDEX(Sheet1!$A:$J,MATCH('index match'!$D235,Sheet1!$C:$C,0),MATCH('index match'!F$2,Sheet1!$1:$1,0))</f>
        <v>4</v>
      </c>
      <c r="G235" t="str">
        <f>INDEX(Sheet1!$A:$J,MATCH('index match'!$D235,Sheet1!$C:$C,0),MATCH('index match'!G$2,Sheet1!$1:$1,0))</f>
        <v>Young</v>
      </c>
      <c r="K235" t="str">
        <v>Ned Brown</v>
      </c>
      <c r="L235" t="str">
        <f>INDEX(Sheet1!$A:$J,MATCH('index match'!$K235,Sheet1!$C:$C,0),MATCH('index match'!L$2,Sheet1!$A$1:$J$1,0))</f>
        <v>Brown</v>
      </c>
      <c r="M235">
        <f>INDEX(Sheet1!$A:$J,MATCH('index match'!$K235,Sheet1!$C:$C,0),MATCH('index match'!M$2,Sheet1!$A$1:$J$1,0))</f>
        <v>1</v>
      </c>
      <c r="N235" t="str">
        <f>INDEX(Sheet1!$A:$J,MATCH('index match'!$K235,Sheet1!$C:$C,0),MATCH('index match'!N$2,Sheet1!$A$1:$J$1,0))</f>
        <v>Middle Age</v>
      </c>
    </row>
    <row r="236" spans="4:14" x14ac:dyDescent="0.25">
      <c r="D236" t="str">
        <v>Arianna Walker</v>
      </c>
      <c r="E236" t="str">
        <f>INDEX(Sheet1!$A:$J,MATCH('index match'!$D236,Sheet1!$C:$C,0),MATCH('index match'!E$2,Sheet1!$1:$1,0))</f>
        <v>Walker</v>
      </c>
      <c r="F236">
        <f>INDEX(Sheet1!$A:$J,MATCH('index match'!$D236,Sheet1!$C:$C,0),MATCH('index match'!F$2,Sheet1!$1:$1,0))</f>
        <v>4</v>
      </c>
      <c r="G236" t="str">
        <f>INDEX(Sheet1!$A:$J,MATCH('index match'!$D236,Sheet1!$C:$C,0),MATCH('index match'!G$2,Sheet1!$1:$1,0))</f>
        <v>Young</v>
      </c>
      <c r="K236" t="str">
        <v>Dainton Robinson</v>
      </c>
      <c r="L236" t="str">
        <f>INDEX(Sheet1!$A:$J,MATCH('index match'!$K236,Sheet1!$C:$C,0),MATCH('index match'!L$2,Sheet1!$A$1:$J$1,0))</f>
        <v>Robinson</v>
      </c>
      <c r="M236">
        <f>INDEX(Sheet1!$A:$J,MATCH('index match'!$K236,Sheet1!$C:$C,0),MATCH('index match'!M$2,Sheet1!$A$1:$J$1,0))</f>
        <v>1</v>
      </c>
      <c r="N236" t="str">
        <f>INDEX(Sheet1!$A:$J,MATCH('index match'!$K236,Sheet1!$C:$C,0),MATCH('index match'!N$2,Sheet1!$A$1:$J$1,0))</f>
        <v>Middle Age</v>
      </c>
    </row>
    <row r="237" spans="4:14" x14ac:dyDescent="0.25">
      <c r="D237" t="str">
        <v>Steven Kelly</v>
      </c>
      <c r="E237" t="str">
        <f>INDEX(Sheet1!$A:$J,MATCH('index match'!$D237,Sheet1!$C:$C,0),MATCH('index match'!E$2,Sheet1!$1:$1,0))</f>
        <v>Kelly</v>
      </c>
      <c r="F237">
        <f>INDEX(Sheet1!$A:$J,MATCH('index match'!$D237,Sheet1!$C:$C,0),MATCH('index match'!F$2,Sheet1!$1:$1,0))</f>
        <v>2</v>
      </c>
      <c r="G237" t="str">
        <f>INDEX(Sheet1!$A:$J,MATCH('index match'!$D237,Sheet1!$C:$C,0),MATCH('index match'!G$2,Sheet1!$1:$1,0))</f>
        <v>Middle Age</v>
      </c>
      <c r="K237" t="str">
        <v>Maya Payne</v>
      </c>
      <c r="L237" t="str">
        <f>INDEX(Sheet1!$A:$J,MATCH('index match'!$K237,Sheet1!$C:$C,0),MATCH('index match'!L$2,Sheet1!$A$1:$J$1,0))</f>
        <v>Payne</v>
      </c>
      <c r="M237">
        <f>INDEX(Sheet1!$A:$J,MATCH('index match'!$K237,Sheet1!$C:$C,0),MATCH('index match'!M$2,Sheet1!$A$1:$J$1,0))</f>
        <v>3</v>
      </c>
      <c r="N237" t="str">
        <f>INDEX(Sheet1!$A:$J,MATCH('index match'!$K237,Sheet1!$C:$C,0),MATCH('index match'!N$2,Sheet1!$A$1:$J$1,0))</f>
        <v>Young</v>
      </c>
    </row>
    <row r="238" spans="4:14" x14ac:dyDescent="0.25">
      <c r="D238" t="str">
        <v>Walter Warren</v>
      </c>
      <c r="E238" t="str">
        <f>INDEX(Sheet1!$A:$J,MATCH('index match'!$D238,Sheet1!$C:$C,0),MATCH('index match'!E$2,Sheet1!$1:$1,0))</f>
        <v>Warren</v>
      </c>
      <c r="F238">
        <f>INDEX(Sheet1!$A:$J,MATCH('index match'!$D238,Sheet1!$C:$C,0),MATCH('index match'!F$2,Sheet1!$1:$1,0))</f>
        <v>5</v>
      </c>
      <c r="G238" t="str">
        <f>INDEX(Sheet1!$A:$J,MATCH('index match'!$D238,Sheet1!$C:$C,0),MATCH('index match'!G$2,Sheet1!$1:$1,0))</f>
        <v>Middle Age</v>
      </c>
      <c r="K238" t="str">
        <v>Dominik Andrews</v>
      </c>
      <c r="L238" t="str">
        <f>INDEX(Sheet1!$A:$J,MATCH('index match'!$K238,Sheet1!$C:$C,0),MATCH('index match'!L$2,Sheet1!$A$1:$J$1,0))</f>
        <v>Andrews</v>
      </c>
      <c r="M238">
        <f>INDEX(Sheet1!$A:$J,MATCH('index match'!$K238,Sheet1!$C:$C,0),MATCH('index match'!M$2,Sheet1!$A$1:$J$1,0))</f>
        <v>1</v>
      </c>
      <c r="N238" t="str">
        <f>INDEX(Sheet1!$A:$J,MATCH('index match'!$K238,Sheet1!$C:$C,0),MATCH('index match'!N$2,Sheet1!$A$1:$J$1,0))</f>
        <v>Old</v>
      </c>
    </row>
    <row r="239" spans="4:14" x14ac:dyDescent="0.25">
      <c r="D239" t="str">
        <v>Cherry Tucker</v>
      </c>
      <c r="E239" t="str">
        <f>INDEX(Sheet1!$A:$J,MATCH('index match'!$D239,Sheet1!$C:$C,0),MATCH('index match'!E$2,Sheet1!$1:$1,0))</f>
        <v>Tucker</v>
      </c>
      <c r="F239">
        <f>INDEX(Sheet1!$A:$J,MATCH('index match'!$D239,Sheet1!$C:$C,0),MATCH('index match'!F$2,Sheet1!$1:$1,0))</f>
        <v>1</v>
      </c>
      <c r="G239" t="str">
        <f>INDEX(Sheet1!$A:$J,MATCH('index match'!$D239,Sheet1!$C:$C,0),MATCH('index match'!G$2,Sheet1!$1:$1,0))</f>
        <v>Old</v>
      </c>
      <c r="K239" t="str">
        <v>Madaline Grant</v>
      </c>
      <c r="L239" t="str">
        <f>INDEX(Sheet1!$A:$J,MATCH('index match'!$K239,Sheet1!$C:$C,0),MATCH('index match'!L$2,Sheet1!$A$1:$J$1,0))</f>
        <v>Grant</v>
      </c>
      <c r="M239">
        <f>INDEX(Sheet1!$A:$J,MATCH('index match'!$K239,Sheet1!$C:$C,0),MATCH('index match'!M$2,Sheet1!$A$1:$J$1,0))</f>
        <v>2</v>
      </c>
      <c r="N239" t="str">
        <f>INDEX(Sheet1!$A:$J,MATCH('index match'!$K239,Sheet1!$C:$C,0),MATCH('index match'!N$2,Sheet1!$A$1:$J$1,0))</f>
        <v>Young</v>
      </c>
    </row>
    <row r="240" spans="4:14" x14ac:dyDescent="0.25">
      <c r="D240" t="str">
        <v>Belinda Cameron</v>
      </c>
      <c r="E240" t="str">
        <f>INDEX(Sheet1!$A:$J,MATCH('index match'!$D240,Sheet1!$C:$C,0),MATCH('index match'!E$2,Sheet1!$1:$1,0))</f>
        <v>Cameron</v>
      </c>
      <c r="F240">
        <f>INDEX(Sheet1!$A:$J,MATCH('index match'!$D240,Sheet1!$C:$C,0),MATCH('index match'!F$2,Sheet1!$1:$1,0))</f>
        <v>2</v>
      </c>
      <c r="G240" t="str">
        <f>INDEX(Sheet1!$A:$J,MATCH('index match'!$D240,Sheet1!$C:$C,0),MATCH('index match'!G$2,Sheet1!$1:$1,0))</f>
        <v>Young</v>
      </c>
      <c r="K240" t="str">
        <v>Nicholas Turner</v>
      </c>
      <c r="L240" t="str">
        <f>INDEX(Sheet1!$A:$J,MATCH('index match'!$K240,Sheet1!$C:$C,0),MATCH('index match'!L$2,Sheet1!$A$1:$J$1,0))</f>
        <v>Turner</v>
      </c>
      <c r="M240">
        <f>INDEX(Sheet1!$A:$J,MATCH('index match'!$K240,Sheet1!$C:$C,0),MATCH('index match'!M$2,Sheet1!$A$1:$J$1,0))</f>
        <v>5</v>
      </c>
      <c r="N240" t="str">
        <f>INDEX(Sheet1!$A:$J,MATCH('index match'!$K240,Sheet1!$C:$C,0),MATCH('index match'!N$2,Sheet1!$A$1:$J$1,0))</f>
        <v>Old</v>
      </c>
    </row>
    <row r="241" spans="4:14" x14ac:dyDescent="0.25">
      <c r="D241" t="str">
        <v>Arthur Watson</v>
      </c>
      <c r="E241" t="str">
        <f>INDEX(Sheet1!$A:$J,MATCH('index match'!$D241,Sheet1!$C:$C,0),MATCH('index match'!E$2,Sheet1!$1:$1,0))</f>
        <v>Watson</v>
      </c>
      <c r="F241">
        <f>INDEX(Sheet1!$A:$J,MATCH('index match'!$D241,Sheet1!$C:$C,0),MATCH('index match'!F$2,Sheet1!$1:$1,0))</f>
        <v>1</v>
      </c>
      <c r="G241" t="str">
        <f>INDEX(Sheet1!$A:$J,MATCH('index match'!$D241,Sheet1!$C:$C,0),MATCH('index match'!G$2,Sheet1!$1:$1,0))</f>
        <v>Old</v>
      </c>
      <c r="K241" t="str">
        <v>Byron Chapman</v>
      </c>
      <c r="L241" t="str">
        <f>INDEX(Sheet1!$A:$J,MATCH('index match'!$K241,Sheet1!$C:$C,0),MATCH('index match'!L$2,Sheet1!$A$1:$J$1,0))</f>
        <v>Chapman</v>
      </c>
      <c r="M241">
        <f>INDEX(Sheet1!$A:$J,MATCH('index match'!$K241,Sheet1!$C:$C,0),MATCH('index match'!M$2,Sheet1!$A$1:$J$1,0))</f>
        <v>4</v>
      </c>
      <c r="N241" t="str">
        <f>INDEX(Sheet1!$A:$J,MATCH('index match'!$K241,Sheet1!$C:$C,0),MATCH('index match'!N$2,Sheet1!$A$1:$J$1,0))</f>
        <v>Middle Age</v>
      </c>
    </row>
    <row r="242" spans="4:14" x14ac:dyDescent="0.25">
      <c r="D242" t="str">
        <v>Carlos Hunt</v>
      </c>
      <c r="E242" t="str">
        <f>INDEX(Sheet1!$A:$J,MATCH('index match'!$D242,Sheet1!$C:$C,0),MATCH('index match'!E$2,Sheet1!$1:$1,0))</f>
        <v>Hunt</v>
      </c>
      <c r="F242">
        <f>INDEX(Sheet1!$A:$J,MATCH('index match'!$D242,Sheet1!$C:$C,0),MATCH('index match'!F$2,Sheet1!$1:$1,0))</f>
        <v>3</v>
      </c>
      <c r="G242" t="str">
        <f>INDEX(Sheet1!$A:$J,MATCH('index match'!$D242,Sheet1!$C:$C,0),MATCH('index match'!G$2,Sheet1!$1:$1,0))</f>
        <v>Middle Age</v>
      </c>
      <c r="K242" t="str">
        <v>Aston Baker</v>
      </c>
      <c r="L242" t="str">
        <f>INDEX(Sheet1!$A:$J,MATCH('index match'!$K242,Sheet1!$C:$C,0),MATCH('index match'!L$2,Sheet1!$A$1:$J$1,0))</f>
        <v>Baker</v>
      </c>
      <c r="M242">
        <f>INDEX(Sheet1!$A:$J,MATCH('index match'!$K242,Sheet1!$C:$C,0),MATCH('index match'!M$2,Sheet1!$A$1:$J$1,0))</f>
        <v>2</v>
      </c>
      <c r="N242" t="str">
        <f>INDEX(Sheet1!$A:$J,MATCH('index match'!$K242,Sheet1!$C:$C,0),MATCH('index match'!N$2,Sheet1!$A$1:$J$1,0))</f>
        <v>Old</v>
      </c>
    </row>
    <row r="243" spans="4:14" x14ac:dyDescent="0.25">
      <c r="D243" t="str">
        <v>Camila Cameron</v>
      </c>
      <c r="E243" t="str">
        <f>INDEX(Sheet1!$A:$J,MATCH('index match'!$D243,Sheet1!$C:$C,0),MATCH('index match'!E$2,Sheet1!$1:$1,0))</f>
        <v>Cameron</v>
      </c>
      <c r="F243">
        <f>INDEX(Sheet1!$A:$J,MATCH('index match'!$D243,Sheet1!$C:$C,0),MATCH('index match'!F$2,Sheet1!$1:$1,0))</f>
        <v>2</v>
      </c>
      <c r="G243" t="str">
        <f>INDEX(Sheet1!$A:$J,MATCH('index match'!$D243,Sheet1!$C:$C,0),MATCH('index match'!G$2,Sheet1!$1:$1,0))</f>
        <v>Middle Age</v>
      </c>
      <c r="K243" t="str">
        <v>Gianna Jones</v>
      </c>
      <c r="L243" t="str">
        <f>INDEX(Sheet1!$A:$J,MATCH('index match'!$K243,Sheet1!$C:$C,0),MATCH('index match'!L$2,Sheet1!$A$1:$J$1,0))</f>
        <v>Jones</v>
      </c>
      <c r="M243">
        <f>INDEX(Sheet1!$A:$J,MATCH('index match'!$K243,Sheet1!$C:$C,0),MATCH('index match'!M$2,Sheet1!$A$1:$J$1,0))</f>
        <v>0</v>
      </c>
      <c r="N243" t="str">
        <f>INDEX(Sheet1!$A:$J,MATCH('index match'!$K243,Sheet1!$C:$C,0),MATCH('index match'!N$2,Sheet1!$A$1:$J$1,0))</f>
        <v>Middle Age</v>
      </c>
    </row>
    <row r="244" spans="4:14" x14ac:dyDescent="0.25">
      <c r="D244" t="str">
        <v>Kirsten Wilson</v>
      </c>
      <c r="E244" t="str">
        <f>INDEX(Sheet1!$A:$J,MATCH('index match'!$D244,Sheet1!$C:$C,0),MATCH('index match'!E$2,Sheet1!$1:$1,0))</f>
        <v>Wilson</v>
      </c>
      <c r="F244">
        <f>INDEX(Sheet1!$A:$J,MATCH('index match'!$D244,Sheet1!$C:$C,0),MATCH('index match'!F$2,Sheet1!$1:$1,0))</f>
        <v>3</v>
      </c>
      <c r="G244" t="str">
        <f>INDEX(Sheet1!$A:$J,MATCH('index match'!$D244,Sheet1!$C:$C,0),MATCH('index match'!G$2,Sheet1!$1:$1,0))</f>
        <v>Young</v>
      </c>
      <c r="K244" t="str">
        <v>Roland Crawford</v>
      </c>
      <c r="L244" t="str">
        <f>INDEX(Sheet1!$A:$J,MATCH('index match'!$K244,Sheet1!$C:$C,0),MATCH('index match'!L$2,Sheet1!$A$1:$J$1,0))</f>
        <v>Crawford</v>
      </c>
      <c r="M244">
        <f>INDEX(Sheet1!$A:$J,MATCH('index match'!$K244,Sheet1!$C:$C,0),MATCH('index match'!M$2,Sheet1!$A$1:$J$1,0))</f>
        <v>2</v>
      </c>
      <c r="N244" t="str">
        <f>INDEX(Sheet1!$A:$J,MATCH('index match'!$K244,Sheet1!$C:$C,0),MATCH('index match'!N$2,Sheet1!$A$1:$J$1,0))</f>
        <v>Middle Age</v>
      </c>
    </row>
    <row r="245" spans="4:14" x14ac:dyDescent="0.25">
      <c r="D245" t="str">
        <v>Melanie Riley</v>
      </c>
      <c r="E245" t="str">
        <f>INDEX(Sheet1!$A:$J,MATCH('index match'!$D245,Sheet1!$C:$C,0),MATCH('index match'!E$2,Sheet1!$1:$1,0))</f>
        <v>Riley</v>
      </c>
      <c r="F245">
        <f>INDEX(Sheet1!$A:$J,MATCH('index match'!$D245,Sheet1!$C:$C,0),MATCH('index match'!F$2,Sheet1!$1:$1,0))</f>
        <v>5</v>
      </c>
      <c r="G245" t="str">
        <f>INDEX(Sheet1!$A:$J,MATCH('index match'!$D245,Sheet1!$C:$C,0),MATCH('index match'!G$2,Sheet1!$1:$1,0))</f>
        <v>Middle Age</v>
      </c>
      <c r="K245" t="str">
        <v>Oscar Taylor</v>
      </c>
      <c r="L245" t="str">
        <f>INDEX(Sheet1!$A:$J,MATCH('index match'!$K245,Sheet1!$C:$C,0),MATCH('index match'!L$2,Sheet1!$A$1:$J$1,0))</f>
        <v>Taylor</v>
      </c>
      <c r="M245">
        <f>INDEX(Sheet1!$A:$J,MATCH('index match'!$K245,Sheet1!$C:$C,0),MATCH('index match'!M$2,Sheet1!$A$1:$J$1,0))</f>
        <v>1</v>
      </c>
      <c r="N245" t="str">
        <f>INDEX(Sheet1!$A:$J,MATCH('index match'!$K245,Sheet1!$C:$C,0),MATCH('index match'!N$2,Sheet1!$A$1:$J$1,0))</f>
        <v>Young</v>
      </c>
    </row>
    <row r="246" spans="4:14" x14ac:dyDescent="0.25">
      <c r="D246" t="str">
        <v>Alina Edwards</v>
      </c>
      <c r="E246" t="str">
        <f>INDEX(Sheet1!$A:$J,MATCH('index match'!$D246,Sheet1!$C:$C,0),MATCH('index match'!E$2,Sheet1!$1:$1,0))</f>
        <v>Edwards</v>
      </c>
      <c r="F246">
        <f>INDEX(Sheet1!$A:$J,MATCH('index match'!$D246,Sheet1!$C:$C,0),MATCH('index match'!F$2,Sheet1!$1:$1,0))</f>
        <v>0</v>
      </c>
      <c r="G246" t="str">
        <f>INDEX(Sheet1!$A:$J,MATCH('index match'!$D246,Sheet1!$C:$C,0),MATCH('index match'!G$2,Sheet1!$1:$1,0))</f>
        <v>Middle Age</v>
      </c>
      <c r="K246" t="str">
        <v>Tara West</v>
      </c>
      <c r="L246" t="str">
        <f>INDEX(Sheet1!$A:$J,MATCH('index match'!$K246,Sheet1!$C:$C,0),MATCH('index match'!L$2,Sheet1!$A$1:$J$1,0))</f>
        <v>West</v>
      </c>
      <c r="M246">
        <f>INDEX(Sheet1!$A:$J,MATCH('index match'!$K246,Sheet1!$C:$C,0),MATCH('index match'!M$2,Sheet1!$A$1:$J$1,0))</f>
        <v>2</v>
      </c>
      <c r="N246" t="str">
        <f>INDEX(Sheet1!$A:$J,MATCH('index match'!$K246,Sheet1!$C:$C,0),MATCH('index match'!N$2,Sheet1!$A$1:$J$1,0))</f>
        <v>Young</v>
      </c>
    </row>
    <row r="247" spans="4:14" x14ac:dyDescent="0.25">
      <c r="D247" t="str">
        <v>Arthur Myers</v>
      </c>
      <c r="E247" t="str">
        <f>INDEX(Sheet1!$A:$J,MATCH('index match'!$D247,Sheet1!$C:$C,0),MATCH('index match'!E$2,Sheet1!$1:$1,0))</f>
        <v>Myers</v>
      </c>
      <c r="F247">
        <f>INDEX(Sheet1!$A:$J,MATCH('index match'!$D247,Sheet1!$C:$C,0),MATCH('index match'!F$2,Sheet1!$1:$1,0))</f>
        <v>5</v>
      </c>
      <c r="G247" t="str">
        <f>INDEX(Sheet1!$A:$J,MATCH('index match'!$D247,Sheet1!$C:$C,0),MATCH('index match'!G$2,Sheet1!$1:$1,0))</f>
        <v>Old</v>
      </c>
      <c r="K247" t="str">
        <v>Max Grant</v>
      </c>
      <c r="L247" t="str">
        <f>INDEX(Sheet1!$A:$J,MATCH('index match'!$K247,Sheet1!$C:$C,0),MATCH('index match'!L$2,Sheet1!$A$1:$J$1,0))</f>
        <v>Grant</v>
      </c>
      <c r="M247">
        <f>INDEX(Sheet1!$A:$J,MATCH('index match'!$K247,Sheet1!$C:$C,0),MATCH('index match'!M$2,Sheet1!$A$1:$J$1,0))</f>
        <v>4</v>
      </c>
      <c r="N247" t="str">
        <f>INDEX(Sheet1!$A:$J,MATCH('index match'!$K247,Sheet1!$C:$C,0),MATCH('index match'!N$2,Sheet1!$A$1:$J$1,0))</f>
        <v>Middle Age</v>
      </c>
    </row>
    <row r="248" spans="4:14" x14ac:dyDescent="0.25">
      <c r="D248" t="str">
        <v>Tyler Andrews</v>
      </c>
      <c r="E248" t="str">
        <f>INDEX(Sheet1!$A:$J,MATCH('index match'!$D248,Sheet1!$C:$C,0),MATCH('index match'!E$2,Sheet1!$1:$1,0))</f>
        <v>Andrews</v>
      </c>
      <c r="F248">
        <f>INDEX(Sheet1!$A:$J,MATCH('index match'!$D248,Sheet1!$C:$C,0),MATCH('index match'!F$2,Sheet1!$1:$1,0))</f>
        <v>2</v>
      </c>
      <c r="G248" t="str">
        <f>INDEX(Sheet1!$A:$J,MATCH('index match'!$D248,Sheet1!$C:$C,0),MATCH('index match'!G$2,Sheet1!$1:$1,0))</f>
        <v>Middle Age</v>
      </c>
      <c r="K248" t="str">
        <v>Lily Wilson</v>
      </c>
      <c r="L248" t="str">
        <f>INDEX(Sheet1!$A:$J,MATCH('index match'!$K248,Sheet1!$C:$C,0),MATCH('index match'!L$2,Sheet1!$A$1:$J$1,0))</f>
        <v>Wilson</v>
      </c>
      <c r="M248">
        <f>INDEX(Sheet1!$A:$J,MATCH('index match'!$K248,Sheet1!$C:$C,0),MATCH('index match'!M$2,Sheet1!$A$1:$J$1,0))</f>
        <v>2</v>
      </c>
      <c r="N248" t="str">
        <f>INDEX(Sheet1!$A:$J,MATCH('index match'!$K248,Sheet1!$C:$C,0),MATCH('index match'!N$2,Sheet1!$A$1:$J$1,0))</f>
        <v>Old</v>
      </c>
    </row>
    <row r="249" spans="4:14" x14ac:dyDescent="0.25">
      <c r="D249" t="str">
        <v>Carina Sullivan</v>
      </c>
      <c r="E249" t="str">
        <f>INDEX(Sheet1!$A:$J,MATCH('index match'!$D249,Sheet1!$C:$C,0),MATCH('index match'!E$2,Sheet1!$1:$1,0))</f>
        <v>Sullivan</v>
      </c>
      <c r="F249">
        <f>INDEX(Sheet1!$A:$J,MATCH('index match'!$D249,Sheet1!$C:$C,0),MATCH('index match'!F$2,Sheet1!$1:$1,0))</f>
        <v>0</v>
      </c>
      <c r="G249" t="str">
        <f>INDEX(Sheet1!$A:$J,MATCH('index match'!$D249,Sheet1!$C:$C,0),MATCH('index match'!G$2,Sheet1!$1:$1,0))</f>
        <v>Middle Age</v>
      </c>
      <c r="K249" t="str">
        <v>Harold Sullivan</v>
      </c>
      <c r="L249" t="str">
        <f>INDEX(Sheet1!$A:$J,MATCH('index match'!$K249,Sheet1!$C:$C,0),MATCH('index match'!L$2,Sheet1!$A$1:$J$1,0))</f>
        <v>Sullivan</v>
      </c>
      <c r="M249">
        <f>INDEX(Sheet1!$A:$J,MATCH('index match'!$K249,Sheet1!$C:$C,0),MATCH('index match'!M$2,Sheet1!$A$1:$J$1,0))</f>
        <v>1</v>
      </c>
      <c r="N249" t="str">
        <f>INDEX(Sheet1!$A:$J,MATCH('index match'!$K249,Sheet1!$C:$C,0),MATCH('index match'!N$2,Sheet1!$A$1:$J$1,0))</f>
        <v>Middle Age</v>
      </c>
    </row>
    <row r="250" spans="4:14" x14ac:dyDescent="0.25">
      <c r="D250" t="str">
        <v>Arthur Kelley</v>
      </c>
      <c r="E250" t="str">
        <f>INDEX(Sheet1!$A:$J,MATCH('index match'!$D250,Sheet1!$C:$C,0),MATCH('index match'!E$2,Sheet1!$1:$1,0))</f>
        <v>Kelley</v>
      </c>
      <c r="F250">
        <f>INDEX(Sheet1!$A:$J,MATCH('index match'!$D250,Sheet1!$C:$C,0),MATCH('index match'!F$2,Sheet1!$1:$1,0))</f>
        <v>2</v>
      </c>
      <c r="G250" t="str">
        <f>INDEX(Sheet1!$A:$J,MATCH('index match'!$D250,Sheet1!$C:$C,0),MATCH('index match'!G$2,Sheet1!$1:$1,0))</f>
        <v>Middle Age</v>
      </c>
      <c r="K250" t="str">
        <v>Julian Phillips</v>
      </c>
      <c r="L250" t="str">
        <f>INDEX(Sheet1!$A:$J,MATCH('index match'!$K250,Sheet1!$C:$C,0),MATCH('index match'!L$2,Sheet1!$A$1:$J$1,0))</f>
        <v>Phillips</v>
      </c>
      <c r="M250">
        <f>INDEX(Sheet1!$A:$J,MATCH('index match'!$K250,Sheet1!$C:$C,0),MATCH('index match'!M$2,Sheet1!$A$1:$J$1,0))</f>
        <v>5</v>
      </c>
      <c r="N250" t="str">
        <f>INDEX(Sheet1!$A:$J,MATCH('index match'!$K250,Sheet1!$C:$C,0),MATCH('index match'!N$2,Sheet1!$A$1:$J$1,0))</f>
        <v>Middle Age</v>
      </c>
    </row>
    <row r="251" spans="4:14" x14ac:dyDescent="0.25">
      <c r="D251" t="str">
        <v>Michael Alexander</v>
      </c>
      <c r="E251" t="str">
        <f>INDEX(Sheet1!$A:$J,MATCH('index match'!$D251,Sheet1!$C:$C,0),MATCH('index match'!E$2,Sheet1!$1:$1,0))</f>
        <v>Alexander</v>
      </c>
      <c r="F251">
        <f>INDEX(Sheet1!$A:$J,MATCH('index match'!$D251,Sheet1!$C:$C,0),MATCH('index match'!F$2,Sheet1!$1:$1,0))</f>
        <v>4</v>
      </c>
      <c r="G251" t="str">
        <f>INDEX(Sheet1!$A:$J,MATCH('index match'!$D251,Sheet1!$C:$C,0),MATCH('index match'!G$2,Sheet1!$1:$1,0))</f>
        <v>Middle Age</v>
      </c>
      <c r="K251" t="str">
        <v>Heather Perkins</v>
      </c>
      <c r="L251" t="str">
        <f>INDEX(Sheet1!$A:$J,MATCH('index match'!$K251,Sheet1!$C:$C,0),MATCH('index match'!L$2,Sheet1!$A$1:$J$1,0))</f>
        <v>Perkins</v>
      </c>
      <c r="M251">
        <f>INDEX(Sheet1!$A:$J,MATCH('index match'!$K251,Sheet1!$C:$C,0),MATCH('index match'!M$2,Sheet1!$A$1:$J$1,0))</f>
        <v>1</v>
      </c>
      <c r="N251" t="str">
        <f>INDEX(Sheet1!$A:$J,MATCH('index match'!$K251,Sheet1!$C:$C,0),MATCH('index match'!N$2,Sheet1!$A$1:$J$1,0))</f>
        <v>Old</v>
      </c>
    </row>
    <row r="252" spans="4:14" x14ac:dyDescent="0.25">
      <c r="D252" t="str">
        <v>Kate Casey</v>
      </c>
      <c r="E252" t="str">
        <f>INDEX(Sheet1!$A:$J,MATCH('index match'!$D252,Sheet1!$C:$C,0),MATCH('index match'!E$2,Sheet1!$1:$1,0))</f>
        <v>Casey</v>
      </c>
      <c r="F252">
        <f>INDEX(Sheet1!$A:$J,MATCH('index match'!$D252,Sheet1!$C:$C,0),MATCH('index match'!F$2,Sheet1!$1:$1,0))</f>
        <v>4</v>
      </c>
      <c r="G252" t="str">
        <f>INDEX(Sheet1!$A:$J,MATCH('index match'!$D252,Sheet1!$C:$C,0),MATCH('index match'!G$2,Sheet1!$1:$1,0))</f>
        <v>Middle Age</v>
      </c>
      <c r="K252" t="str">
        <v>Emily Carter</v>
      </c>
      <c r="L252" t="str">
        <f>INDEX(Sheet1!$A:$J,MATCH('index match'!$K252,Sheet1!$C:$C,0),MATCH('index match'!L$2,Sheet1!$A$1:$J$1,0))</f>
        <v>Carter</v>
      </c>
      <c r="M252">
        <f>INDEX(Sheet1!$A:$J,MATCH('index match'!$K252,Sheet1!$C:$C,0),MATCH('index match'!M$2,Sheet1!$A$1:$J$1,0))</f>
        <v>4</v>
      </c>
      <c r="N252" t="str">
        <f>INDEX(Sheet1!$A:$J,MATCH('index match'!$K252,Sheet1!$C:$C,0),MATCH('index match'!N$2,Sheet1!$A$1:$J$1,0))</f>
        <v>Old</v>
      </c>
    </row>
    <row r="253" spans="4:14" x14ac:dyDescent="0.25">
      <c r="D253" t="str">
        <v>Alina Brooks</v>
      </c>
      <c r="E253" t="str">
        <f>INDEX(Sheet1!$A:$J,MATCH('index match'!$D253,Sheet1!$C:$C,0),MATCH('index match'!E$2,Sheet1!$1:$1,0))</f>
        <v>Brooks</v>
      </c>
      <c r="F253">
        <f>INDEX(Sheet1!$A:$J,MATCH('index match'!$D253,Sheet1!$C:$C,0),MATCH('index match'!F$2,Sheet1!$1:$1,0))</f>
        <v>0</v>
      </c>
      <c r="G253" t="str">
        <f>INDEX(Sheet1!$A:$J,MATCH('index match'!$D253,Sheet1!$C:$C,0),MATCH('index match'!G$2,Sheet1!$1:$1,0))</f>
        <v>Middle Age</v>
      </c>
      <c r="K253" t="str">
        <v>Robert Harper</v>
      </c>
      <c r="L253" t="str">
        <f>INDEX(Sheet1!$A:$J,MATCH('index match'!$K253,Sheet1!$C:$C,0),MATCH('index match'!L$2,Sheet1!$A$1:$J$1,0))</f>
        <v>Harper</v>
      </c>
      <c r="M253">
        <f>INDEX(Sheet1!$A:$J,MATCH('index match'!$K253,Sheet1!$C:$C,0),MATCH('index match'!M$2,Sheet1!$A$1:$J$1,0))</f>
        <v>3</v>
      </c>
      <c r="N253" t="str">
        <f>INDEX(Sheet1!$A:$J,MATCH('index match'!$K253,Sheet1!$C:$C,0),MATCH('index match'!N$2,Sheet1!$A$1:$J$1,0))</f>
        <v>Middle Age</v>
      </c>
    </row>
    <row r="254" spans="4:14" x14ac:dyDescent="0.25">
      <c r="D254" t="str">
        <v>Agata Sullivan</v>
      </c>
      <c r="E254" t="str">
        <f>INDEX(Sheet1!$A:$J,MATCH('index match'!$D254,Sheet1!$C:$C,0),MATCH('index match'!E$2,Sheet1!$1:$1,0))</f>
        <v>Sullivan</v>
      </c>
      <c r="F254">
        <f>INDEX(Sheet1!$A:$J,MATCH('index match'!$D254,Sheet1!$C:$C,0),MATCH('index match'!F$2,Sheet1!$1:$1,0))</f>
        <v>1</v>
      </c>
      <c r="G254" t="str">
        <f>INDEX(Sheet1!$A:$J,MATCH('index match'!$D254,Sheet1!$C:$C,0),MATCH('index match'!G$2,Sheet1!$1:$1,0))</f>
        <v>Young</v>
      </c>
      <c r="K254" t="str">
        <v>Cherry Montgomery</v>
      </c>
      <c r="L254" t="str">
        <f>INDEX(Sheet1!$A:$J,MATCH('index match'!$K254,Sheet1!$C:$C,0),MATCH('index match'!L$2,Sheet1!$A$1:$J$1,0))</f>
        <v>Montgomery</v>
      </c>
      <c r="M254">
        <f>INDEX(Sheet1!$A:$J,MATCH('index match'!$K254,Sheet1!$C:$C,0),MATCH('index match'!M$2,Sheet1!$A$1:$J$1,0))</f>
        <v>1</v>
      </c>
      <c r="N254" t="str">
        <f>INDEX(Sheet1!$A:$J,MATCH('index match'!$K254,Sheet1!$C:$C,0),MATCH('index match'!N$2,Sheet1!$A$1:$J$1,0))</f>
        <v>Middle Age</v>
      </c>
    </row>
    <row r="255" spans="4:14" x14ac:dyDescent="0.25">
      <c r="D255" t="str">
        <v>Melissa Howard</v>
      </c>
      <c r="E255" t="str">
        <f>INDEX(Sheet1!$A:$J,MATCH('index match'!$D255,Sheet1!$C:$C,0),MATCH('index match'!E$2,Sheet1!$1:$1,0))</f>
        <v>Howard</v>
      </c>
      <c r="F255">
        <f>INDEX(Sheet1!$A:$J,MATCH('index match'!$D255,Sheet1!$C:$C,0),MATCH('index match'!F$2,Sheet1!$1:$1,0))</f>
        <v>5</v>
      </c>
      <c r="G255" t="str">
        <f>INDEX(Sheet1!$A:$J,MATCH('index match'!$D255,Sheet1!$C:$C,0),MATCH('index match'!G$2,Sheet1!$1:$1,0))</f>
        <v>Young</v>
      </c>
      <c r="K255" t="str">
        <v>Alen Lloyd</v>
      </c>
      <c r="L255" t="str">
        <f>INDEX(Sheet1!$A:$J,MATCH('index match'!$K255,Sheet1!$C:$C,0),MATCH('index match'!L$2,Sheet1!$A$1:$J$1,0))</f>
        <v>Lloyd</v>
      </c>
      <c r="M255">
        <f>INDEX(Sheet1!$A:$J,MATCH('index match'!$K255,Sheet1!$C:$C,0),MATCH('index match'!M$2,Sheet1!$A$1:$J$1,0))</f>
        <v>1</v>
      </c>
      <c r="N255" t="str">
        <f>INDEX(Sheet1!$A:$J,MATCH('index match'!$K255,Sheet1!$C:$C,0),MATCH('index match'!N$2,Sheet1!$A$1:$J$1,0))</f>
        <v>Middle Age</v>
      </c>
    </row>
    <row r="256" spans="4:14" x14ac:dyDescent="0.25">
      <c r="D256" t="str">
        <v>Ada Edwards</v>
      </c>
      <c r="E256" t="str">
        <f>INDEX(Sheet1!$A:$J,MATCH('index match'!$D256,Sheet1!$C:$C,0),MATCH('index match'!E$2,Sheet1!$1:$1,0))</f>
        <v>Edwards</v>
      </c>
      <c r="F256">
        <f>INDEX(Sheet1!$A:$J,MATCH('index match'!$D256,Sheet1!$C:$C,0),MATCH('index match'!F$2,Sheet1!$1:$1,0))</f>
        <v>5</v>
      </c>
      <c r="G256" t="str">
        <f>INDEX(Sheet1!$A:$J,MATCH('index match'!$D256,Sheet1!$C:$C,0),MATCH('index match'!G$2,Sheet1!$1:$1,0))</f>
        <v>Middle Age</v>
      </c>
      <c r="K256" t="str">
        <v>Deanna Howard</v>
      </c>
      <c r="L256" t="str">
        <f>INDEX(Sheet1!$A:$J,MATCH('index match'!$K256,Sheet1!$C:$C,0),MATCH('index match'!L$2,Sheet1!$A$1:$J$1,0))</f>
        <v>Howard</v>
      </c>
      <c r="M256">
        <f>INDEX(Sheet1!$A:$J,MATCH('index match'!$K256,Sheet1!$C:$C,0),MATCH('index match'!M$2,Sheet1!$A$1:$J$1,0))</f>
        <v>2</v>
      </c>
      <c r="N256" t="str">
        <f>INDEX(Sheet1!$A:$J,MATCH('index match'!$K256,Sheet1!$C:$C,0),MATCH('index match'!N$2,Sheet1!$A$1:$J$1,0))</f>
        <v>Young</v>
      </c>
    </row>
    <row r="257" spans="4:14" x14ac:dyDescent="0.25">
      <c r="D257" t="str">
        <v>Adrian Farrell</v>
      </c>
      <c r="E257" t="str">
        <f>INDEX(Sheet1!$A:$J,MATCH('index match'!$D257,Sheet1!$C:$C,0),MATCH('index match'!E$2,Sheet1!$1:$1,0))</f>
        <v>Farrell</v>
      </c>
      <c r="F257">
        <f>INDEX(Sheet1!$A:$J,MATCH('index match'!$D257,Sheet1!$C:$C,0),MATCH('index match'!F$2,Sheet1!$1:$1,0))</f>
        <v>2</v>
      </c>
      <c r="G257" t="str">
        <f>INDEX(Sheet1!$A:$J,MATCH('index match'!$D257,Sheet1!$C:$C,0),MATCH('index match'!G$2,Sheet1!$1:$1,0))</f>
        <v>Middle Age</v>
      </c>
      <c r="K257" t="str">
        <v>Cherry Walker</v>
      </c>
      <c r="L257" t="str">
        <f>INDEX(Sheet1!$A:$J,MATCH('index match'!$K257,Sheet1!$C:$C,0),MATCH('index match'!L$2,Sheet1!$A$1:$J$1,0))</f>
        <v>Walker</v>
      </c>
      <c r="M257">
        <f>INDEX(Sheet1!$A:$J,MATCH('index match'!$K257,Sheet1!$C:$C,0),MATCH('index match'!M$2,Sheet1!$A$1:$J$1,0))</f>
        <v>0</v>
      </c>
      <c r="N257" t="str">
        <f>INDEX(Sheet1!$A:$J,MATCH('index match'!$K257,Sheet1!$C:$C,0),MATCH('index match'!N$2,Sheet1!$A$1:$J$1,0))</f>
        <v>Old</v>
      </c>
    </row>
    <row r="258" spans="4:14" x14ac:dyDescent="0.25">
      <c r="D258" t="str">
        <v>George Adams</v>
      </c>
      <c r="E258" t="str">
        <f>INDEX(Sheet1!$A:$J,MATCH('index match'!$D258,Sheet1!$C:$C,0),MATCH('index match'!E$2,Sheet1!$1:$1,0))</f>
        <v>Adams</v>
      </c>
      <c r="F258">
        <f>INDEX(Sheet1!$A:$J,MATCH('index match'!$D258,Sheet1!$C:$C,0),MATCH('index match'!F$2,Sheet1!$1:$1,0))</f>
        <v>5</v>
      </c>
      <c r="G258" t="str">
        <f>INDEX(Sheet1!$A:$J,MATCH('index match'!$D258,Sheet1!$C:$C,0),MATCH('index match'!G$2,Sheet1!$1:$1,0))</f>
        <v>Middle Age</v>
      </c>
      <c r="K258" t="str">
        <v>Eric Thomas</v>
      </c>
      <c r="L258" t="str">
        <f>INDEX(Sheet1!$A:$J,MATCH('index match'!$K258,Sheet1!$C:$C,0),MATCH('index match'!L$2,Sheet1!$A$1:$J$1,0))</f>
        <v>Thomas</v>
      </c>
      <c r="M258">
        <f>INDEX(Sheet1!$A:$J,MATCH('index match'!$K258,Sheet1!$C:$C,0),MATCH('index match'!M$2,Sheet1!$A$1:$J$1,0))</f>
        <v>2</v>
      </c>
      <c r="N258" t="str">
        <f>INDEX(Sheet1!$A:$J,MATCH('index match'!$K258,Sheet1!$C:$C,0),MATCH('index match'!N$2,Sheet1!$A$1:$J$1,0))</f>
        <v>Old</v>
      </c>
    </row>
    <row r="259" spans="4:14" x14ac:dyDescent="0.25">
      <c r="D259" t="str">
        <v>Penelope Thomas</v>
      </c>
      <c r="E259" t="str">
        <f>INDEX(Sheet1!$A:$J,MATCH('index match'!$D259,Sheet1!$C:$C,0),MATCH('index match'!E$2,Sheet1!$1:$1,0))</f>
        <v>Thomas</v>
      </c>
      <c r="F259">
        <f>INDEX(Sheet1!$A:$J,MATCH('index match'!$D259,Sheet1!$C:$C,0),MATCH('index match'!F$2,Sheet1!$1:$1,0))</f>
        <v>4</v>
      </c>
      <c r="G259" t="str">
        <f>INDEX(Sheet1!$A:$J,MATCH('index match'!$D259,Sheet1!$C:$C,0),MATCH('index match'!G$2,Sheet1!$1:$1,0))</f>
        <v>Middle Age</v>
      </c>
      <c r="K259" t="str">
        <v>Edith Miller</v>
      </c>
      <c r="L259" t="str">
        <f>INDEX(Sheet1!$A:$J,MATCH('index match'!$K259,Sheet1!$C:$C,0),MATCH('index match'!L$2,Sheet1!$A$1:$J$1,0))</f>
        <v>Miller</v>
      </c>
      <c r="M259">
        <f>INDEX(Sheet1!$A:$J,MATCH('index match'!$K259,Sheet1!$C:$C,0),MATCH('index match'!M$2,Sheet1!$A$1:$J$1,0))</f>
        <v>3</v>
      </c>
      <c r="N259" t="str">
        <f>INDEX(Sheet1!$A:$J,MATCH('index match'!$K259,Sheet1!$C:$C,0),MATCH('index match'!N$2,Sheet1!$A$1:$J$1,0))</f>
        <v>Young</v>
      </c>
    </row>
    <row r="260" spans="4:14" x14ac:dyDescent="0.25">
      <c r="D260" t="str">
        <v>Sienna Anderson</v>
      </c>
      <c r="E260" t="str">
        <f>INDEX(Sheet1!$A:$J,MATCH('index match'!$D260,Sheet1!$C:$C,0),MATCH('index match'!E$2,Sheet1!$1:$1,0))</f>
        <v>Anderson</v>
      </c>
      <c r="F260">
        <f>INDEX(Sheet1!$A:$J,MATCH('index match'!$D260,Sheet1!$C:$C,0),MATCH('index match'!F$2,Sheet1!$1:$1,0))</f>
        <v>4</v>
      </c>
      <c r="G260" t="str">
        <f>INDEX(Sheet1!$A:$J,MATCH('index match'!$D260,Sheet1!$C:$C,0),MATCH('index match'!G$2,Sheet1!$1:$1,0))</f>
        <v>Middle Age</v>
      </c>
      <c r="K260" t="str">
        <v>Arianna Baker</v>
      </c>
      <c r="L260" t="str">
        <f>INDEX(Sheet1!$A:$J,MATCH('index match'!$K260,Sheet1!$C:$C,0),MATCH('index match'!L$2,Sheet1!$A$1:$J$1,0))</f>
        <v>Baker</v>
      </c>
      <c r="M260">
        <f>INDEX(Sheet1!$A:$J,MATCH('index match'!$K260,Sheet1!$C:$C,0),MATCH('index match'!M$2,Sheet1!$A$1:$J$1,0))</f>
        <v>2</v>
      </c>
      <c r="N260" t="str">
        <f>INDEX(Sheet1!$A:$J,MATCH('index match'!$K260,Sheet1!$C:$C,0),MATCH('index match'!N$2,Sheet1!$A$1:$J$1,0))</f>
        <v>Young</v>
      </c>
    </row>
    <row r="261" spans="4:14" x14ac:dyDescent="0.25">
      <c r="D261" t="str">
        <v>Heather Morris</v>
      </c>
      <c r="E261" t="str">
        <f>INDEX(Sheet1!$A:$J,MATCH('index match'!$D261,Sheet1!$C:$C,0),MATCH('index match'!E$2,Sheet1!$1:$1,0))</f>
        <v>Morris</v>
      </c>
      <c r="F261">
        <f>INDEX(Sheet1!$A:$J,MATCH('index match'!$D261,Sheet1!$C:$C,0),MATCH('index match'!F$2,Sheet1!$1:$1,0))</f>
        <v>5</v>
      </c>
      <c r="G261" t="str">
        <f>INDEX(Sheet1!$A:$J,MATCH('index match'!$D261,Sheet1!$C:$C,0),MATCH('index match'!G$2,Sheet1!$1:$1,0))</f>
        <v>Old</v>
      </c>
      <c r="K261" t="str">
        <v>Nicole Wilson</v>
      </c>
      <c r="L261" t="str">
        <f>INDEX(Sheet1!$A:$J,MATCH('index match'!$K261,Sheet1!$C:$C,0),MATCH('index match'!L$2,Sheet1!$A$1:$J$1,0))</f>
        <v>Wilson</v>
      </c>
      <c r="M261">
        <f>INDEX(Sheet1!$A:$J,MATCH('index match'!$K261,Sheet1!$C:$C,0),MATCH('index match'!M$2,Sheet1!$A$1:$J$1,0))</f>
        <v>4</v>
      </c>
      <c r="N261" t="str">
        <f>INDEX(Sheet1!$A:$J,MATCH('index match'!$K261,Sheet1!$C:$C,0),MATCH('index match'!N$2,Sheet1!$A$1:$J$1,0))</f>
        <v>Old</v>
      </c>
    </row>
    <row r="262" spans="4:14" x14ac:dyDescent="0.25">
      <c r="D262" t="str">
        <v>Alfred Barnes</v>
      </c>
      <c r="E262" t="str">
        <f>INDEX(Sheet1!$A:$J,MATCH('index match'!$D262,Sheet1!$C:$C,0),MATCH('index match'!E$2,Sheet1!$1:$1,0))</f>
        <v>Barnes</v>
      </c>
      <c r="F262">
        <f>INDEX(Sheet1!$A:$J,MATCH('index match'!$D262,Sheet1!$C:$C,0),MATCH('index match'!F$2,Sheet1!$1:$1,0))</f>
        <v>0</v>
      </c>
      <c r="G262" t="str">
        <f>INDEX(Sheet1!$A:$J,MATCH('index match'!$D262,Sheet1!$C:$C,0),MATCH('index match'!G$2,Sheet1!$1:$1,0))</f>
        <v>Young</v>
      </c>
      <c r="K262" t="str">
        <v>Edwin Carroll</v>
      </c>
      <c r="L262" t="str">
        <f>INDEX(Sheet1!$A:$J,MATCH('index match'!$K262,Sheet1!$C:$C,0),MATCH('index match'!L$2,Sheet1!$A$1:$J$1,0))</f>
        <v>Carroll</v>
      </c>
      <c r="M262">
        <f>INDEX(Sheet1!$A:$J,MATCH('index match'!$K262,Sheet1!$C:$C,0),MATCH('index match'!M$2,Sheet1!$A$1:$J$1,0))</f>
        <v>1</v>
      </c>
      <c r="N262" t="str">
        <f>INDEX(Sheet1!$A:$J,MATCH('index match'!$K262,Sheet1!$C:$C,0),MATCH('index match'!N$2,Sheet1!$A$1:$J$1,0))</f>
        <v>Old</v>
      </c>
    </row>
    <row r="263" spans="4:14" x14ac:dyDescent="0.25">
      <c r="D263" t="str">
        <v>Audrey Craig</v>
      </c>
      <c r="E263" t="str">
        <f>INDEX(Sheet1!$A:$J,MATCH('index match'!$D263,Sheet1!$C:$C,0),MATCH('index match'!E$2,Sheet1!$1:$1,0))</f>
        <v>Craig</v>
      </c>
      <c r="F263">
        <f>INDEX(Sheet1!$A:$J,MATCH('index match'!$D263,Sheet1!$C:$C,0),MATCH('index match'!F$2,Sheet1!$1:$1,0))</f>
        <v>4</v>
      </c>
      <c r="G263" t="str">
        <f>INDEX(Sheet1!$A:$J,MATCH('index match'!$D263,Sheet1!$C:$C,0),MATCH('index match'!G$2,Sheet1!$1:$1,0))</f>
        <v>Young</v>
      </c>
      <c r="K263" t="str">
        <v>Lydia Ellis</v>
      </c>
      <c r="L263" t="str">
        <f>INDEX(Sheet1!$A:$J,MATCH('index match'!$K263,Sheet1!$C:$C,0),MATCH('index match'!L$2,Sheet1!$A$1:$J$1,0))</f>
        <v>Ellis</v>
      </c>
      <c r="M263">
        <f>INDEX(Sheet1!$A:$J,MATCH('index match'!$K263,Sheet1!$C:$C,0),MATCH('index match'!M$2,Sheet1!$A$1:$J$1,0))</f>
        <v>1</v>
      </c>
      <c r="N263" t="str">
        <f>INDEX(Sheet1!$A:$J,MATCH('index match'!$K263,Sheet1!$C:$C,0),MATCH('index match'!N$2,Sheet1!$A$1:$J$1,0))</f>
        <v>Young</v>
      </c>
    </row>
    <row r="264" spans="4:14" x14ac:dyDescent="0.25">
      <c r="D264" t="str">
        <v>Alan Watson</v>
      </c>
      <c r="E264" t="str">
        <f>INDEX(Sheet1!$A:$J,MATCH('index match'!$D264,Sheet1!$C:$C,0),MATCH('index match'!E$2,Sheet1!$1:$1,0))</f>
        <v>Watson</v>
      </c>
      <c r="F264">
        <f>INDEX(Sheet1!$A:$J,MATCH('index match'!$D264,Sheet1!$C:$C,0),MATCH('index match'!F$2,Sheet1!$1:$1,0))</f>
        <v>1</v>
      </c>
      <c r="G264" t="str">
        <f>INDEX(Sheet1!$A:$J,MATCH('index match'!$D264,Sheet1!$C:$C,0),MATCH('index match'!G$2,Sheet1!$1:$1,0))</f>
        <v>Middle Age</v>
      </c>
      <c r="K264" t="str">
        <v>Oscar Myers</v>
      </c>
      <c r="L264" t="str">
        <f>INDEX(Sheet1!$A:$J,MATCH('index match'!$K264,Sheet1!$C:$C,0),MATCH('index match'!L$2,Sheet1!$A$1:$J$1,0))</f>
        <v>Myers</v>
      </c>
      <c r="M264">
        <f>INDEX(Sheet1!$A:$J,MATCH('index match'!$K264,Sheet1!$C:$C,0),MATCH('index match'!M$2,Sheet1!$A$1:$J$1,0))</f>
        <v>4</v>
      </c>
      <c r="N264" t="str">
        <f>INDEX(Sheet1!$A:$J,MATCH('index match'!$K264,Sheet1!$C:$C,0),MATCH('index match'!N$2,Sheet1!$A$1:$J$1,0))</f>
        <v>Old</v>
      </c>
    </row>
    <row r="265" spans="4:14" x14ac:dyDescent="0.25">
      <c r="D265" t="str">
        <v>Albert Myers</v>
      </c>
      <c r="E265" t="str">
        <f>INDEX(Sheet1!$A:$J,MATCH('index match'!$D265,Sheet1!$C:$C,0),MATCH('index match'!E$2,Sheet1!$1:$1,0))</f>
        <v>Myers</v>
      </c>
      <c r="F265">
        <f>INDEX(Sheet1!$A:$J,MATCH('index match'!$D265,Sheet1!$C:$C,0),MATCH('index match'!F$2,Sheet1!$1:$1,0))</f>
        <v>3</v>
      </c>
      <c r="G265" t="str">
        <f>INDEX(Sheet1!$A:$J,MATCH('index match'!$D265,Sheet1!$C:$C,0),MATCH('index match'!G$2,Sheet1!$1:$1,0))</f>
        <v>Middle Age</v>
      </c>
      <c r="K265" t="str">
        <v>Heather Thomas</v>
      </c>
      <c r="L265" t="str">
        <f>INDEX(Sheet1!$A:$J,MATCH('index match'!$K265,Sheet1!$C:$C,0),MATCH('index match'!L$2,Sheet1!$A$1:$J$1,0))</f>
        <v>Thomas</v>
      </c>
      <c r="M265">
        <f>INDEX(Sheet1!$A:$J,MATCH('index match'!$K265,Sheet1!$C:$C,0),MATCH('index match'!M$2,Sheet1!$A$1:$J$1,0))</f>
        <v>2</v>
      </c>
      <c r="N265" t="str">
        <f>INDEX(Sheet1!$A:$J,MATCH('index match'!$K265,Sheet1!$C:$C,0),MATCH('index match'!N$2,Sheet1!$A$1:$J$1,0))</f>
        <v>Young</v>
      </c>
    </row>
    <row r="266" spans="4:14" x14ac:dyDescent="0.25">
      <c r="D266" t="str">
        <v>Annabella Evans</v>
      </c>
      <c r="E266" t="str">
        <f>INDEX(Sheet1!$A:$J,MATCH('index match'!$D266,Sheet1!$C:$C,0),MATCH('index match'!E$2,Sheet1!$1:$1,0))</f>
        <v>Evans</v>
      </c>
      <c r="F266">
        <f>INDEX(Sheet1!$A:$J,MATCH('index match'!$D266,Sheet1!$C:$C,0),MATCH('index match'!F$2,Sheet1!$1:$1,0))</f>
        <v>3</v>
      </c>
      <c r="G266" t="str">
        <f>INDEX(Sheet1!$A:$J,MATCH('index match'!$D266,Sheet1!$C:$C,0),MATCH('index match'!G$2,Sheet1!$1:$1,0))</f>
        <v>Young</v>
      </c>
      <c r="K266" t="str">
        <v>Ryan Morrison</v>
      </c>
      <c r="L266" t="str">
        <f>INDEX(Sheet1!$A:$J,MATCH('index match'!$K266,Sheet1!$C:$C,0),MATCH('index match'!L$2,Sheet1!$A$1:$J$1,0))</f>
        <v>Morrison</v>
      </c>
      <c r="M266">
        <f>INDEX(Sheet1!$A:$J,MATCH('index match'!$K266,Sheet1!$C:$C,0),MATCH('index match'!M$2,Sheet1!$A$1:$J$1,0))</f>
        <v>0</v>
      </c>
      <c r="N266" t="str">
        <f>INDEX(Sheet1!$A:$J,MATCH('index match'!$K266,Sheet1!$C:$C,0),MATCH('index match'!N$2,Sheet1!$A$1:$J$1,0))</f>
        <v>Old</v>
      </c>
    </row>
    <row r="267" spans="4:14" x14ac:dyDescent="0.25">
      <c r="D267" t="str">
        <v>James Harrison</v>
      </c>
      <c r="E267" t="str">
        <f>INDEX(Sheet1!$A:$J,MATCH('index match'!$D267,Sheet1!$C:$C,0),MATCH('index match'!E$2,Sheet1!$1:$1,0))</f>
        <v>Harrison</v>
      </c>
      <c r="F267">
        <f>INDEX(Sheet1!$A:$J,MATCH('index match'!$D267,Sheet1!$C:$C,0),MATCH('index match'!F$2,Sheet1!$1:$1,0))</f>
        <v>5</v>
      </c>
      <c r="G267" t="str">
        <f>INDEX(Sheet1!$A:$J,MATCH('index match'!$D267,Sheet1!$C:$C,0),MATCH('index match'!G$2,Sheet1!$1:$1,0))</f>
        <v>Old</v>
      </c>
      <c r="K267" t="str">
        <v>Jordan Williams</v>
      </c>
      <c r="L267" t="str">
        <f>INDEX(Sheet1!$A:$J,MATCH('index match'!$K267,Sheet1!$C:$C,0),MATCH('index match'!L$2,Sheet1!$A$1:$J$1,0))</f>
        <v>Williams</v>
      </c>
      <c r="M267">
        <f>INDEX(Sheet1!$A:$J,MATCH('index match'!$K267,Sheet1!$C:$C,0),MATCH('index match'!M$2,Sheet1!$A$1:$J$1,0))</f>
        <v>3</v>
      </c>
      <c r="N267" t="str">
        <f>INDEX(Sheet1!$A:$J,MATCH('index match'!$K267,Sheet1!$C:$C,0),MATCH('index match'!N$2,Sheet1!$A$1:$J$1,0))</f>
        <v>Young</v>
      </c>
    </row>
    <row r="268" spans="4:14" x14ac:dyDescent="0.25">
      <c r="D268" t="str">
        <v>Elian Stevens</v>
      </c>
      <c r="E268" t="str">
        <f>INDEX(Sheet1!$A:$J,MATCH('index match'!$D268,Sheet1!$C:$C,0),MATCH('index match'!E$2,Sheet1!$1:$1,0))</f>
        <v>Stevens</v>
      </c>
      <c r="F268">
        <f>INDEX(Sheet1!$A:$J,MATCH('index match'!$D268,Sheet1!$C:$C,0),MATCH('index match'!F$2,Sheet1!$1:$1,0))</f>
        <v>2</v>
      </c>
      <c r="G268" t="str">
        <f>INDEX(Sheet1!$A:$J,MATCH('index match'!$D268,Sheet1!$C:$C,0),MATCH('index match'!G$2,Sheet1!$1:$1,0))</f>
        <v>Old</v>
      </c>
      <c r="K268" t="str">
        <v>Sarah Bailey</v>
      </c>
      <c r="L268" t="str">
        <f>INDEX(Sheet1!$A:$J,MATCH('index match'!$K268,Sheet1!$C:$C,0),MATCH('index match'!L$2,Sheet1!$A$1:$J$1,0))</f>
        <v>Bailey</v>
      </c>
      <c r="M268">
        <f>INDEX(Sheet1!$A:$J,MATCH('index match'!$K268,Sheet1!$C:$C,0),MATCH('index match'!M$2,Sheet1!$A$1:$J$1,0))</f>
        <v>2</v>
      </c>
      <c r="N268" t="str">
        <f>INDEX(Sheet1!$A:$J,MATCH('index match'!$K268,Sheet1!$C:$C,0),MATCH('index match'!N$2,Sheet1!$A$1:$J$1,0))</f>
        <v>Old</v>
      </c>
    </row>
    <row r="269" spans="4:14" x14ac:dyDescent="0.25">
      <c r="D269" t="str">
        <v>Adison Harper</v>
      </c>
      <c r="E269" t="str">
        <f>INDEX(Sheet1!$A:$J,MATCH('index match'!$D269,Sheet1!$C:$C,0),MATCH('index match'!E$2,Sheet1!$1:$1,0))</f>
        <v>Harper</v>
      </c>
      <c r="F269">
        <f>INDEX(Sheet1!$A:$J,MATCH('index match'!$D269,Sheet1!$C:$C,0),MATCH('index match'!F$2,Sheet1!$1:$1,0))</f>
        <v>2</v>
      </c>
      <c r="G269" t="str">
        <f>INDEX(Sheet1!$A:$J,MATCH('index match'!$D269,Sheet1!$C:$C,0),MATCH('index match'!G$2,Sheet1!$1:$1,0))</f>
        <v>Young</v>
      </c>
      <c r="K269" t="str">
        <v>Alexander Richardson</v>
      </c>
      <c r="L269" t="str">
        <f>INDEX(Sheet1!$A:$J,MATCH('index match'!$K269,Sheet1!$C:$C,0),MATCH('index match'!L$2,Sheet1!$A$1:$J$1,0))</f>
        <v>Richardson</v>
      </c>
      <c r="M269">
        <f>INDEX(Sheet1!$A:$J,MATCH('index match'!$K269,Sheet1!$C:$C,0),MATCH('index match'!M$2,Sheet1!$A$1:$J$1,0))</f>
        <v>4</v>
      </c>
      <c r="N269" t="str">
        <f>INDEX(Sheet1!$A:$J,MATCH('index match'!$K269,Sheet1!$C:$C,0),MATCH('index match'!N$2,Sheet1!$A$1:$J$1,0))</f>
        <v>Middle Age</v>
      </c>
    </row>
    <row r="270" spans="4:14" x14ac:dyDescent="0.25">
      <c r="D270" t="str">
        <v>Edgar Richardson</v>
      </c>
      <c r="E270" t="str">
        <f>INDEX(Sheet1!$A:$J,MATCH('index match'!$D270,Sheet1!$C:$C,0),MATCH('index match'!E$2,Sheet1!$1:$1,0))</f>
        <v>Richardson</v>
      </c>
      <c r="F270">
        <f>INDEX(Sheet1!$A:$J,MATCH('index match'!$D270,Sheet1!$C:$C,0),MATCH('index match'!F$2,Sheet1!$1:$1,0))</f>
        <v>0</v>
      </c>
      <c r="G270" t="str">
        <f>INDEX(Sheet1!$A:$J,MATCH('index match'!$D270,Sheet1!$C:$C,0),MATCH('index match'!G$2,Sheet1!$1:$1,0))</f>
        <v>Young</v>
      </c>
      <c r="K270" t="str">
        <v>Anna Higgins</v>
      </c>
      <c r="L270" t="str">
        <f>INDEX(Sheet1!$A:$J,MATCH('index match'!$K270,Sheet1!$C:$C,0),MATCH('index match'!L$2,Sheet1!$A$1:$J$1,0))</f>
        <v>Higgins</v>
      </c>
      <c r="M270">
        <f>INDEX(Sheet1!$A:$J,MATCH('index match'!$K270,Sheet1!$C:$C,0),MATCH('index match'!M$2,Sheet1!$A$1:$J$1,0))</f>
        <v>5</v>
      </c>
      <c r="N270" t="str">
        <f>INDEX(Sheet1!$A:$J,MATCH('index match'!$K270,Sheet1!$C:$C,0),MATCH('index match'!N$2,Sheet1!$A$1:$J$1,0))</f>
        <v>Old</v>
      </c>
    </row>
    <row r="271" spans="4:14" x14ac:dyDescent="0.25">
      <c r="D271" t="str">
        <v>Reid Fowler</v>
      </c>
      <c r="E271" t="str">
        <f>INDEX(Sheet1!$A:$J,MATCH('index match'!$D271,Sheet1!$C:$C,0),MATCH('index match'!E$2,Sheet1!$1:$1,0))</f>
        <v>Fowler</v>
      </c>
      <c r="F271">
        <f>INDEX(Sheet1!$A:$J,MATCH('index match'!$D271,Sheet1!$C:$C,0),MATCH('index match'!F$2,Sheet1!$1:$1,0))</f>
        <v>1</v>
      </c>
      <c r="G271" t="str">
        <f>INDEX(Sheet1!$A:$J,MATCH('index match'!$D271,Sheet1!$C:$C,0),MATCH('index match'!G$2,Sheet1!$1:$1,0))</f>
        <v>Old</v>
      </c>
      <c r="K271" t="str">
        <v>Deanna Cole</v>
      </c>
      <c r="L271" t="str">
        <f>INDEX(Sheet1!$A:$J,MATCH('index match'!$K271,Sheet1!$C:$C,0),MATCH('index match'!L$2,Sheet1!$A$1:$J$1,0))</f>
        <v>Cole</v>
      </c>
      <c r="M271">
        <f>INDEX(Sheet1!$A:$J,MATCH('index match'!$K271,Sheet1!$C:$C,0),MATCH('index match'!M$2,Sheet1!$A$1:$J$1,0))</f>
        <v>4</v>
      </c>
      <c r="N271" t="str">
        <f>INDEX(Sheet1!$A:$J,MATCH('index match'!$K271,Sheet1!$C:$C,0),MATCH('index match'!N$2,Sheet1!$A$1:$J$1,0))</f>
        <v>Middle Age</v>
      </c>
    </row>
    <row r="272" spans="4:14" x14ac:dyDescent="0.25">
      <c r="D272" t="str">
        <v>Honey Owens</v>
      </c>
      <c r="E272" t="str">
        <f>INDEX(Sheet1!$A:$J,MATCH('index match'!$D272,Sheet1!$C:$C,0),MATCH('index match'!E$2,Sheet1!$1:$1,0))</f>
        <v>Owens</v>
      </c>
      <c r="F272">
        <f>INDEX(Sheet1!$A:$J,MATCH('index match'!$D272,Sheet1!$C:$C,0),MATCH('index match'!F$2,Sheet1!$1:$1,0))</f>
        <v>3</v>
      </c>
      <c r="G272" t="str">
        <f>INDEX(Sheet1!$A:$J,MATCH('index match'!$D272,Sheet1!$C:$C,0),MATCH('index match'!G$2,Sheet1!$1:$1,0))</f>
        <v>Middle Age</v>
      </c>
      <c r="K272" t="str">
        <v>Chelsea Walker</v>
      </c>
      <c r="L272" t="str">
        <f>INDEX(Sheet1!$A:$J,MATCH('index match'!$K272,Sheet1!$C:$C,0),MATCH('index match'!L$2,Sheet1!$A$1:$J$1,0))</f>
        <v>Walker</v>
      </c>
      <c r="M272">
        <f>INDEX(Sheet1!$A:$J,MATCH('index match'!$K272,Sheet1!$C:$C,0),MATCH('index match'!M$2,Sheet1!$A$1:$J$1,0))</f>
        <v>2</v>
      </c>
      <c r="N272" t="str">
        <f>INDEX(Sheet1!$A:$J,MATCH('index match'!$K272,Sheet1!$C:$C,0),MATCH('index match'!N$2,Sheet1!$A$1:$J$1,0))</f>
        <v>Middle Age</v>
      </c>
    </row>
    <row r="273" spans="4:14" x14ac:dyDescent="0.25">
      <c r="D273" t="str">
        <v>Owen Baker</v>
      </c>
      <c r="E273" t="str">
        <f>INDEX(Sheet1!$A:$J,MATCH('index match'!$D273,Sheet1!$C:$C,0),MATCH('index match'!E$2,Sheet1!$1:$1,0))</f>
        <v>Baker</v>
      </c>
      <c r="F273">
        <f>INDEX(Sheet1!$A:$J,MATCH('index match'!$D273,Sheet1!$C:$C,0),MATCH('index match'!F$2,Sheet1!$1:$1,0))</f>
        <v>4</v>
      </c>
      <c r="G273" t="str">
        <f>INDEX(Sheet1!$A:$J,MATCH('index match'!$D273,Sheet1!$C:$C,0),MATCH('index match'!G$2,Sheet1!$1:$1,0))</f>
        <v>Old</v>
      </c>
      <c r="K273" t="str">
        <v>Jordan Martin</v>
      </c>
      <c r="L273" t="str">
        <f>INDEX(Sheet1!$A:$J,MATCH('index match'!$K273,Sheet1!$C:$C,0),MATCH('index match'!L$2,Sheet1!$A$1:$J$1,0))</f>
        <v>Martin</v>
      </c>
      <c r="M273">
        <f>INDEX(Sheet1!$A:$J,MATCH('index match'!$K273,Sheet1!$C:$C,0),MATCH('index match'!M$2,Sheet1!$A$1:$J$1,0))</f>
        <v>4</v>
      </c>
      <c r="N273" t="str">
        <f>INDEX(Sheet1!$A:$J,MATCH('index match'!$K273,Sheet1!$C:$C,0),MATCH('index match'!N$2,Sheet1!$A$1:$J$1,0))</f>
        <v>Middle Age</v>
      </c>
    </row>
    <row r="274" spans="4:14" x14ac:dyDescent="0.25">
      <c r="D274" t="str">
        <v>Rosie Ross</v>
      </c>
      <c r="E274" t="str">
        <f>INDEX(Sheet1!$A:$J,MATCH('index match'!$D274,Sheet1!$C:$C,0),MATCH('index match'!E$2,Sheet1!$1:$1,0))</f>
        <v>Ross</v>
      </c>
      <c r="F274">
        <f>INDEX(Sheet1!$A:$J,MATCH('index match'!$D274,Sheet1!$C:$C,0),MATCH('index match'!F$2,Sheet1!$1:$1,0))</f>
        <v>1</v>
      </c>
      <c r="G274" t="str">
        <f>INDEX(Sheet1!$A:$J,MATCH('index match'!$D274,Sheet1!$C:$C,0),MATCH('index match'!G$2,Sheet1!$1:$1,0))</f>
        <v>Middle Age</v>
      </c>
      <c r="K274" t="str">
        <v>Maria Watson</v>
      </c>
      <c r="L274" t="str">
        <f>INDEX(Sheet1!$A:$J,MATCH('index match'!$K274,Sheet1!$C:$C,0),MATCH('index match'!L$2,Sheet1!$A$1:$J$1,0))</f>
        <v>Watson</v>
      </c>
      <c r="M274">
        <f>INDEX(Sheet1!$A:$J,MATCH('index match'!$K274,Sheet1!$C:$C,0),MATCH('index match'!M$2,Sheet1!$A$1:$J$1,0))</f>
        <v>4</v>
      </c>
      <c r="N274" t="str">
        <f>INDEX(Sheet1!$A:$J,MATCH('index match'!$K274,Sheet1!$C:$C,0),MATCH('index match'!N$2,Sheet1!$A$1:$J$1,0))</f>
        <v>Middle Age</v>
      </c>
    </row>
    <row r="275" spans="4:14" x14ac:dyDescent="0.25">
      <c r="D275" t="str">
        <v>Bruce Thompson</v>
      </c>
      <c r="E275" t="str">
        <f>INDEX(Sheet1!$A:$J,MATCH('index match'!$D275,Sheet1!$C:$C,0),MATCH('index match'!E$2,Sheet1!$1:$1,0))</f>
        <v>Thompson</v>
      </c>
      <c r="F275">
        <f>INDEX(Sheet1!$A:$J,MATCH('index match'!$D275,Sheet1!$C:$C,0),MATCH('index match'!F$2,Sheet1!$1:$1,0))</f>
        <v>4</v>
      </c>
      <c r="G275" t="str">
        <f>INDEX(Sheet1!$A:$J,MATCH('index match'!$D275,Sheet1!$C:$C,0),MATCH('index match'!G$2,Sheet1!$1:$1,0))</f>
        <v>Young</v>
      </c>
      <c r="K275" t="str">
        <v>Catherine Fowler</v>
      </c>
      <c r="L275" t="str">
        <f>INDEX(Sheet1!$A:$J,MATCH('index match'!$K275,Sheet1!$C:$C,0),MATCH('index match'!L$2,Sheet1!$A$1:$J$1,0))</f>
        <v>Fowler</v>
      </c>
      <c r="M275">
        <f>INDEX(Sheet1!$A:$J,MATCH('index match'!$K275,Sheet1!$C:$C,0),MATCH('index match'!M$2,Sheet1!$A$1:$J$1,0))</f>
        <v>3</v>
      </c>
      <c r="N275" t="str">
        <f>INDEX(Sheet1!$A:$J,MATCH('index match'!$K275,Sheet1!$C:$C,0),MATCH('index match'!N$2,Sheet1!$A$1:$J$1,0))</f>
        <v>Young</v>
      </c>
    </row>
    <row r="276" spans="4:14" x14ac:dyDescent="0.25">
      <c r="D276" t="str">
        <v>Amelia Hunt</v>
      </c>
      <c r="E276" t="str">
        <f>INDEX(Sheet1!$A:$J,MATCH('index match'!$D276,Sheet1!$C:$C,0),MATCH('index match'!E$2,Sheet1!$1:$1,0))</f>
        <v>Hunt</v>
      </c>
      <c r="F276">
        <f>INDEX(Sheet1!$A:$J,MATCH('index match'!$D276,Sheet1!$C:$C,0),MATCH('index match'!F$2,Sheet1!$1:$1,0))</f>
        <v>5</v>
      </c>
      <c r="G276" t="str">
        <f>INDEX(Sheet1!$A:$J,MATCH('index match'!$D276,Sheet1!$C:$C,0),MATCH('index match'!G$2,Sheet1!$1:$1,0))</f>
        <v>Old</v>
      </c>
      <c r="K276" t="str">
        <v>Lilianna Kelly</v>
      </c>
      <c r="L276" t="str">
        <f>INDEX(Sheet1!$A:$J,MATCH('index match'!$K276,Sheet1!$C:$C,0),MATCH('index match'!L$2,Sheet1!$A$1:$J$1,0))</f>
        <v>Kelly</v>
      </c>
      <c r="M276">
        <f>INDEX(Sheet1!$A:$J,MATCH('index match'!$K276,Sheet1!$C:$C,0),MATCH('index match'!M$2,Sheet1!$A$1:$J$1,0))</f>
        <v>2</v>
      </c>
      <c r="N276" t="str">
        <f>INDEX(Sheet1!$A:$J,MATCH('index match'!$K276,Sheet1!$C:$C,0),MATCH('index match'!N$2,Sheet1!$A$1:$J$1,0))</f>
        <v>Old</v>
      </c>
    </row>
    <row r="277" spans="4:14" x14ac:dyDescent="0.25">
      <c r="D277" t="str">
        <v>Fenton Davis</v>
      </c>
      <c r="E277" t="str">
        <f>INDEX(Sheet1!$A:$J,MATCH('index match'!$D277,Sheet1!$C:$C,0),MATCH('index match'!E$2,Sheet1!$1:$1,0))</f>
        <v>Davis</v>
      </c>
      <c r="F277">
        <f>INDEX(Sheet1!$A:$J,MATCH('index match'!$D277,Sheet1!$C:$C,0),MATCH('index match'!F$2,Sheet1!$1:$1,0))</f>
        <v>3</v>
      </c>
      <c r="G277" t="str">
        <f>INDEX(Sheet1!$A:$J,MATCH('index match'!$D277,Sheet1!$C:$C,0),MATCH('index match'!G$2,Sheet1!$1:$1,0))</f>
        <v>Middle Age</v>
      </c>
      <c r="K277" t="str">
        <v>Alberta Murray</v>
      </c>
      <c r="L277" t="str">
        <f>INDEX(Sheet1!$A:$J,MATCH('index match'!$K277,Sheet1!$C:$C,0),MATCH('index match'!L$2,Sheet1!$A$1:$J$1,0))</f>
        <v>Murray</v>
      </c>
      <c r="M277">
        <f>INDEX(Sheet1!$A:$J,MATCH('index match'!$K277,Sheet1!$C:$C,0),MATCH('index match'!M$2,Sheet1!$A$1:$J$1,0))</f>
        <v>2</v>
      </c>
      <c r="N277" t="str">
        <f>INDEX(Sheet1!$A:$J,MATCH('index match'!$K277,Sheet1!$C:$C,0),MATCH('index match'!N$2,Sheet1!$A$1:$J$1,0))</f>
        <v>Old</v>
      </c>
    </row>
    <row r="278" spans="4:14" x14ac:dyDescent="0.25">
      <c r="D278" t="str">
        <v>Preston Barrett</v>
      </c>
      <c r="E278" t="str">
        <f>INDEX(Sheet1!$A:$J,MATCH('index match'!$D278,Sheet1!$C:$C,0),MATCH('index match'!E$2,Sheet1!$1:$1,0))</f>
        <v>Barrett</v>
      </c>
      <c r="F278">
        <f>INDEX(Sheet1!$A:$J,MATCH('index match'!$D278,Sheet1!$C:$C,0),MATCH('index match'!F$2,Sheet1!$1:$1,0))</f>
        <v>0</v>
      </c>
      <c r="G278" t="str">
        <f>INDEX(Sheet1!$A:$J,MATCH('index match'!$D278,Sheet1!$C:$C,0),MATCH('index match'!G$2,Sheet1!$1:$1,0))</f>
        <v>Middle Age</v>
      </c>
      <c r="K278" t="str">
        <v>Preston Hill</v>
      </c>
      <c r="L278" t="str">
        <f>INDEX(Sheet1!$A:$J,MATCH('index match'!$K278,Sheet1!$C:$C,0),MATCH('index match'!L$2,Sheet1!$A$1:$J$1,0))</f>
        <v>Hill</v>
      </c>
      <c r="M278">
        <f>INDEX(Sheet1!$A:$J,MATCH('index match'!$K278,Sheet1!$C:$C,0),MATCH('index match'!M$2,Sheet1!$A$1:$J$1,0))</f>
        <v>5</v>
      </c>
      <c r="N278" t="str">
        <f>INDEX(Sheet1!$A:$J,MATCH('index match'!$K278,Sheet1!$C:$C,0),MATCH('index match'!N$2,Sheet1!$A$1:$J$1,0))</f>
        <v>Middle Age</v>
      </c>
    </row>
    <row r="279" spans="4:14" x14ac:dyDescent="0.25">
      <c r="D279" t="str">
        <v>Julia Miller</v>
      </c>
      <c r="E279" t="str">
        <f>INDEX(Sheet1!$A:$J,MATCH('index match'!$D279,Sheet1!$C:$C,0),MATCH('index match'!E$2,Sheet1!$1:$1,0))</f>
        <v>Miller</v>
      </c>
      <c r="F279">
        <f>INDEX(Sheet1!$A:$J,MATCH('index match'!$D279,Sheet1!$C:$C,0),MATCH('index match'!F$2,Sheet1!$1:$1,0))</f>
        <v>2</v>
      </c>
      <c r="G279" t="str">
        <f>INDEX(Sheet1!$A:$J,MATCH('index match'!$D279,Sheet1!$C:$C,0),MATCH('index match'!G$2,Sheet1!$1:$1,0))</f>
        <v>Middle Age</v>
      </c>
      <c r="K279" t="str">
        <v>Dominik Foster</v>
      </c>
      <c r="L279" t="str">
        <f>INDEX(Sheet1!$A:$J,MATCH('index match'!$K279,Sheet1!$C:$C,0),MATCH('index match'!L$2,Sheet1!$A$1:$J$1,0))</f>
        <v>Foster</v>
      </c>
      <c r="M279">
        <f>INDEX(Sheet1!$A:$J,MATCH('index match'!$K279,Sheet1!$C:$C,0),MATCH('index match'!M$2,Sheet1!$A$1:$J$1,0))</f>
        <v>1</v>
      </c>
      <c r="N279" t="str">
        <f>INDEX(Sheet1!$A:$J,MATCH('index match'!$K279,Sheet1!$C:$C,0),MATCH('index match'!N$2,Sheet1!$A$1:$J$1,0))</f>
        <v>Middle Age</v>
      </c>
    </row>
    <row r="280" spans="4:14" x14ac:dyDescent="0.25">
      <c r="D280" t="str">
        <v>Ashton Russell</v>
      </c>
      <c r="E280" t="str">
        <f>INDEX(Sheet1!$A:$J,MATCH('index match'!$D280,Sheet1!$C:$C,0),MATCH('index match'!E$2,Sheet1!$1:$1,0))</f>
        <v>Russell</v>
      </c>
      <c r="F280">
        <f>INDEX(Sheet1!$A:$J,MATCH('index match'!$D280,Sheet1!$C:$C,0),MATCH('index match'!F$2,Sheet1!$1:$1,0))</f>
        <v>4</v>
      </c>
      <c r="G280" t="str">
        <f>INDEX(Sheet1!$A:$J,MATCH('index match'!$D280,Sheet1!$C:$C,0),MATCH('index match'!G$2,Sheet1!$1:$1,0))</f>
        <v>Middle Age</v>
      </c>
      <c r="K280" t="str">
        <v>Caroline Carter</v>
      </c>
      <c r="L280" t="str">
        <f>INDEX(Sheet1!$A:$J,MATCH('index match'!$K280,Sheet1!$C:$C,0),MATCH('index match'!L$2,Sheet1!$A$1:$J$1,0))</f>
        <v>Carter</v>
      </c>
      <c r="M280">
        <f>INDEX(Sheet1!$A:$J,MATCH('index match'!$K280,Sheet1!$C:$C,0),MATCH('index match'!M$2,Sheet1!$A$1:$J$1,0))</f>
        <v>2</v>
      </c>
      <c r="N280" t="str">
        <f>INDEX(Sheet1!$A:$J,MATCH('index match'!$K280,Sheet1!$C:$C,0),MATCH('index match'!N$2,Sheet1!$A$1:$J$1,0))</f>
        <v>Young</v>
      </c>
    </row>
    <row r="281" spans="4:14" x14ac:dyDescent="0.25">
      <c r="D281" t="str">
        <v>Emily Kelly</v>
      </c>
      <c r="E281" t="str">
        <f>INDEX(Sheet1!$A:$J,MATCH('index match'!$D281,Sheet1!$C:$C,0),MATCH('index match'!E$2,Sheet1!$1:$1,0))</f>
        <v>Kelly</v>
      </c>
      <c r="F281">
        <f>INDEX(Sheet1!$A:$J,MATCH('index match'!$D281,Sheet1!$C:$C,0),MATCH('index match'!F$2,Sheet1!$1:$1,0))</f>
        <v>3</v>
      </c>
      <c r="G281" t="str">
        <f>INDEX(Sheet1!$A:$J,MATCH('index match'!$D281,Sheet1!$C:$C,0),MATCH('index match'!G$2,Sheet1!$1:$1,0))</f>
        <v>Middle Age</v>
      </c>
      <c r="K281" t="str">
        <v>Charlotte Russell</v>
      </c>
      <c r="L281" t="str">
        <f>INDEX(Sheet1!$A:$J,MATCH('index match'!$K281,Sheet1!$C:$C,0),MATCH('index match'!L$2,Sheet1!$A$1:$J$1,0))</f>
        <v>Russell</v>
      </c>
      <c r="M281">
        <f>INDEX(Sheet1!$A:$J,MATCH('index match'!$K281,Sheet1!$C:$C,0),MATCH('index match'!M$2,Sheet1!$A$1:$J$1,0))</f>
        <v>2</v>
      </c>
      <c r="N281" t="str">
        <f>INDEX(Sheet1!$A:$J,MATCH('index match'!$K281,Sheet1!$C:$C,0),MATCH('index match'!N$2,Sheet1!$A$1:$J$1,0))</f>
        <v>Middle Age</v>
      </c>
    </row>
    <row r="282" spans="4:14" x14ac:dyDescent="0.25">
      <c r="D282" t="str">
        <v>Bruce Parker</v>
      </c>
      <c r="E282" t="str">
        <f>INDEX(Sheet1!$A:$J,MATCH('index match'!$D282,Sheet1!$C:$C,0),MATCH('index match'!E$2,Sheet1!$1:$1,0))</f>
        <v>Parker</v>
      </c>
      <c r="F282">
        <f>INDEX(Sheet1!$A:$J,MATCH('index match'!$D282,Sheet1!$C:$C,0),MATCH('index match'!F$2,Sheet1!$1:$1,0))</f>
        <v>2</v>
      </c>
      <c r="G282" t="str">
        <f>INDEX(Sheet1!$A:$J,MATCH('index match'!$D282,Sheet1!$C:$C,0),MATCH('index match'!G$2,Sheet1!$1:$1,0))</f>
        <v>Old</v>
      </c>
      <c r="K282" t="str">
        <v>Maria Johnston</v>
      </c>
      <c r="L282" t="str">
        <f>INDEX(Sheet1!$A:$J,MATCH('index match'!$K282,Sheet1!$C:$C,0),MATCH('index match'!L$2,Sheet1!$A$1:$J$1,0))</f>
        <v>Johnston</v>
      </c>
      <c r="M282">
        <f>INDEX(Sheet1!$A:$J,MATCH('index match'!$K282,Sheet1!$C:$C,0),MATCH('index match'!M$2,Sheet1!$A$1:$J$1,0))</f>
        <v>0</v>
      </c>
      <c r="N282" t="str">
        <f>INDEX(Sheet1!$A:$J,MATCH('index match'!$K282,Sheet1!$C:$C,0),MATCH('index match'!N$2,Sheet1!$A$1:$J$1,0))</f>
        <v>Middle Age</v>
      </c>
    </row>
    <row r="283" spans="4:14" x14ac:dyDescent="0.25">
      <c r="D283" t="str">
        <v>Roland Gibson</v>
      </c>
      <c r="E283" t="str">
        <f>INDEX(Sheet1!$A:$J,MATCH('index match'!$D283,Sheet1!$C:$C,0),MATCH('index match'!E$2,Sheet1!$1:$1,0))</f>
        <v>Gibson</v>
      </c>
      <c r="F283">
        <f>INDEX(Sheet1!$A:$J,MATCH('index match'!$D283,Sheet1!$C:$C,0),MATCH('index match'!F$2,Sheet1!$1:$1,0))</f>
        <v>5</v>
      </c>
      <c r="G283" t="str">
        <f>INDEX(Sheet1!$A:$J,MATCH('index match'!$D283,Sheet1!$C:$C,0),MATCH('index match'!G$2,Sheet1!$1:$1,0))</f>
        <v>Young</v>
      </c>
      <c r="K283" t="str">
        <v>Chelsea Lloyd</v>
      </c>
      <c r="L283" t="str">
        <f>INDEX(Sheet1!$A:$J,MATCH('index match'!$K283,Sheet1!$C:$C,0),MATCH('index match'!L$2,Sheet1!$A$1:$J$1,0))</f>
        <v>Lloyd</v>
      </c>
      <c r="M283">
        <f>INDEX(Sheet1!$A:$J,MATCH('index match'!$K283,Sheet1!$C:$C,0),MATCH('index match'!M$2,Sheet1!$A$1:$J$1,0))</f>
        <v>4</v>
      </c>
      <c r="N283" t="str">
        <f>INDEX(Sheet1!$A:$J,MATCH('index match'!$K283,Sheet1!$C:$C,0),MATCH('index match'!N$2,Sheet1!$A$1:$J$1,0))</f>
        <v>Middle Age</v>
      </c>
    </row>
    <row r="284" spans="4:14" x14ac:dyDescent="0.25">
      <c r="D284" t="str">
        <v>Sienna Riley</v>
      </c>
      <c r="E284" t="str">
        <f>INDEX(Sheet1!$A:$J,MATCH('index match'!$D284,Sheet1!$C:$C,0),MATCH('index match'!E$2,Sheet1!$1:$1,0))</f>
        <v>Riley</v>
      </c>
      <c r="F284">
        <f>INDEX(Sheet1!$A:$J,MATCH('index match'!$D284,Sheet1!$C:$C,0),MATCH('index match'!F$2,Sheet1!$1:$1,0))</f>
        <v>0</v>
      </c>
      <c r="G284" t="str">
        <f>INDEX(Sheet1!$A:$J,MATCH('index match'!$D284,Sheet1!$C:$C,0),MATCH('index match'!G$2,Sheet1!$1:$1,0))</f>
        <v>Old</v>
      </c>
      <c r="K284" t="str">
        <v>Alina Richardson</v>
      </c>
      <c r="L284" t="str">
        <f>INDEX(Sheet1!$A:$J,MATCH('index match'!$K284,Sheet1!$C:$C,0),MATCH('index match'!L$2,Sheet1!$A$1:$J$1,0))</f>
        <v>Richardson</v>
      </c>
      <c r="M284">
        <f>INDEX(Sheet1!$A:$J,MATCH('index match'!$K284,Sheet1!$C:$C,0),MATCH('index match'!M$2,Sheet1!$A$1:$J$1,0))</f>
        <v>0</v>
      </c>
      <c r="N284" t="str">
        <f>INDEX(Sheet1!$A:$J,MATCH('index match'!$K284,Sheet1!$C:$C,0),MATCH('index match'!N$2,Sheet1!$A$1:$J$1,0))</f>
        <v>Old</v>
      </c>
    </row>
    <row r="285" spans="4:14" x14ac:dyDescent="0.25">
      <c r="D285" t="str">
        <v>Arthur Nelson</v>
      </c>
      <c r="E285" t="str">
        <f>INDEX(Sheet1!$A:$J,MATCH('index match'!$D285,Sheet1!$C:$C,0),MATCH('index match'!E$2,Sheet1!$1:$1,0))</f>
        <v>Nelson</v>
      </c>
      <c r="F285">
        <f>INDEX(Sheet1!$A:$J,MATCH('index match'!$D285,Sheet1!$C:$C,0),MATCH('index match'!F$2,Sheet1!$1:$1,0))</f>
        <v>5</v>
      </c>
      <c r="G285" t="str">
        <f>INDEX(Sheet1!$A:$J,MATCH('index match'!$D285,Sheet1!$C:$C,0),MATCH('index match'!G$2,Sheet1!$1:$1,0))</f>
        <v>Old</v>
      </c>
      <c r="K285" t="str">
        <v>Florrie Hall</v>
      </c>
      <c r="L285" t="str">
        <f>INDEX(Sheet1!$A:$J,MATCH('index match'!$K285,Sheet1!$C:$C,0),MATCH('index match'!L$2,Sheet1!$A$1:$J$1,0))</f>
        <v>Hall</v>
      </c>
      <c r="M285">
        <f>INDEX(Sheet1!$A:$J,MATCH('index match'!$K285,Sheet1!$C:$C,0),MATCH('index match'!M$2,Sheet1!$A$1:$J$1,0))</f>
        <v>5</v>
      </c>
      <c r="N285" t="str">
        <f>INDEX(Sheet1!$A:$J,MATCH('index match'!$K285,Sheet1!$C:$C,0),MATCH('index match'!N$2,Sheet1!$A$1:$J$1,0))</f>
        <v>Middle Age</v>
      </c>
    </row>
    <row r="286" spans="4:14" x14ac:dyDescent="0.25">
      <c r="D286" t="str">
        <v>Carl Morgan</v>
      </c>
      <c r="E286" t="str">
        <f>INDEX(Sheet1!$A:$J,MATCH('index match'!$D286,Sheet1!$C:$C,0),MATCH('index match'!E$2,Sheet1!$1:$1,0))</f>
        <v>Morgan</v>
      </c>
      <c r="F286">
        <f>INDEX(Sheet1!$A:$J,MATCH('index match'!$D286,Sheet1!$C:$C,0),MATCH('index match'!F$2,Sheet1!$1:$1,0))</f>
        <v>2</v>
      </c>
      <c r="G286" t="str">
        <f>INDEX(Sheet1!$A:$J,MATCH('index match'!$D286,Sheet1!$C:$C,0),MATCH('index match'!G$2,Sheet1!$1:$1,0))</f>
        <v>Middle Age</v>
      </c>
      <c r="K286" t="str">
        <v>Aiden Carter</v>
      </c>
      <c r="L286" t="str">
        <f>INDEX(Sheet1!$A:$J,MATCH('index match'!$K286,Sheet1!$C:$C,0),MATCH('index match'!L$2,Sheet1!$A$1:$J$1,0))</f>
        <v>Carter</v>
      </c>
      <c r="M286">
        <f>INDEX(Sheet1!$A:$J,MATCH('index match'!$K286,Sheet1!$C:$C,0),MATCH('index match'!M$2,Sheet1!$A$1:$J$1,0))</f>
        <v>0</v>
      </c>
      <c r="N286" t="str">
        <f>INDEX(Sheet1!$A:$J,MATCH('index match'!$K286,Sheet1!$C:$C,0),MATCH('index match'!N$2,Sheet1!$A$1:$J$1,0))</f>
        <v>Middle Age</v>
      </c>
    </row>
    <row r="287" spans="4:14" x14ac:dyDescent="0.25">
      <c r="D287" t="str">
        <v>Stuart Owens</v>
      </c>
      <c r="E287" t="str">
        <f>INDEX(Sheet1!$A:$J,MATCH('index match'!$D287,Sheet1!$C:$C,0),MATCH('index match'!E$2,Sheet1!$1:$1,0))</f>
        <v>Owens</v>
      </c>
      <c r="F287">
        <f>INDEX(Sheet1!$A:$J,MATCH('index match'!$D287,Sheet1!$C:$C,0),MATCH('index match'!F$2,Sheet1!$1:$1,0))</f>
        <v>5</v>
      </c>
      <c r="G287" t="str">
        <f>INDEX(Sheet1!$A:$J,MATCH('index match'!$D287,Sheet1!$C:$C,0),MATCH('index match'!G$2,Sheet1!$1:$1,0))</f>
        <v>Middle Age</v>
      </c>
      <c r="K287" t="str">
        <v>Amber Nelson</v>
      </c>
      <c r="L287" t="str">
        <f>INDEX(Sheet1!$A:$J,MATCH('index match'!$K287,Sheet1!$C:$C,0),MATCH('index match'!L$2,Sheet1!$A$1:$J$1,0))</f>
        <v>Nelson</v>
      </c>
      <c r="M287">
        <f>INDEX(Sheet1!$A:$J,MATCH('index match'!$K287,Sheet1!$C:$C,0),MATCH('index match'!M$2,Sheet1!$A$1:$J$1,0))</f>
        <v>2</v>
      </c>
      <c r="N287" t="str">
        <f>INDEX(Sheet1!$A:$J,MATCH('index match'!$K287,Sheet1!$C:$C,0),MATCH('index match'!N$2,Sheet1!$A$1:$J$1,0))</f>
        <v>Young</v>
      </c>
    </row>
    <row r="288" spans="4:14" x14ac:dyDescent="0.25">
      <c r="D288" t="str">
        <v>Alen Owens</v>
      </c>
      <c r="E288" t="str">
        <f>INDEX(Sheet1!$A:$J,MATCH('index match'!$D288,Sheet1!$C:$C,0),MATCH('index match'!E$2,Sheet1!$1:$1,0))</f>
        <v>Owens</v>
      </c>
      <c r="F288">
        <f>INDEX(Sheet1!$A:$J,MATCH('index match'!$D288,Sheet1!$C:$C,0),MATCH('index match'!F$2,Sheet1!$1:$1,0))</f>
        <v>3</v>
      </c>
      <c r="G288" t="str">
        <f>INDEX(Sheet1!$A:$J,MATCH('index match'!$D288,Sheet1!$C:$C,0),MATCH('index match'!G$2,Sheet1!$1:$1,0))</f>
        <v>Middle Age</v>
      </c>
      <c r="K288" t="str">
        <v>Eleanor Perry</v>
      </c>
      <c r="L288" t="str">
        <f>INDEX(Sheet1!$A:$J,MATCH('index match'!$K288,Sheet1!$C:$C,0),MATCH('index match'!L$2,Sheet1!$A$1:$J$1,0))</f>
        <v>Perry</v>
      </c>
      <c r="M288">
        <f>INDEX(Sheet1!$A:$J,MATCH('index match'!$K288,Sheet1!$C:$C,0),MATCH('index match'!M$2,Sheet1!$A$1:$J$1,0))</f>
        <v>3</v>
      </c>
      <c r="N288" t="str">
        <f>INDEX(Sheet1!$A:$J,MATCH('index match'!$K288,Sheet1!$C:$C,0),MATCH('index match'!N$2,Sheet1!$A$1:$J$1,0))</f>
        <v>Young</v>
      </c>
    </row>
    <row r="289" spans="4:14" x14ac:dyDescent="0.25">
      <c r="D289" t="str">
        <v>Emily Campbell</v>
      </c>
      <c r="E289" t="str">
        <f>INDEX(Sheet1!$A:$J,MATCH('index match'!$D289,Sheet1!$C:$C,0),MATCH('index match'!E$2,Sheet1!$1:$1,0))</f>
        <v>Campbell</v>
      </c>
      <c r="F289">
        <f>INDEX(Sheet1!$A:$J,MATCH('index match'!$D289,Sheet1!$C:$C,0),MATCH('index match'!F$2,Sheet1!$1:$1,0))</f>
        <v>2</v>
      </c>
      <c r="G289" t="str">
        <f>INDEX(Sheet1!$A:$J,MATCH('index match'!$D289,Sheet1!$C:$C,0),MATCH('index match'!G$2,Sheet1!$1:$1,0))</f>
        <v>Middle Age</v>
      </c>
      <c r="K289" t="str">
        <v>Abraham Perry</v>
      </c>
      <c r="L289" t="str">
        <f>INDEX(Sheet1!$A:$J,MATCH('index match'!$K289,Sheet1!$C:$C,0),MATCH('index match'!L$2,Sheet1!$A$1:$J$1,0))</f>
        <v>Perry</v>
      </c>
      <c r="M289">
        <f>INDEX(Sheet1!$A:$J,MATCH('index match'!$K289,Sheet1!$C:$C,0),MATCH('index match'!M$2,Sheet1!$A$1:$J$1,0))</f>
        <v>3</v>
      </c>
      <c r="N289" t="str">
        <f>INDEX(Sheet1!$A:$J,MATCH('index match'!$K289,Sheet1!$C:$C,0),MATCH('index match'!N$2,Sheet1!$A$1:$J$1,0))</f>
        <v>Middle Age</v>
      </c>
    </row>
    <row r="290" spans="4:14" x14ac:dyDescent="0.25">
      <c r="D290" t="str">
        <v>Kate Elliott</v>
      </c>
      <c r="E290" t="str">
        <f>INDEX(Sheet1!$A:$J,MATCH('index match'!$D290,Sheet1!$C:$C,0),MATCH('index match'!E$2,Sheet1!$1:$1,0))</f>
        <v>Elliott</v>
      </c>
      <c r="F290">
        <f>INDEX(Sheet1!$A:$J,MATCH('index match'!$D290,Sheet1!$C:$C,0),MATCH('index match'!F$2,Sheet1!$1:$1,0))</f>
        <v>0</v>
      </c>
      <c r="G290" t="str">
        <f>INDEX(Sheet1!$A:$J,MATCH('index match'!$D290,Sheet1!$C:$C,0),MATCH('index match'!G$2,Sheet1!$1:$1,0))</f>
        <v>Young</v>
      </c>
      <c r="K290" t="str">
        <v>Wilson West</v>
      </c>
      <c r="L290" t="str">
        <f>INDEX(Sheet1!$A:$J,MATCH('index match'!$K290,Sheet1!$C:$C,0),MATCH('index match'!L$2,Sheet1!$A$1:$J$1,0))</f>
        <v>West</v>
      </c>
      <c r="M290">
        <f>INDEX(Sheet1!$A:$J,MATCH('index match'!$K290,Sheet1!$C:$C,0),MATCH('index match'!M$2,Sheet1!$A$1:$J$1,0))</f>
        <v>3</v>
      </c>
      <c r="N290" t="str">
        <f>INDEX(Sheet1!$A:$J,MATCH('index match'!$K290,Sheet1!$C:$C,0),MATCH('index match'!N$2,Sheet1!$A$1:$J$1,0))</f>
        <v>Middle Age</v>
      </c>
    </row>
    <row r="291" spans="4:14" x14ac:dyDescent="0.25">
      <c r="D291" t="str">
        <v>Edith Harper</v>
      </c>
      <c r="E291" t="str">
        <f>INDEX(Sheet1!$A:$J,MATCH('index match'!$D291,Sheet1!$C:$C,0),MATCH('index match'!E$2,Sheet1!$1:$1,0))</f>
        <v>Harper</v>
      </c>
      <c r="F291">
        <f>INDEX(Sheet1!$A:$J,MATCH('index match'!$D291,Sheet1!$C:$C,0),MATCH('index match'!F$2,Sheet1!$1:$1,0))</f>
        <v>3</v>
      </c>
      <c r="G291" t="str">
        <f>INDEX(Sheet1!$A:$J,MATCH('index match'!$D291,Sheet1!$C:$C,0),MATCH('index match'!G$2,Sheet1!$1:$1,0))</f>
        <v>Middle Age</v>
      </c>
      <c r="K291" t="str">
        <v>Valeria Sullivan</v>
      </c>
      <c r="L291" t="str">
        <f>INDEX(Sheet1!$A:$J,MATCH('index match'!$K291,Sheet1!$C:$C,0),MATCH('index match'!L$2,Sheet1!$A$1:$J$1,0))</f>
        <v>Sullivan</v>
      </c>
      <c r="M291">
        <f>INDEX(Sheet1!$A:$J,MATCH('index match'!$K291,Sheet1!$C:$C,0),MATCH('index match'!M$2,Sheet1!$A$1:$J$1,0))</f>
        <v>0</v>
      </c>
      <c r="N291" t="str">
        <f>INDEX(Sheet1!$A:$J,MATCH('index match'!$K291,Sheet1!$C:$C,0),MATCH('index match'!N$2,Sheet1!$A$1:$J$1,0))</f>
        <v>Middle Age</v>
      </c>
    </row>
    <row r="292" spans="4:14" x14ac:dyDescent="0.25">
      <c r="D292" t="str">
        <v>Hailey Wright</v>
      </c>
      <c r="E292" t="str">
        <f>INDEX(Sheet1!$A:$J,MATCH('index match'!$D292,Sheet1!$C:$C,0),MATCH('index match'!E$2,Sheet1!$1:$1,0))</f>
        <v>Wright</v>
      </c>
      <c r="F292">
        <f>INDEX(Sheet1!$A:$J,MATCH('index match'!$D292,Sheet1!$C:$C,0),MATCH('index match'!F$2,Sheet1!$1:$1,0))</f>
        <v>4</v>
      </c>
      <c r="G292" t="str">
        <f>INDEX(Sheet1!$A:$J,MATCH('index match'!$D292,Sheet1!$C:$C,0),MATCH('index match'!G$2,Sheet1!$1:$1,0))</f>
        <v>Middle Age</v>
      </c>
      <c r="K292" t="str">
        <v>Michael Harper</v>
      </c>
      <c r="L292" t="str">
        <f>INDEX(Sheet1!$A:$J,MATCH('index match'!$K292,Sheet1!$C:$C,0),MATCH('index match'!L$2,Sheet1!$A$1:$J$1,0))</f>
        <v>Harper</v>
      </c>
      <c r="M292">
        <f>INDEX(Sheet1!$A:$J,MATCH('index match'!$K292,Sheet1!$C:$C,0),MATCH('index match'!M$2,Sheet1!$A$1:$J$1,0))</f>
        <v>2</v>
      </c>
      <c r="N292" t="str">
        <f>INDEX(Sheet1!$A:$J,MATCH('index match'!$K292,Sheet1!$C:$C,0),MATCH('index match'!N$2,Sheet1!$A$1:$J$1,0))</f>
        <v>Old</v>
      </c>
    </row>
    <row r="293" spans="4:14" x14ac:dyDescent="0.25">
      <c r="D293" t="str">
        <v>Amanda Stevens</v>
      </c>
      <c r="E293" t="str">
        <f>INDEX(Sheet1!$A:$J,MATCH('index match'!$D293,Sheet1!$C:$C,0),MATCH('index match'!E$2,Sheet1!$1:$1,0))</f>
        <v>Stevens</v>
      </c>
      <c r="F293">
        <f>INDEX(Sheet1!$A:$J,MATCH('index match'!$D293,Sheet1!$C:$C,0),MATCH('index match'!F$2,Sheet1!$1:$1,0))</f>
        <v>5</v>
      </c>
      <c r="G293" t="str">
        <f>INDEX(Sheet1!$A:$J,MATCH('index match'!$D293,Sheet1!$C:$C,0),MATCH('index match'!G$2,Sheet1!$1:$1,0))</f>
        <v>Young</v>
      </c>
      <c r="K293" t="str">
        <v>Tara Hall</v>
      </c>
      <c r="L293" t="str">
        <f>INDEX(Sheet1!$A:$J,MATCH('index match'!$K293,Sheet1!$C:$C,0),MATCH('index match'!L$2,Sheet1!$A$1:$J$1,0))</f>
        <v>Hall</v>
      </c>
      <c r="M293">
        <f>INDEX(Sheet1!$A:$J,MATCH('index match'!$K293,Sheet1!$C:$C,0),MATCH('index match'!M$2,Sheet1!$A$1:$J$1,0))</f>
        <v>1</v>
      </c>
      <c r="N293" t="str">
        <f>INDEX(Sheet1!$A:$J,MATCH('index match'!$K293,Sheet1!$C:$C,0),MATCH('index match'!N$2,Sheet1!$A$1:$J$1,0))</f>
        <v>Young</v>
      </c>
    </row>
    <row r="294" spans="4:14" x14ac:dyDescent="0.25">
      <c r="D294" t="str">
        <v>Roland Harrison</v>
      </c>
      <c r="E294" t="str">
        <f>INDEX(Sheet1!$A:$J,MATCH('index match'!$D294,Sheet1!$C:$C,0),MATCH('index match'!E$2,Sheet1!$1:$1,0))</f>
        <v>Harrison</v>
      </c>
      <c r="F294">
        <f>INDEX(Sheet1!$A:$J,MATCH('index match'!$D294,Sheet1!$C:$C,0),MATCH('index match'!F$2,Sheet1!$1:$1,0))</f>
        <v>0</v>
      </c>
      <c r="G294" t="str">
        <f>INDEX(Sheet1!$A:$J,MATCH('index match'!$D294,Sheet1!$C:$C,0),MATCH('index match'!G$2,Sheet1!$1:$1,0))</f>
        <v>Middle Age</v>
      </c>
      <c r="K294" t="str">
        <v>Ellia Kelly</v>
      </c>
      <c r="L294" t="str">
        <f>INDEX(Sheet1!$A:$J,MATCH('index match'!$K294,Sheet1!$C:$C,0),MATCH('index match'!L$2,Sheet1!$A$1:$J$1,0))</f>
        <v>Kelly</v>
      </c>
      <c r="M294">
        <f>INDEX(Sheet1!$A:$J,MATCH('index match'!$K294,Sheet1!$C:$C,0),MATCH('index match'!M$2,Sheet1!$A$1:$J$1,0))</f>
        <v>3</v>
      </c>
      <c r="N294" t="str">
        <f>INDEX(Sheet1!$A:$J,MATCH('index match'!$K294,Sheet1!$C:$C,0),MATCH('index match'!N$2,Sheet1!$A$1:$J$1,0))</f>
        <v>Middle Age</v>
      </c>
    </row>
    <row r="295" spans="4:14" x14ac:dyDescent="0.25">
      <c r="D295" t="str">
        <v>Mary Scott</v>
      </c>
      <c r="E295" t="str">
        <f>INDEX(Sheet1!$A:$J,MATCH('index match'!$D295,Sheet1!$C:$C,0),MATCH('index match'!E$2,Sheet1!$1:$1,0))</f>
        <v>Scott</v>
      </c>
      <c r="F295">
        <f>INDEX(Sheet1!$A:$J,MATCH('index match'!$D295,Sheet1!$C:$C,0),MATCH('index match'!F$2,Sheet1!$1:$1,0))</f>
        <v>5</v>
      </c>
      <c r="G295" t="str">
        <f>INDEX(Sheet1!$A:$J,MATCH('index match'!$D295,Sheet1!$C:$C,0),MATCH('index match'!G$2,Sheet1!$1:$1,0))</f>
        <v>Old</v>
      </c>
      <c r="K295" t="str">
        <v>Lucia Andrews</v>
      </c>
      <c r="L295" t="str">
        <f>INDEX(Sheet1!$A:$J,MATCH('index match'!$K295,Sheet1!$C:$C,0),MATCH('index match'!L$2,Sheet1!$A$1:$J$1,0))</f>
        <v>Andrews</v>
      </c>
      <c r="M295">
        <f>INDEX(Sheet1!$A:$J,MATCH('index match'!$K295,Sheet1!$C:$C,0),MATCH('index match'!M$2,Sheet1!$A$1:$J$1,0))</f>
        <v>5</v>
      </c>
      <c r="N295" t="str">
        <f>INDEX(Sheet1!$A:$J,MATCH('index match'!$K295,Sheet1!$C:$C,0),MATCH('index match'!N$2,Sheet1!$A$1:$J$1,0))</f>
        <v>Middle Age</v>
      </c>
    </row>
    <row r="296" spans="4:14" x14ac:dyDescent="0.25">
      <c r="D296" t="str">
        <v>Kimberly Ellis</v>
      </c>
      <c r="E296" t="str">
        <f>INDEX(Sheet1!$A:$J,MATCH('index match'!$D296,Sheet1!$C:$C,0),MATCH('index match'!E$2,Sheet1!$1:$1,0))</f>
        <v>Ellis</v>
      </c>
      <c r="F296">
        <f>INDEX(Sheet1!$A:$J,MATCH('index match'!$D296,Sheet1!$C:$C,0),MATCH('index match'!F$2,Sheet1!$1:$1,0))</f>
        <v>1</v>
      </c>
      <c r="G296" t="str">
        <f>INDEX(Sheet1!$A:$J,MATCH('index match'!$D296,Sheet1!$C:$C,0),MATCH('index match'!G$2,Sheet1!$1:$1,0))</f>
        <v>Young</v>
      </c>
      <c r="K296" t="str">
        <v>Rubie Owens</v>
      </c>
      <c r="L296" t="str">
        <f>INDEX(Sheet1!$A:$J,MATCH('index match'!$K296,Sheet1!$C:$C,0),MATCH('index match'!L$2,Sheet1!$A$1:$J$1,0))</f>
        <v>Owens</v>
      </c>
      <c r="M296">
        <f>INDEX(Sheet1!$A:$J,MATCH('index match'!$K296,Sheet1!$C:$C,0),MATCH('index match'!M$2,Sheet1!$A$1:$J$1,0))</f>
        <v>1</v>
      </c>
      <c r="N296" t="str">
        <f>INDEX(Sheet1!$A:$J,MATCH('index match'!$K296,Sheet1!$C:$C,0),MATCH('index match'!N$2,Sheet1!$A$1:$J$1,0))</f>
        <v>Young</v>
      </c>
    </row>
    <row r="297" spans="4:14" x14ac:dyDescent="0.25">
      <c r="D297" t="str">
        <v>Ryan Adams</v>
      </c>
      <c r="E297" t="str">
        <f>INDEX(Sheet1!$A:$J,MATCH('index match'!$D297,Sheet1!$C:$C,0),MATCH('index match'!E$2,Sheet1!$1:$1,0))</f>
        <v>Adams</v>
      </c>
      <c r="F297">
        <f>INDEX(Sheet1!$A:$J,MATCH('index match'!$D297,Sheet1!$C:$C,0),MATCH('index match'!F$2,Sheet1!$1:$1,0))</f>
        <v>2</v>
      </c>
      <c r="G297" t="str">
        <f>INDEX(Sheet1!$A:$J,MATCH('index match'!$D297,Sheet1!$C:$C,0),MATCH('index match'!G$2,Sheet1!$1:$1,0))</f>
        <v>Middle Age</v>
      </c>
      <c r="K297" t="str">
        <v>Edith Montgomery</v>
      </c>
      <c r="L297" t="str">
        <f>INDEX(Sheet1!$A:$J,MATCH('index match'!$K297,Sheet1!$C:$C,0),MATCH('index match'!L$2,Sheet1!$A$1:$J$1,0))</f>
        <v>Montgomery</v>
      </c>
      <c r="M297">
        <f>INDEX(Sheet1!$A:$J,MATCH('index match'!$K297,Sheet1!$C:$C,0),MATCH('index match'!M$2,Sheet1!$A$1:$J$1,0))</f>
        <v>1</v>
      </c>
      <c r="N297" t="str">
        <f>INDEX(Sheet1!$A:$J,MATCH('index match'!$K297,Sheet1!$C:$C,0),MATCH('index match'!N$2,Sheet1!$A$1:$J$1,0))</f>
        <v>Young</v>
      </c>
    </row>
    <row r="298" spans="4:14" x14ac:dyDescent="0.25">
      <c r="D298" t="str">
        <v>Blake Richards</v>
      </c>
      <c r="E298" t="str">
        <f>INDEX(Sheet1!$A:$J,MATCH('index match'!$D298,Sheet1!$C:$C,0),MATCH('index match'!E$2,Sheet1!$1:$1,0))</f>
        <v>Richards</v>
      </c>
      <c r="F298">
        <f>INDEX(Sheet1!$A:$J,MATCH('index match'!$D298,Sheet1!$C:$C,0),MATCH('index match'!F$2,Sheet1!$1:$1,0))</f>
        <v>5</v>
      </c>
      <c r="G298" t="str">
        <f>INDEX(Sheet1!$A:$J,MATCH('index match'!$D298,Sheet1!$C:$C,0),MATCH('index match'!G$2,Sheet1!$1:$1,0))</f>
        <v>Young</v>
      </c>
      <c r="K298" t="str">
        <v>Wilson Davis</v>
      </c>
      <c r="L298" t="str">
        <f>INDEX(Sheet1!$A:$J,MATCH('index match'!$K298,Sheet1!$C:$C,0),MATCH('index match'!L$2,Sheet1!$A$1:$J$1,0))</f>
        <v>Davis</v>
      </c>
      <c r="M298">
        <f>INDEX(Sheet1!$A:$J,MATCH('index match'!$K298,Sheet1!$C:$C,0),MATCH('index match'!M$2,Sheet1!$A$1:$J$1,0))</f>
        <v>2</v>
      </c>
      <c r="N298" t="str">
        <f>INDEX(Sheet1!$A:$J,MATCH('index match'!$K298,Sheet1!$C:$C,0),MATCH('index match'!N$2,Sheet1!$A$1:$J$1,0))</f>
        <v>Middle Age</v>
      </c>
    </row>
    <row r="299" spans="4:14" x14ac:dyDescent="0.25">
      <c r="D299" t="str">
        <v>Olivia Taylor</v>
      </c>
      <c r="E299" t="str">
        <f>INDEX(Sheet1!$A:$J,MATCH('index match'!$D299,Sheet1!$C:$C,0),MATCH('index match'!E$2,Sheet1!$1:$1,0))</f>
        <v>Taylor</v>
      </c>
      <c r="F299">
        <f>INDEX(Sheet1!$A:$J,MATCH('index match'!$D299,Sheet1!$C:$C,0),MATCH('index match'!F$2,Sheet1!$1:$1,0))</f>
        <v>3</v>
      </c>
      <c r="G299" t="str">
        <f>INDEX(Sheet1!$A:$J,MATCH('index match'!$D299,Sheet1!$C:$C,0),MATCH('index match'!G$2,Sheet1!$1:$1,0))</f>
        <v>Young</v>
      </c>
      <c r="K299" t="str">
        <v>Lilianna Gray</v>
      </c>
      <c r="L299" t="str">
        <f>INDEX(Sheet1!$A:$J,MATCH('index match'!$K299,Sheet1!$C:$C,0),MATCH('index match'!L$2,Sheet1!$A$1:$J$1,0))</f>
        <v>Gray</v>
      </c>
      <c r="M299">
        <f>INDEX(Sheet1!$A:$J,MATCH('index match'!$K299,Sheet1!$C:$C,0),MATCH('index match'!M$2,Sheet1!$A$1:$J$1,0))</f>
        <v>0</v>
      </c>
      <c r="N299" t="str">
        <f>INDEX(Sheet1!$A:$J,MATCH('index match'!$K299,Sheet1!$C:$C,0),MATCH('index match'!N$2,Sheet1!$A$1:$J$1,0))</f>
        <v>Middle Age</v>
      </c>
    </row>
    <row r="300" spans="4:14" x14ac:dyDescent="0.25">
      <c r="D300" t="str">
        <v>Jared Morris</v>
      </c>
      <c r="E300" t="str">
        <f>INDEX(Sheet1!$A:$J,MATCH('index match'!$D300,Sheet1!$C:$C,0),MATCH('index match'!E$2,Sheet1!$1:$1,0))</f>
        <v>Morris</v>
      </c>
      <c r="F300">
        <f>INDEX(Sheet1!$A:$J,MATCH('index match'!$D300,Sheet1!$C:$C,0),MATCH('index match'!F$2,Sheet1!$1:$1,0))</f>
        <v>2</v>
      </c>
      <c r="G300" t="str">
        <f>INDEX(Sheet1!$A:$J,MATCH('index match'!$D300,Sheet1!$C:$C,0),MATCH('index match'!G$2,Sheet1!$1:$1,0))</f>
        <v>Young</v>
      </c>
      <c r="K300" t="str">
        <v>Melanie Russell</v>
      </c>
      <c r="L300" t="str">
        <f>INDEX(Sheet1!$A:$J,MATCH('index match'!$K300,Sheet1!$C:$C,0),MATCH('index match'!L$2,Sheet1!$A$1:$J$1,0))</f>
        <v>Russell</v>
      </c>
      <c r="M300">
        <f>INDEX(Sheet1!$A:$J,MATCH('index match'!$K300,Sheet1!$C:$C,0),MATCH('index match'!M$2,Sheet1!$A$1:$J$1,0))</f>
        <v>1</v>
      </c>
      <c r="N300" t="str">
        <f>INDEX(Sheet1!$A:$J,MATCH('index match'!$K300,Sheet1!$C:$C,0),MATCH('index match'!N$2,Sheet1!$A$1:$J$1,0))</f>
        <v>Young</v>
      </c>
    </row>
    <row r="301" spans="4:14" x14ac:dyDescent="0.25">
      <c r="D301" t="str">
        <v>David Campbell</v>
      </c>
      <c r="E301" t="str">
        <f>INDEX(Sheet1!$A:$J,MATCH('index match'!$D301,Sheet1!$C:$C,0),MATCH('index match'!E$2,Sheet1!$1:$1,0))</f>
        <v>Campbell</v>
      </c>
      <c r="F301">
        <f>INDEX(Sheet1!$A:$J,MATCH('index match'!$D301,Sheet1!$C:$C,0),MATCH('index match'!F$2,Sheet1!$1:$1,0))</f>
        <v>0</v>
      </c>
      <c r="G301" t="str">
        <f>INDEX(Sheet1!$A:$J,MATCH('index match'!$D301,Sheet1!$C:$C,0),MATCH('index match'!G$2,Sheet1!$1:$1,0))</f>
        <v>Old</v>
      </c>
      <c r="K301" t="str">
        <v>George Thompson</v>
      </c>
      <c r="L301" t="str">
        <f>INDEX(Sheet1!$A:$J,MATCH('index match'!$K301,Sheet1!$C:$C,0),MATCH('index match'!L$2,Sheet1!$A$1:$J$1,0))</f>
        <v>Thompson</v>
      </c>
      <c r="M301">
        <f>INDEX(Sheet1!$A:$J,MATCH('index match'!$K301,Sheet1!$C:$C,0),MATCH('index match'!M$2,Sheet1!$A$1:$J$1,0))</f>
        <v>1</v>
      </c>
      <c r="N301" t="str">
        <f>INDEX(Sheet1!$A:$J,MATCH('index match'!$K301,Sheet1!$C:$C,0),MATCH('index match'!N$2,Sheet1!$A$1:$J$1,0))</f>
        <v>Middle Age</v>
      </c>
    </row>
    <row r="302" spans="4:14" x14ac:dyDescent="0.25">
      <c r="D302" t="str">
        <v>Clark Wells</v>
      </c>
      <c r="E302" t="str">
        <f>INDEX(Sheet1!$A:$J,MATCH('index match'!$D302,Sheet1!$C:$C,0),MATCH('index match'!E$2,Sheet1!$1:$1,0))</f>
        <v>Wells</v>
      </c>
      <c r="F302">
        <f>INDEX(Sheet1!$A:$J,MATCH('index match'!$D302,Sheet1!$C:$C,0),MATCH('index match'!F$2,Sheet1!$1:$1,0))</f>
        <v>3</v>
      </c>
      <c r="G302" t="str">
        <f>INDEX(Sheet1!$A:$J,MATCH('index match'!$D302,Sheet1!$C:$C,0),MATCH('index match'!G$2,Sheet1!$1:$1,0))</f>
        <v>Young</v>
      </c>
      <c r="K302" t="str">
        <v>Reid Armstrong</v>
      </c>
      <c r="L302" t="str">
        <f>INDEX(Sheet1!$A:$J,MATCH('index match'!$K302,Sheet1!$C:$C,0),MATCH('index match'!L$2,Sheet1!$A$1:$J$1,0))</f>
        <v>Armstrong</v>
      </c>
      <c r="M302">
        <f>INDEX(Sheet1!$A:$J,MATCH('index match'!$K302,Sheet1!$C:$C,0),MATCH('index match'!M$2,Sheet1!$A$1:$J$1,0))</f>
        <v>3</v>
      </c>
      <c r="N302" t="str">
        <f>INDEX(Sheet1!$A:$J,MATCH('index match'!$K302,Sheet1!$C:$C,0),MATCH('index match'!N$2,Sheet1!$A$1:$J$1,0))</f>
        <v>Middle Age</v>
      </c>
    </row>
    <row r="303" spans="4:14" x14ac:dyDescent="0.25">
      <c r="D303" t="str">
        <v>Nicholas Hall</v>
      </c>
      <c r="E303" t="str">
        <f>INDEX(Sheet1!$A:$J,MATCH('index match'!$D303,Sheet1!$C:$C,0),MATCH('index match'!E$2,Sheet1!$1:$1,0))</f>
        <v>Hall</v>
      </c>
      <c r="F303">
        <f>INDEX(Sheet1!$A:$J,MATCH('index match'!$D303,Sheet1!$C:$C,0),MATCH('index match'!F$2,Sheet1!$1:$1,0))</f>
        <v>4</v>
      </c>
      <c r="G303" t="str">
        <f>INDEX(Sheet1!$A:$J,MATCH('index match'!$D303,Sheet1!$C:$C,0),MATCH('index match'!G$2,Sheet1!$1:$1,0))</f>
        <v>Middle Age</v>
      </c>
      <c r="K303" t="str">
        <v>George Mitchell</v>
      </c>
      <c r="L303" t="str">
        <f>INDEX(Sheet1!$A:$J,MATCH('index match'!$K303,Sheet1!$C:$C,0),MATCH('index match'!L$2,Sheet1!$A$1:$J$1,0))</f>
        <v>Mitchell</v>
      </c>
      <c r="M303">
        <f>INDEX(Sheet1!$A:$J,MATCH('index match'!$K303,Sheet1!$C:$C,0),MATCH('index match'!M$2,Sheet1!$A$1:$J$1,0))</f>
        <v>2</v>
      </c>
      <c r="N303" t="str">
        <f>INDEX(Sheet1!$A:$J,MATCH('index match'!$K303,Sheet1!$C:$C,0),MATCH('index match'!N$2,Sheet1!$A$1:$J$1,0))</f>
        <v>Middle Age</v>
      </c>
    </row>
    <row r="304" spans="4:14" x14ac:dyDescent="0.25">
      <c r="D304" t="str">
        <v>Leonardo Myers</v>
      </c>
      <c r="E304" t="str">
        <f>INDEX(Sheet1!$A:$J,MATCH('index match'!$D304,Sheet1!$C:$C,0),MATCH('index match'!E$2,Sheet1!$1:$1,0))</f>
        <v>Myers</v>
      </c>
      <c r="F304">
        <f>INDEX(Sheet1!$A:$J,MATCH('index match'!$D304,Sheet1!$C:$C,0),MATCH('index match'!F$2,Sheet1!$1:$1,0))</f>
        <v>3</v>
      </c>
      <c r="G304" t="str">
        <f>INDEX(Sheet1!$A:$J,MATCH('index match'!$D304,Sheet1!$C:$C,0),MATCH('index match'!G$2,Sheet1!$1:$1,0))</f>
        <v>Middle Age</v>
      </c>
      <c r="K304" t="str">
        <v>Clark West</v>
      </c>
      <c r="L304" t="str">
        <f>INDEX(Sheet1!$A:$J,MATCH('index match'!$K304,Sheet1!$C:$C,0),MATCH('index match'!L$2,Sheet1!$A$1:$J$1,0))</f>
        <v>West</v>
      </c>
      <c r="M304">
        <f>INDEX(Sheet1!$A:$J,MATCH('index match'!$K304,Sheet1!$C:$C,0),MATCH('index match'!M$2,Sheet1!$A$1:$J$1,0))</f>
        <v>3</v>
      </c>
      <c r="N304" t="str">
        <f>INDEX(Sheet1!$A:$J,MATCH('index match'!$K304,Sheet1!$C:$C,0),MATCH('index match'!N$2,Sheet1!$A$1:$J$1,0))</f>
        <v>Middle Age</v>
      </c>
    </row>
    <row r="305" spans="4:14" x14ac:dyDescent="0.25">
      <c r="D305" t="str">
        <v>Julian Barrett</v>
      </c>
      <c r="E305" t="str">
        <f>INDEX(Sheet1!$A:$J,MATCH('index match'!$D305,Sheet1!$C:$C,0),MATCH('index match'!E$2,Sheet1!$1:$1,0))</f>
        <v>Barrett</v>
      </c>
      <c r="F305">
        <f>INDEX(Sheet1!$A:$J,MATCH('index match'!$D305,Sheet1!$C:$C,0),MATCH('index match'!F$2,Sheet1!$1:$1,0))</f>
        <v>5</v>
      </c>
      <c r="G305" t="str">
        <f>INDEX(Sheet1!$A:$J,MATCH('index match'!$D305,Sheet1!$C:$C,0),MATCH('index match'!G$2,Sheet1!$1:$1,0))</f>
        <v>Middle Age</v>
      </c>
      <c r="K305" t="str">
        <v>Charlotte Cameron</v>
      </c>
      <c r="L305" t="str">
        <f>INDEX(Sheet1!$A:$J,MATCH('index match'!$K305,Sheet1!$C:$C,0),MATCH('index match'!L$2,Sheet1!$A$1:$J$1,0))</f>
        <v>Cameron</v>
      </c>
      <c r="M305">
        <f>INDEX(Sheet1!$A:$J,MATCH('index match'!$K305,Sheet1!$C:$C,0),MATCH('index match'!M$2,Sheet1!$A$1:$J$1,0))</f>
        <v>5</v>
      </c>
      <c r="N305" t="str">
        <f>INDEX(Sheet1!$A:$J,MATCH('index match'!$K305,Sheet1!$C:$C,0),MATCH('index match'!N$2,Sheet1!$A$1:$J$1,0))</f>
        <v>Middle Age</v>
      </c>
    </row>
    <row r="306" spans="4:14" x14ac:dyDescent="0.25">
      <c r="D306" t="str">
        <v>Daryl Turner</v>
      </c>
      <c r="E306" t="str">
        <f>INDEX(Sheet1!$A:$J,MATCH('index match'!$D306,Sheet1!$C:$C,0),MATCH('index match'!E$2,Sheet1!$1:$1,0))</f>
        <v>Turner</v>
      </c>
      <c r="F306">
        <f>INDEX(Sheet1!$A:$J,MATCH('index match'!$D306,Sheet1!$C:$C,0),MATCH('index match'!F$2,Sheet1!$1:$1,0))</f>
        <v>0</v>
      </c>
      <c r="G306" t="str">
        <f>INDEX(Sheet1!$A:$J,MATCH('index match'!$D306,Sheet1!$C:$C,0),MATCH('index match'!G$2,Sheet1!$1:$1,0))</f>
        <v>Middle Age</v>
      </c>
      <c r="K306" t="str">
        <v>Naomi Payne</v>
      </c>
      <c r="L306" t="str">
        <f>INDEX(Sheet1!$A:$J,MATCH('index match'!$K306,Sheet1!$C:$C,0),MATCH('index match'!L$2,Sheet1!$A$1:$J$1,0))</f>
        <v>Payne</v>
      </c>
      <c r="M306">
        <f>INDEX(Sheet1!$A:$J,MATCH('index match'!$K306,Sheet1!$C:$C,0),MATCH('index match'!M$2,Sheet1!$A$1:$J$1,0))</f>
        <v>0</v>
      </c>
      <c r="N306" t="str">
        <f>INDEX(Sheet1!$A:$J,MATCH('index match'!$K306,Sheet1!$C:$C,0),MATCH('index match'!N$2,Sheet1!$A$1:$J$1,0))</f>
        <v>Old</v>
      </c>
    </row>
    <row r="307" spans="4:14" x14ac:dyDescent="0.25">
      <c r="D307" t="str">
        <v>Oscar Cunningham</v>
      </c>
      <c r="E307" t="str">
        <f>INDEX(Sheet1!$A:$J,MATCH('index match'!$D307,Sheet1!$C:$C,0),MATCH('index match'!E$2,Sheet1!$1:$1,0))</f>
        <v>Cunningham</v>
      </c>
      <c r="F307">
        <f>INDEX(Sheet1!$A:$J,MATCH('index match'!$D307,Sheet1!$C:$C,0),MATCH('index match'!F$2,Sheet1!$1:$1,0))</f>
        <v>3</v>
      </c>
      <c r="G307" t="str">
        <f>INDEX(Sheet1!$A:$J,MATCH('index match'!$D307,Sheet1!$C:$C,0),MATCH('index match'!G$2,Sheet1!$1:$1,0))</f>
        <v>Young</v>
      </c>
      <c r="K307" t="str">
        <v>Mary Richards</v>
      </c>
      <c r="L307" t="str">
        <f>INDEX(Sheet1!$A:$J,MATCH('index match'!$K307,Sheet1!$C:$C,0),MATCH('index match'!L$2,Sheet1!$A$1:$J$1,0))</f>
        <v>Richards</v>
      </c>
      <c r="M307">
        <f>INDEX(Sheet1!$A:$J,MATCH('index match'!$K307,Sheet1!$C:$C,0),MATCH('index match'!M$2,Sheet1!$A$1:$J$1,0))</f>
        <v>2</v>
      </c>
      <c r="N307" t="str">
        <f>INDEX(Sheet1!$A:$J,MATCH('index match'!$K307,Sheet1!$C:$C,0),MATCH('index match'!N$2,Sheet1!$A$1:$J$1,0))</f>
        <v>Old</v>
      </c>
    </row>
    <row r="308" spans="4:14" x14ac:dyDescent="0.25">
      <c r="D308" t="str">
        <v>Rubie Warren</v>
      </c>
      <c r="E308" t="str">
        <f>INDEX(Sheet1!$A:$J,MATCH('index match'!$D308,Sheet1!$C:$C,0),MATCH('index match'!E$2,Sheet1!$1:$1,0))</f>
        <v>Warren</v>
      </c>
      <c r="F308">
        <f>INDEX(Sheet1!$A:$J,MATCH('index match'!$D308,Sheet1!$C:$C,0),MATCH('index match'!F$2,Sheet1!$1:$1,0))</f>
        <v>1</v>
      </c>
      <c r="G308" t="str">
        <f>INDEX(Sheet1!$A:$J,MATCH('index match'!$D308,Sheet1!$C:$C,0),MATCH('index match'!G$2,Sheet1!$1:$1,0))</f>
        <v>Old</v>
      </c>
      <c r="K308" t="str">
        <v>Sabrina Higgins</v>
      </c>
      <c r="L308" t="str">
        <f>INDEX(Sheet1!$A:$J,MATCH('index match'!$K308,Sheet1!$C:$C,0),MATCH('index match'!L$2,Sheet1!$A$1:$J$1,0))</f>
        <v>Higgins</v>
      </c>
      <c r="M308">
        <f>INDEX(Sheet1!$A:$J,MATCH('index match'!$K308,Sheet1!$C:$C,0),MATCH('index match'!M$2,Sheet1!$A$1:$J$1,0))</f>
        <v>1</v>
      </c>
      <c r="N308" t="str">
        <f>INDEX(Sheet1!$A:$J,MATCH('index match'!$K308,Sheet1!$C:$C,0),MATCH('index match'!N$2,Sheet1!$A$1:$J$1,0))</f>
        <v>Old</v>
      </c>
    </row>
    <row r="309" spans="4:14" x14ac:dyDescent="0.25">
      <c r="D309" t="str">
        <v>Alissa Jones</v>
      </c>
      <c r="E309" t="str">
        <f>INDEX(Sheet1!$A:$J,MATCH('index match'!$D309,Sheet1!$C:$C,0),MATCH('index match'!E$2,Sheet1!$1:$1,0))</f>
        <v>Jones</v>
      </c>
      <c r="F309">
        <f>INDEX(Sheet1!$A:$J,MATCH('index match'!$D309,Sheet1!$C:$C,0),MATCH('index match'!F$2,Sheet1!$1:$1,0))</f>
        <v>2</v>
      </c>
      <c r="G309" t="str">
        <f>INDEX(Sheet1!$A:$J,MATCH('index match'!$D309,Sheet1!$C:$C,0),MATCH('index match'!G$2,Sheet1!$1:$1,0))</f>
        <v>Middle Age</v>
      </c>
      <c r="K309" t="str">
        <v>Jordan Montgomery</v>
      </c>
      <c r="L309" t="str">
        <f>INDEX(Sheet1!$A:$J,MATCH('index match'!$K309,Sheet1!$C:$C,0),MATCH('index match'!L$2,Sheet1!$A$1:$J$1,0))</f>
        <v>Montgomery</v>
      </c>
      <c r="M309">
        <f>INDEX(Sheet1!$A:$J,MATCH('index match'!$K309,Sheet1!$C:$C,0),MATCH('index match'!M$2,Sheet1!$A$1:$J$1,0))</f>
        <v>0</v>
      </c>
      <c r="N309" t="str">
        <f>INDEX(Sheet1!$A:$J,MATCH('index match'!$K309,Sheet1!$C:$C,0),MATCH('index match'!N$2,Sheet1!$A$1:$J$1,0))</f>
        <v>Old</v>
      </c>
    </row>
    <row r="310" spans="4:14" x14ac:dyDescent="0.25">
      <c r="D310" t="str">
        <v>Jenna Barnes</v>
      </c>
      <c r="E310" t="str">
        <f>INDEX(Sheet1!$A:$J,MATCH('index match'!$D310,Sheet1!$C:$C,0),MATCH('index match'!E$2,Sheet1!$1:$1,0))</f>
        <v>Barnes</v>
      </c>
      <c r="F310">
        <f>INDEX(Sheet1!$A:$J,MATCH('index match'!$D310,Sheet1!$C:$C,0),MATCH('index match'!F$2,Sheet1!$1:$1,0))</f>
        <v>1</v>
      </c>
      <c r="G310" t="str">
        <f>INDEX(Sheet1!$A:$J,MATCH('index match'!$D310,Sheet1!$C:$C,0),MATCH('index match'!G$2,Sheet1!$1:$1,0))</f>
        <v>Young</v>
      </c>
      <c r="K310" t="str">
        <v>Honey Crawford</v>
      </c>
      <c r="L310" t="str">
        <f>INDEX(Sheet1!$A:$J,MATCH('index match'!$K310,Sheet1!$C:$C,0),MATCH('index match'!L$2,Sheet1!$A$1:$J$1,0))</f>
        <v>Crawford</v>
      </c>
      <c r="M310">
        <f>INDEX(Sheet1!$A:$J,MATCH('index match'!$K310,Sheet1!$C:$C,0),MATCH('index match'!M$2,Sheet1!$A$1:$J$1,0))</f>
        <v>1</v>
      </c>
      <c r="N310" t="str">
        <f>INDEX(Sheet1!$A:$J,MATCH('index match'!$K310,Sheet1!$C:$C,0),MATCH('index match'!N$2,Sheet1!$A$1:$J$1,0))</f>
        <v>Young</v>
      </c>
    </row>
    <row r="311" spans="4:14" x14ac:dyDescent="0.25">
      <c r="D311" t="str">
        <v>Evelyn Dixon</v>
      </c>
      <c r="E311" t="str">
        <f>INDEX(Sheet1!$A:$J,MATCH('index match'!$D311,Sheet1!$C:$C,0),MATCH('index match'!E$2,Sheet1!$1:$1,0))</f>
        <v>Dixon</v>
      </c>
      <c r="F311">
        <f>INDEX(Sheet1!$A:$J,MATCH('index match'!$D311,Sheet1!$C:$C,0),MATCH('index match'!F$2,Sheet1!$1:$1,0))</f>
        <v>4</v>
      </c>
      <c r="G311" t="str">
        <f>INDEX(Sheet1!$A:$J,MATCH('index match'!$D311,Sheet1!$C:$C,0),MATCH('index match'!G$2,Sheet1!$1:$1,0))</f>
        <v>Middle Age</v>
      </c>
      <c r="K311" t="str">
        <v>Mary Ellis</v>
      </c>
      <c r="L311" t="str">
        <f>INDEX(Sheet1!$A:$J,MATCH('index match'!$K311,Sheet1!$C:$C,0),MATCH('index match'!L$2,Sheet1!$A$1:$J$1,0))</f>
        <v>Ellis</v>
      </c>
      <c r="M311">
        <f>INDEX(Sheet1!$A:$J,MATCH('index match'!$K311,Sheet1!$C:$C,0),MATCH('index match'!M$2,Sheet1!$A$1:$J$1,0))</f>
        <v>2</v>
      </c>
      <c r="N311" t="str">
        <f>INDEX(Sheet1!$A:$J,MATCH('index match'!$K311,Sheet1!$C:$C,0),MATCH('index match'!N$2,Sheet1!$A$1:$J$1,0))</f>
        <v>Middle Age</v>
      </c>
    </row>
    <row r="312" spans="4:14" x14ac:dyDescent="0.25">
      <c r="D312" t="str">
        <v>Frederick Wilson</v>
      </c>
      <c r="E312" t="str">
        <f>INDEX(Sheet1!$A:$J,MATCH('index match'!$D312,Sheet1!$C:$C,0),MATCH('index match'!E$2,Sheet1!$1:$1,0))</f>
        <v>Wilson</v>
      </c>
      <c r="F312">
        <f>INDEX(Sheet1!$A:$J,MATCH('index match'!$D312,Sheet1!$C:$C,0),MATCH('index match'!F$2,Sheet1!$1:$1,0))</f>
        <v>2</v>
      </c>
      <c r="G312" t="str">
        <f>INDEX(Sheet1!$A:$J,MATCH('index match'!$D312,Sheet1!$C:$C,0),MATCH('index match'!G$2,Sheet1!$1:$1,0))</f>
        <v>Old</v>
      </c>
      <c r="K312" t="str">
        <v>Alissa Perkins</v>
      </c>
      <c r="L312" t="str">
        <f>INDEX(Sheet1!$A:$J,MATCH('index match'!$K312,Sheet1!$C:$C,0),MATCH('index match'!L$2,Sheet1!$A$1:$J$1,0))</f>
        <v>Perkins</v>
      </c>
      <c r="M312">
        <f>INDEX(Sheet1!$A:$J,MATCH('index match'!$K312,Sheet1!$C:$C,0),MATCH('index match'!M$2,Sheet1!$A$1:$J$1,0))</f>
        <v>4</v>
      </c>
      <c r="N312" t="str">
        <f>INDEX(Sheet1!$A:$J,MATCH('index match'!$K312,Sheet1!$C:$C,0),MATCH('index match'!N$2,Sheet1!$A$1:$J$1,0))</f>
        <v>Young</v>
      </c>
    </row>
    <row r="313" spans="4:14" x14ac:dyDescent="0.25">
      <c r="D313" t="str">
        <v>Arianna Lloyd</v>
      </c>
      <c r="E313" t="str">
        <f>INDEX(Sheet1!$A:$J,MATCH('index match'!$D313,Sheet1!$C:$C,0),MATCH('index match'!E$2,Sheet1!$1:$1,0))</f>
        <v>Lloyd</v>
      </c>
      <c r="F313">
        <f>INDEX(Sheet1!$A:$J,MATCH('index match'!$D313,Sheet1!$C:$C,0),MATCH('index match'!F$2,Sheet1!$1:$1,0))</f>
        <v>5</v>
      </c>
      <c r="G313" t="str">
        <f>INDEX(Sheet1!$A:$J,MATCH('index match'!$D313,Sheet1!$C:$C,0),MATCH('index match'!G$2,Sheet1!$1:$1,0))</f>
        <v>Old</v>
      </c>
      <c r="K313" t="str">
        <v>Caroline Rogers</v>
      </c>
      <c r="L313" t="str">
        <f>INDEX(Sheet1!$A:$J,MATCH('index match'!$K313,Sheet1!$C:$C,0),MATCH('index match'!L$2,Sheet1!$A$1:$J$1,0))</f>
        <v>Rogers</v>
      </c>
      <c r="M313">
        <f>INDEX(Sheet1!$A:$J,MATCH('index match'!$K313,Sheet1!$C:$C,0),MATCH('index match'!M$2,Sheet1!$A$1:$J$1,0))</f>
        <v>3</v>
      </c>
      <c r="N313" t="str">
        <f>INDEX(Sheet1!$A:$J,MATCH('index match'!$K313,Sheet1!$C:$C,0),MATCH('index match'!N$2,Sheet1!$A$1:$J$1,0))</f>
        <v>Young</v>
      </c>
    </row>
    <row r="314" spans="4:14" x14ac:dyDescent="0.25">
      <c r="D314" t="str">
        <v>Nicole Rogers</v>
      </c>
      <c r="E314" t="str">
        <f>INDEX(Sheet1!$A:$J,MATCH('index match'!$D314,Sheet1!$C:$C,0),MATCH('index match'!E$2,Sheet1!$1:$1,0))</f>
        <v>Rogers</v>
      </c>
      <c r="F314">
        <f>INDEX(Sheet1!$A:$J,MATCH('index match'!$D314,Sheet1!$C:$C,0),MATCH('index match'!F$2,Sheet1!$1:$1,0))</f>
        <v>4</v>
      </c>
      <c r="G314" t="str">
        <f>INDEX(Sheet1!$A:$J,MATCH('index match'!$D314,Sheet1!$C:$C,0),MATCH('index match'!G$2,Sheet1!$1:$1,0))</f>
        <v>Middle Age</v>
      </c>
      <c r="K314" t="str">
        <v>Edgar Higgins</v>
      </c>
      <c r="L314" t="str">
        <f>INDEX(Sheet1!$A:$J,MATCH('index match'!$K314,Sheet1!$C:$C,0),MATCH('index match'!L$2,Sheet1!$A$1:$J$1,0))</f>
        <v>Higgins</v>
      </c>
      <c r="M314">
        <f>INDEX(Sheet1!$A:$J,MATCH('index match'!$K314,Sheet1!$C:$C,0),MATCH('index match'!M$2,Sheet1!$A$1:$J$1,0))</f>
        <v>2</v>
      </c>
      <c r="N314" t="str">
        <f>INDEX(Sheet1!$A:$J,MATCH('index match'!$K314,Sheet1!$C:$C,0),MATCH('index match'!N$2,Sheet1!$A$1:$J$1,0))</f>
        <v>Young</v>
      </c>
    </row>
    <row r="315" spans="4:14" x14ac:dyDescent="0.25">
      <c r="D315" t="str">
        <v>Eleanor Wells</v>
      </c>
      <c r="E315" t="str">
        <f>INDEX(Sheet1!$A:$J,MATCH('index match'!$D315,Sheet1!$C:$C,0),MATCH('index match'!E$2,Sheet1!$1:$1,0))</f>
        <v>Wells</v>
      </c>
      <c r="F315">
        <f>INDEX(Sheet1!$A:$J,MATCH('index match'!$D315,Sheet1!$C:$C,0),MATCH('index match'!F$2,Sheet1!$1:$1,0))</f>
        <v>0</v>
      </c>
      <c r="G315" t="str">
        <f>INDEX(Sheet1!$A:$J,MATCH('index match'!$D315,Sheet1!$C:$C,0),MATCH('index match'!G$2,Sheet1!$1:$1,0))</f>
        <v>Young</v>
      </c>
      <c r="K315" t="str">
        <v>Jasmine Martin</v>
      </c>
      <c r="L315" t="str">
        <f>INDEX(Sheet1!$A:$J,MATCH('index match'!$K315,Sheet1!$C:$C,0),MATCH('index match'!L$2,Sheet1!$A$1:$J$1,0))</f>
        <v>Martin</v>
      </c>
      <c r="M315">
        <f>INDEX(Sheet1!$A:$J,MATCH('index match'!$K315,Sheet1!$C:$C,0),MATCH('index match'!M$2,Sheet1!$A$1:$J$1,0))</f>
        <v>2</v>
      </c>
      <c r="N315" t="str">
        <f>INDEX(Sheet1!$A:$J,MATCH('index match'!$K315,Sheet1!$C:$C,0),MATCH('index match'!N$2,Sheet1!$A$1:$J$1,0))</f>
        <v>Middle Age</v>
      </c>
    </row>
    <row r="316" spans="4:14" x14ac:dyDescent="0.25">
      <c r="D316" t="str">
        <v>Kimberly Morrison</v>
      </c>
      <c r="E316" t="str">
        <f>INDEX(Sheet1!$A:$J,MATCH('index match'!$D316,Sheet1!$C:$C,0),MATCH('index match'!E$2,Sheet1!$1:$1,0))</f>
        <v>Morrison</v>
      </c>
      <c r="F316">
        <f>INDEX(Sheet1!$A:$J,MATCH('index match'!$D316,Sheet1!$C:$C,0),MATCH('index match'!F$2,Sheet1!$1:$1,0))</f>
        <v>3</v>
      </c>
      <c r="G316" t="str">
        <f>INDEX(Sheet1!$A:$J,MATCH('index match'!$D316,Sheet1!$C:$C,0),MATCH('index match'!G$2,Sheet1!$1:$1,0))</f>
        <v>Middle Age</v>
      </c>
      <c r="K316" t="str">
        <v>Tara Miller</v>
      </c>
      <c r="L316" t="str">
        <f>INDEX(Sheet1!$A:$J,MATCH('index match'!$K316,Sheet1!$C:$C,0),MATCH('index match'!L$2,Sheet1!$A$1:$J$1,0))</f>
        <v>Miller</v>
      </c>
      <c r="M316">
        <f>INDEX(Sheet1!$A:$J,MATCH('index match'!$K316,Sheet1!$C:$C,0),MATCH('index match'!M$2,Sheet1!$A$1:$J$1,0))</f>
        <v>0</v>
      </c>
      <c r="N316" t="str">
        <f>INDEX(Sheet1!$A:$J,MATCH('index match'!$K316,Sheet1!$C:$C,0),MATCH('index match'!N$2,Sheet1!$A$1:$J$1,0))</f>
        <v>Young</v>
      </c>
    </row>
    <row r="317" spans="4:14" x14ac:dyDescent="0.25">
      <c r="D317" t="str">
        <v>Patrick Bennett</v>
      </c>
      <c r="E317" t="str">
        <f>INDEX(Sheet1!$A:$J,MATCH('index match'!$D317,Sheet1!$C:$C,0),MATCH('index match'!E$2,Sheet1!$1:$1,0))</f>
        <v>Bennett</v>
      </c>
      <c r="F317">
        <f>INDEX(Sheet1!$A:$J,MATCH('index match'!$D317,Sheet1!$C:$C,0),MATCH('index match'!F$2,Sheet1!$1:$1,0))</f>
        <v>3</v>
      </c>
      <c r="G317" t="str">
        <f>INDEX(Sheet1!$A:$J,MATCH('index match'!$D317,Sheet1!$C:$C,0),MATCH('index match'!G$2,Sheet1!$1:$1,0))</f>
        <v>Young</v>
      </c>
      <c r="K317" t="str">
        <v>Charlotte Warren</v>
      </c>
      <c r="L317" t="str">
        <f>INDEX(Sheet1!$A:$J,MATCH('index match'!$K317,Sheet1!$C:$C,0),MATCH('index match'!L$2,Sheet1!$A$1:$J$1,0))</f>
        <v>Warren</v>
      </c>
      <c r="M317">
        <f>INDEX(Sheet1!$A:$J,MATCH('index match'!$K317,Sheet1!$C:$C,0),MATCH('index match'!M$2,Sheet1!$A$1:$J$1,0))</f>
        <v>3</v>
      </c>
      <c r="N317" t="str">
        <f>INDEX(Sheet1!$A:$J,MATCH('index match'!$K317,Sheet1!$C:$C,0),MATCH('index match'!N$2,Sheet1!$A$1:$J$1,0))</f>
        <v>Young</v>
      </c>
    </row>
    <row r="318" spans="4:14" x14ac:dyDescent="0.25">
      <c r="D318" t="str">
        <v>Tess Baker</v>
      </c>
      <c r="E318" t="str">
        <f>INDEX(Sheet1!$A:$J,MATCH('index match'!$D318,Sheet1!$C:$C,0),MATCH('index match'!E$2,Sheet1!$1:$1,0))</f>
        <v>Baker</v>
      </c>
      <c r="F318">
        <f>INDEX(Sheet1!$A:$J,MATCH('index match'!$D318,Sheet1!$C:$C,0),MATCH('index match'!F$2,Sheet1!$1:$1,0))</f>
        <v>3</v>
      </c>
      <c r="G318" t="str">
        <f>INDEX(Sheet1!$A:$J,MATCH('index match'!$D318,Sheet1!$C:$C,0),MATCH('index match'!G$2,Sheet1!$1:$1,0))</f>
        <v>Young</v>
      </c>
      <c r="K318" t="str">
        <v>John Edwards</v>
      </c>
      <c r="L318" t="str">
        <f>INDEX(Sheet1!$A:$J,MATCH('index match'!$K318,Sheet1!$C:$C,0),MATCH('index match'!L$2,Sheet1!$A$1:$J$1,0))</f>
        <v>Edwards</v>
      </c>
      <c r="M318">
        <f>INDEX(Sheet1!$A:$J,MATCH('index match'!$K318,Sheet1!$C:$C,0),MATCH('index match'!M$2,Sheet1!$A$1:$J$1,0))</f>
        <v>5</v>
      </c>
      <c r="N318" t="str">
        <f>INDEX(Sheet1!$A:$J,MATCH('index match'!$K318,Sheet1!$C:$C,0),MATCH('index match'!N$2,Sheet1!$A$1:$J$1,0))</f>
        <v>Middle Age</v>
      </c>
    </row>
    <row r="319" spans="4:14" x14ac:dyDescent="0.25">
      <c r="D319" t="str">
        <v>Lilianna Holmes</v>
      </c>
      <c r="E319" t="str">
        <f>INDEX(Sheet1!$A:$J,MATCH('index match'!$D319,Sheet1!$C:$C,0),MATCH('index match'!E$2,Sheet1!$1:$1,0))</f>
        <v>Holmes</v>
      </c>
      <c r="F319">
        <f>INDEX(Sheet1!$A:$J,MATCH('index match'!$D319,Sheet1!$C:$C,0),MATCH('index match'!F$2,Sheet1!$1:$1,0))</f>
        <v>3</v>
      </c>
      <c r="G319" t="str">
        <f>INDEX(Sheet1!$A:$J,MATCH('index match'!$D319,Sheet1!$C:$C,0),MATCH('index match'!G$2,Sheet1!$1:$1,0))</f>
        <v>Young</v>
      </c>
      <c r="K319" t="str">
        <v>Robert Morrison</v>
      </c>
      <c r="L319" t="str">
        <f>INDEX(Sheet1!$A:$J,MATCH('index match'!$K319,Sheet1!$C:$C,0),MATCH('index match'!L$2,Sheet1!$A$1:$J$1,0))</f>
        <v>Morrison</v>
      </c>
      <c r="M319">
        <f>INDEX(Sheet1!$A:$J,MATCH('index match'!$K319,Sheet1!$C:$C,0),MATCH('index match'!M$2,Sheet1!$A$1:$J$1,0))</f>
        <v>3</v>
      </c>
      <c r="N319" t="str">
        <f>INDEX(Sheet1!$A:$J,MATCH('index match'!$K319,Sheet1!$C:$C,0),MATCH('index match'!N$2,Sheet1!$A$1:$J$1,0))</f>
        <v>Old</v>
      </c>
    </row>
    <row r="320" spans="4:14" x14ac:dyDescent="0.25">
      <c r="D320" t="str">
        <v>Penelope Parker</v>
      </c>
      <c r="E320" t="str">
        <f>INDEX(Sheet1!$A:$J,MATCH('index match'!$D320,Sheet1!$C:$C,0),MATCH('index match'!E$2,Sheet1!$1:$1,0))</f>
        <v>Parker</v>
      </c>
      <c r="F320">
        <f>INDEX(Sheet1!$A:$J,MATCH('index match'!$D320,Sheet1!$C:$C,0),MATCH('index match'!F$2,Sheet1!$1:$1,0))</f>
        <v>5</v>
      </c>
      <c r="G320" t="str">
        <f>INDEX(Sheet1!$A:$J,MATCH('index match'!$D320,Sheet1!$C:$C,0),MATCH('index match'!G$2,Sheet1!$1:$1,0))</f>
        <v>Young</v>
      </c>
      <c r="K320" t="str">
        <v>Haris Elliott</v>
      </c>
      <c r="L320" t="str">
        <f>INDEX(Sheet1!$A:$J,MATCH('index match'!$K320,Sheet1!$C:$C,0),MATCH('index match'!L$2,Sheet1!$A$1:$J$1,0))</f>
        <v>Elliott</v>
      </c>
      <c r="M320">
        <f>INDEX(Sheet1!$A:$J,MATCH('index match'!$K320,Sheet1!$C:$C,0),MATCH('index match'!M$2,Sheet1!$A$1:$J$1,0))</f>
        <v>1</v>
      </c>
      <c r="N320" t="str">
        <f>INDEX(Sheet1!$A:$J,MATCH('index match'!$K320,Sheet1!$C:$C,0),MATCH('index match'!N$2,Sheet1!$A$1:$J$1,0))</f>
        <v>Old</v>
      </c>
    </row>
    <row r="321" spans="4:14" x14ac:dyDescent="0.25">
      <c r="D321" t="str">
        <v>Miley Perkins</v>
      </c>
      <c r="E321" t="str">
        <f>INDEX(Sheet1!$A:$J,MATCH('index match'!$D321,Sheet1!$C:$C,0),MATCH('index match'!E$2,Sheet1!$1:$1,0))</f>
        <v>Perkins</v>
      </c>
      <c r="F321">
        <f>INDEX(Sheet1!$A:$J,MATCH('index match'!$D321,Sheet1!$C:$C,0),MATCH('index match'!F$2,Sheet1!$1:$1,0))</f>
        <v>5</v>
      </c>
      <c r="G321" t="str">
        <f>INDEX(Sheet1!$A:$J,MATCH('index match'!$D321,Sheet1!$C:$C,0),MATCH('index match'!G$2,Sheet1!$1:$1,0))</f>
        <v>Middle Age</v>
      </c>
      <c r="K321" t="str">
        <v>Lily Williams</v>
      </c>
      <c r="L321" t="str">
        <f>INDEX(Sheet1!$A:$J,MATCH('index match'!$K321,Sheet1!$C:$C,0),MATCH('index match'!L$2,Sheet1!$A$1:$J$1,0))</f>
        <v>Williams</v>
      </c>
      <c r="M321">
        <f>INDEX(Sheet1!$A:$J,MATCH('index match'!$K321,Sheet1!$C:$C,0),MATCH('index match'!M$2,Sheet1!$A$1:$J$1,0))</f>
        <v>0</v>
      </c>
      <c r="N321" t="str">
        <f>INDEX(Sheet1!$A:$J,MATCH('index match'!$K321,Sheet1!$C:$C,0),MATCH('index match'!N$2,Sheet1!$A$1:$J$1,0))</f>
        <v>Young</v>
      </c>
    </row>
    <row r="322" spans="4:14" x14ac:dyDescent="0.25">
      <c r="D322" t="str">
        <v>Harold Kelly</v>
      </c>
      <c r="E322" t="str">
        <f>INDEX(Sheet1!$A:$J,MATCH('index match'!$D322,Sheet1!$C:$C,0),MATCH('index match'!E$2,Sheet1!$1:$1,0))</f>
        <v>Kelly</v>
      </c>
      <c r="F322">
        <f>INDEX(Sheet1!$A:$J,MATCH('index match'!$D322,Sheet1!$C:$C,0),MATCH('index match'!F$2,Sheet1!$1:$1,0))</f>
        <v>3</v>
      </c>
      <c r="G322" t="str">
        <f>INDEX(Sheet1!$A:$J,MATCH('index match'!$D322,Sheet1!$C:$C,0),MATCH('index match'!G$2,Sheet1!$1:$1,0))</f>
        <v>Young</v>
      </c>
      <c r="K322" t="str">
        <v>Kristian Walker</v>
      </c>
      <c r="L322" t="str">
        <f>INDEX(Sheet1!$A:$J,MATCH('index match'!$K322,Sheet1!$C:$C,0),MATCH('index match'!L$2,Sheet1!$A$1:$J$1,0))</f>
        <v>Walker</v>
      </c>
      <c r="M322">
        <f>INDEX(Sheet1!$A:$J,MATCH('index match'!$K322,Sheet1!$C:$C,0),MATCH('index match'!M$2,Sheet1!$A$1:$J$1,0))</f>
        <v>1</v>
      </c>
      <c r="N322" t="str">
        <f>INDEX(Sheet1!$A:$J,MATCH('index match'!$K322,Sheet1!$C:$C,0),MATCH('index match'!N$2,Sheet1!$A$1:$J$1,0))</f>
        <v>Old</v>
      </c>
    </row>
    <row r="323" spans="4:14" x14ac:dyDescent="0.25">
      <c r="D323" t="str">
        <v>Albert Ryan</v>
      </c>
      <c r="E323" t="str">
        <f>INDEX(Sheet1!$A:$J,MATCH('index match'!$D323,Sheet1!$C:$C,0),MATCH('index match'!E$2,Sheet1!$1:$1,0))</f>
        <v>Ryan</v>
      </c>
      <c r="F323">
        <f>INDEX(Sheet1!$A:$J,MATCH('index match'!$D323,Sheet1!$C:$C,0),MATCH('index match'!F$2,Sheet1!$1:$1,0))</f>
        <v>1</v>
      </c>
      <c r="G323" t="str">
        <f>INDEX(Sheet1!$A:$J,MATCH('index match'!$D323,Sheet1!$C:$C,0),MATCH('index match'!G$2,Sheet1!$1:$1,0))</f>
        <v>Young</v>
      </c>
      <c r="K323" t="str">
        <v>Tara Richardson</v>
      </c>
      <c r="L323" t="str">
        <f>INDEX(Sheet1!$A:$J,MATCH('index match'!$K323,Sheet1!$C:$C,0),MATCH('index match'!L$2,Sheet1!$A$1:$J$1,0))</f>
        <v>Richardson</v>
      </c>
      <c r="M323">
        <f>INDEX(Sheet1!$A:$J,MATCH('index match'!$K323,Sheet1!$C:$C,0),MATCH('index match'!M$2,Sheet1!$A$1:$J$1,0))</f>
        <v>3</v>
      </c>
      <c r="N323" t="str">
        <f>INDEX(Sheet1!$A:$J,MATCH('index match'!$K323,Sheet1!$C:$C,0),MATCH('index match'!N$2,Sheet1!$A$1:$J$1,0))</f>
        <v>Old</v>
      </c>
    </row>
    <row r="324" spans="4:14" x14ac:dyDescent="0.25">
      <c r="D324" t="str">
        <v>Kirsten Stevens</v>
      </c>
      <c r="E324" t="str">
        <f>INDEX(Sheet1!$A:$J,MATCH('index match'!$D324,Sheet1!$C:$C,0),MATCH('index match'!E$2,Sheet1!$1:$1,0))</f>
        <v>Stevens</v>
      </c>
      <c r="F324">
        <f>INDEX(Sheet1!$A:$J,MATCH('index match'!$D324,Sheet1!$C:$C,0),MATCH('index match'!F$2,Sheet1!$1:$1,0))</f>
        <v>3</v>
      </c>
      <c r="G324" t="str">
        <f>INDEX(Sheet1!$A:$J,MATCH('index match'!$D324,Sheet1!$C:$C,0),MATCH('index match'!G$2,Sheet1!$1:$1,0))</f>
        <v>Middle Age</v>
      </c>
      <c r="K324" t="str">
        <v>Ned Farrell</v>
      </c>
      <c r="L324" t="str">
        <f>INDEX(Sheet1!$A:$J,MATCH('index match'!$K324,Sheet1!$C:$C,0),MATCH('index match'!L$2,Sheet1!$A$1:$J$1,0))</f>
        <v>Farrell</v>
      </c>
      <c r="M324">
        <f>INDEX(Sheet1!$A:$J,MATCH('index match'!$K324,Sheet1!$C:$C,0),MATCH('index match'!M$2,Sheet1!$A$1:$J$1,0))</f>
        <v>0</v>
      </c>
      <c r="N324" t="str">
        <f>INDEX(Sheet1!$A:$J,MATCH('index match'!$K324,Sheet1!$C:$C,0),MATCH('index match'!N$2,Sheet1!$A$1:$J$1,0))</f>
        <v>Old</v>
      </c>
    </row>
    <row r="325" spans="4:14" x14ac:dyDescent="0.25">
      <c r="D325" t="str">
        <v>Melanie Reed</v>
      </c>
      <c r="E325" t="str">
        <f>INDEX(Sheet1!$A:$J,MATCH('index match'!$D325,Sheet1!$C:$C,0),MATCH('index match'!E$2,Sheet1!$1:$1,0))</f>
        <v>Reed</v>
      </c>
      <c r="F325">
        <f>INDEX(Sheet1!$A:$J,MATCH('index match'!$D325,Sheet1!$C:$C,0),MATCH('index match'!F$2,Sheet1!$1:$1,0))</f>
        <v>4</v>
      </c>
      <c r="G325" t="str">
        <f>INDEX(Sheet1!$A:$J,MATCH('index match'!$D325,Sheet1!$C:$C,0),MATCH('index match'!G$2,Sheet1!$1:$1,0))</f>
        <v>Young</v>
      </c>
      <c r="K325" t="str">
        <v>Clark Hawkins</v>
      </c>
      <c r="L325" t="str">
        <f>INDEX(Sheet1!$A:$J,MATCH('index match'!$K325,Sheet1!$C:$C,0),MATCH('index match'!L$2,Sheet1!$A$1:$J$1,0))</f>
        <v>Hawkins</v>
      </c>
      <c r="M325">
        <f>INDEX(Sheet1!$A:$J,MATCH('index match'!$K325,Sheet1!$C:$C,0),MATCH('index match'!M$2,Sheet1!$A$1:$J$1,0))</f>
        <v>2</v>
      </c>
      <c r="N325" t="str">
        <f>INDEX(Sheet1!$A:$J,MATCH('index match'!$K325,Sheet1!$C:$C,0),MATCH('index match'!N$2,Sheet1!$A$1:$J$1,0))</f>
        <v>Old</v>
      </c>
    </row>
    <row r="326" spans="4:14" x14ac:dyDescent="0.25">
      <c r="D326" t="str">
        <v>Carina Johnston</v>
      </c>
      <c r="E326" t="str">
        <f>INDEX(Sheet1!$A:$J,MATCH('index match'!$D326,Sheet1!$C:$C,0),MATCH('index match'!E$2,Sheet1!$1:$1,0))</f>
        <v>Johnston</v>
      </c>
      <c r="F326">
        <f>INDEX(Sheet1!$A:$J,MATCH('index match'!$D326,Sheet1!$C:$C,0),MATCH('index match'!F$2,Sheet1!$1:$1,0))</f>
        <v>4</v>
      </c>
      <c r="G326" t="str">
        <f>INDEX(Sheet1!$A:$J,MATCH('index match'!$D326,Sheet1!$C:$C,0),MATCH('index match'!G$2,Sheet1!$1:$1,0))</f>
        <v>Middle Age</v>
      </c>
      <c r="K326" t="str">
        <v>Alfred Riley</v>
      </c>
      <c r="L326" t="str">
        <f>INDEX(Sheet1!$A:$J,MATCH('index match'!$K326,Sheet1!$C:$C,0),MATCH('index match'!L$2,Sheet1!$A$1:$J$1,0))</f>
        <v>Riley</v>
      </c>
      <c r="M326">
        <f>INDEX(Sheet1!$A:$J,MATCH('index match'!$K326,Sheet1!$C:$C,0),MATCH('index match'!M$2,Sheet1!$A$1:$J$1,0))</f>
        <v>2</v>
      </c>
      <c r="N326" t="str">
        <f>INDEX(Sheet1!$A:$J,MATCH('index match'!$K326,Sheet1!$C:$C,0),MATCH('index match'!N$2,Sheet1!$A$1:$J$1,0))</f>
        <v>Middle Age</v>
      </c>
    </row>
    <row r="327" spans="4:14" x14ac:dyDescent="0.25">
      <c r="D327" t="str">
        <v>Sam Perry</v>
      </c>
      <c r="E327" t="str">
        <f>INDEX(Sheet1!$A:$J,MATCH('index match'!$D327,Sheet1!$C:$C,0),MATCH('index match'!E$2,Sheet1!$1:$1,0))</f>
        <v>Perry</v>
      </c>
      <c r="F327">
        <f>INDEX(Sheet1!$A:$J,MATCH('index match'!$D327,Sheet1!$C:$C,0),MATCH('index match'!F$2,Sheet1!$1:$1,0))</f>
        <v>4</v>
      </c>
      <c r="G327" t="str">
        <f>INDEX(Sheet1!$A:$J,MATCH('index match'!$D327,Sheet1!$C:$C,0),MATCH('index match'!G$2,Sheet1!$1:$1,0))</f>
        <v>Young</v>
      </c>
      <c r="K327" t="str">
        <v>Adison Bailey</v>
      </c>
      <c r="L327" t="str">
        <f>INDEX(Sheet1!$A:$J,MATCH('index match'!$K327,Sheet1!$C:$C,0),MATCH('index match'!L$2,Sheet1!$A$1:$J$1,0))</f>
        <v>Bailey</v>
      </c>
      <c r="M327">
        <f>INDEX(Sheet1!$A:$J,MATCH('index match'!$K327,Sheet1!$C:$C,0),MATCH('index match'!M$2,Sheet1!$A$1:$J$1,0))</f>
        <v>1</v>
      </c>
      <c r="N327" t="str">
        <f>INDEX(Sheet1!$A:$J,MATCH('index match'!$K327,Sheet1!$C:$C,0),MATCH('index match'!N$2,Sheet1!$A$1:$J$1,0))</f>
        <v>Middle Age</v>
      </c>
    </row>
    <row r="328" spans="4:14" x14ac:dyDescent="0.25">
      <c r="D328" t="str">
        <v>Edgar Owens</v>
      </c>
      <c r="E328" t="str">
        <f>INDEX(Sheet1!$A:$J,MATCH('index match'!$D328,Sheet1!$C:$C,0),MATCH('index match'!E$2,Sheet1!$1:$1,0))</f>
        <v>Owens</v>
      </c>
      <c r="F328">
        <f>INDEX(Sheet1!$A:$J,MATCH('index match'!$D328,Sheet1!$C:$C,0),MATCH('index match'!F$2,Sheet1!$1:$1,0))</f>
        <v>4</v>
      </c>
      <c r="G328" t="str">
        <f>INDEX(Sheet1!$A:$J,MATCH('index match'!$D328,Sheet1!$C:$C,0),MATCH('index match'!G$2,Sheet1!$1:$1,0))</f>
        <v>Middle Age</v>
      </c>
      <c r="K328" t="str">
        <v>Nicholas Evans</v>
      </c>
      <c r="L328" t="str">
        <f>INDEX(Sheet1!$A:$J,MATCH('index match'!$K328,Sheet1!$C:$C,0),MATCH('index match'!L$2,Sheet1!$A$1:$J$1,0))</f>
        <v>Evans</v>
      </c>
      <c r="M328">
        <f>INDEX(Sheet1!$A:$J,MATCH('index match'!$K328,Sheet1!$C:$C,0),MATCH('index match'!M$2,Sheet1!$A$1:$J$1,0))</f>
        <v>2</v>
      </c>
      <c r="N328" t="str">
        <f>INDEX(Sheet1!$A:$J,MATCH('index match'!$K328,Sheet1!$C:$C,0),MATCH('index match'!N$2,Sheet1!$A$1:$J$1,0))</f>
        <v>Young</v>
      </c>
    </row>
    <row r="329" spans="4:14" x14ac:dyDescent="0.25">
      <c r="D329" t="str">
        <v>Bruce Hall</v>
      </c>
      <c r="E329" t="str">
        <f>INDEX(Sheet1!$A:$J,MATCH('index match'!$D329,Sheet1!$C:$C,0),MATCH('index match'!E$2,Sheet1!$1:$1,0))</f>
        <v>Hall</v>
      </c>
      <c r="F329">
        <f>INDEX(Sheet1!$A:$J,MATCH('index match'!$D329,Sheet1!$C:$C,0),MATCH('index match'!F$2,Sheet1!$1:$1,0))</f>
        <v>3</v>
      </c>
      <c r="G329" t="str">
        <f>INDEX(Sheet1!$A:$J,MATCH('index match'!$D329,Sheet1!$C:$C,0),MATCH('index match'!G$2,Sheet1!$1:$1,0))</f>
        <v>Old</v>
      </c>
      <c r="K329" t="str">
        <v>Owen Barrett</v>
      </c>
      <c r="L329" t="str">
        <f>INDEX(Sheet1!$A:$J,MATCH('index match'!$K329,Sheet1!$C:$C,0),MATCH('index match'!L$2,Sheet1!$A$1:$J$1,0))</f>
        <v>Barrett</v>
      </c>
      <c r="M329">
        <f>INDEX(Sheet1!$A:$J,MATCH('index match'!$K329,Sheet1!$C:$C,0),MATCH('index match'!M$2,Sheet1!$A$1:$J$1,0))</f>
        <v>5</v>
      </c>
      <c r="N329" t="str">
        <f>INDEX(Sheet1!$A:$J,MATCH('index match'!$K329,Sheet1!$C:$C,0),MATCH('index match'!N$2,Sheet1!$A$1:$J$1,0))</f>
        <v>Middle Age</v>
      </c>
    </row>
    <row r="330" spans="4:14" x14ac:dyDescent="0.25">
      <c r="D330" t="str">
        <v>Leonardo Montgomery</v>
      </c>
      <c r="E330" t="str">
        <f>INDEX(Sheet1!$A:$J,MATCH('index match'!$D330,Sheet1!$C:$C,0),MATCH('index match'!E$2,Sheet1!$1:$1,0))</f>
        <v>Montgomery</v>
      </c>
      <c r="F330">
        <f>INDEX(Sheet1!$A:$J,MATCH('index match'!$D330,Sheet1!$C:$C,0),MATCH('index match'!F$2,Sheet1!$1:$1,0))</f>
        <v>5</v>
      </c>
      <c r="G330" t="str">
        <f>INDEX(Sheet1!$A:$J,MATCH('index match'!$D330,Sheet1!$C:$C,0),MATCH('index match'!G$2,Sheet1!$1:$1,0))</f>
        <v>Middle Age</v>
      </c>
      <c r="K330" t="str">
        <v>Ada Dixon</v>
      </c>
      <c r="L330" t="str">
        <f>INDEX(Sheet1!$A:$J,MATCH('index match'!$K330,Sheet1!$C:$C,0),MATCH('index match'!L$2,Sheet1!$A$1:$J$1,0))</f>
        <v>Dixon</v>
      </c>
      <c r="M330">
        <f>INDEX(Sheet1!$A:$J,MATCH('index match'!$K330,Sheet1!$C:$C,0),MATCH('index match'!M$2,Sheet1!$A$1:$J$1,0))</f>
        <v>3</v>
      </c>
      <c r="N330" t="str">
        <f>INDEX(Sheet1!$A:$J,MATCH('index match'!$K330,Sheet1!$C:$C,0),MATCH('index match'!N$2,Sheet1!$A$1:$J$1,0))</f>
        <v>Young</v>
      </c>
    </row>
    <row r="331" spans="4:14" x14ac:dyDescent="0.25">
      <c r="D331" t="str">
        <v>Chloe Sullivan</v>
      </c>
      <c r="E331" t="str">
        <f>INDEX(Sheet1!$A:$J,MATCH('index match'!$D331,Sheet1!$C:$C,0),MATCH('index match'!E$2,Sheet1!$1:$1,0))</f>
        <v>Sullivan</v>
      </c>
      <c r="F331">
        <f>INDEX(Sheet1!$A:$J,MATCH('index match'!$D331,Sheet1!$C:$C,0),MATCH('index match'!F$2,Sheet1!$1:$1,0))</f>
        <v>1</v>
      </c>
      <c r="G331" t="str">
        <f>INDEX(Sheet1!$A:$J,MATCH('index match'!$D331,Sheet1!$C:$C,0),MATCH('index match'!G$2,Sheet1!$1:$1,0))</f>
        <v>Young</v>
      </c>
      <c r="K331" t="str">
        <v>Antony West</v>
      </c>
      <c r="L331" t="str">
        <f>INDEX(Sheet1!$A:$J,MATCH('index match'!$K331,Sheet1!$C:$C,0),MATCH('index match'!L$2,Sheet1!$A$1:$J$1,0))</f>
        <v>West</v>
      </c>
      <c r="M331">
        <f>INDEX(Sheet1!$A:$J,MATCH('index match'!$K331,Sheet1!$C:$C,0),MATCH('index match'!M$2,Sheet1!$A$1:$J$1,0))</f>
        <v>1</v>
      </c>
      <c r="N331" t="str">
        <f>INDEX(Sheet1!$A:$J,MATCH('index match'!$K331,Sheet1!$C:$C,0),MATCH('index match'!N$2,Sheet1!$A$1:$J$1,0))</f>
        <v>Old</v>
      </c>
    </row>
    <row r="332" spans="4:14" x14ac:dyDescent="0.25">
      <c r="D332" t="str">
        <v>Wilson Stewart</v>
      </c>
      <c r="E332" t="str">
        <f>INDEX(Sheet1!$A:$J,MATCH('index match'!$D332,Sheet1!$C:$C,0),MATCH('index match'!E$2,Sheet1!$1:$1,0))</f>
        <v>Stewart</v>
      </c>
      <c r="F332">
        <f>INDEX(Sheet1!$A:$J,MATCH('index match'!$D332,Sheet1!$C:$C,0),MATCH('index match'!F$2,Sheet1!$1:$1,0))</f>
        <v>1</v>
      </c>
      <c r="G332" t="str">
        <f>INDEX(Sheet1!$A:$J,MATCH('index match'!$D332,Sheet1!$C:$C,0),MATCH('index match'!G$2,Sheet1!$1:$1,0))</f>
        <v>Middle Age</v>
      </c>
      <c r="K332" t="str">
        <v>Carina Clark</v>
      </c>
      <c r="L332" t="str">
        <f>INDEX(Sheet1!$A:$J,MATCH('index match'!$K332,Sheet1!$C:$C,0),MATCH('index match'!L$2,Sheet1!$A$1:$J$1,0))</f>
        <v>Clark</v>
      </c>
      <c r="M332">
        <f>INDEX(Sheet1!$A:$J,MATCH('index match'!$K332,Sheet1!$C:$C,0),MATCH('index match'!M$2,Sheet1!$A$1:$J$1,0))</f>
        <v>2</v>
      </c>
      <c r="N332" t="str">
        <f>INDEX(Sheet1!$A:$J,MATCH('index match'!$K332,Sheet1!$C:$C,0),MATCH('index match'!N$2,Sheet1!$A$1:$J$1,0))</f>
        <v>Old</v>
      </c>
    </row>
    <row r="333" spans="4:14" x14ac:dyDescent="0.25">
      <c r="D333" t="str">
        <v>Antony Mitchell</v>
      </c>
      <c r="E333" t="str">
        <f>INDEX(Sheet1!$A:$J,MATCH('index match'!$D333,Sheet1!$C:$C,0),MATCH('index match'!E$2,Sheet1!$1:$1,0))</f>
        <v>Mitchell</v>
      </c>
      <c r="F333">
        <f>INDEX(Sheet1!$A:$J,MATCH('index match'!$D333,Sheet1!$C:$C,0),MATCH('index match'!F$2,Sheet1!$1:$1,0))</f>
        <v>2</v>
      </c>
      <c r="G333" t="str">
        <f>INDEX(Sheet1!$A:$J,MATCH('index match'!$D333,Sheet1!$C:$C,0),MATCH('index match'!G$2,Sheet1!$1:$1,0))</f>
        <v>Middle Age</v>
      </c>
      <c r="K333" t="str">
        <v>Alford Hall</v>
      </c>
      <c r="L333" t="str">
        <f>INDEX(Sheet1!$A:$J,MATCH('index match'!$K333,Sheet1!$C:$C,0),MATCH('index match'!L$2,Sheet1!$A$1:$J$1,0))</f>
        <v>Hall</v>
      </c>
      <c r="M333">
        <f>INDEX(Sheet1!$A:$J,MATCH('index match'!$K333,Sheet1!$C:$C,0),MATCH('index match'!M$2,Sheet1!$A$1:$J$1,0))</f>
        <v>1</v>
      </c>
      <c r="N333" t="str">
        <f>INDEX(Sheet1!$A:$J,MATCH('index match'!$K333,Sheet1!$C:$C,0),MATCH('index match'!N$2,Sheet1!$A$1:$J$1,0))</f>
        <v>Old</v>
      </c>
    </row>
    <row r="334" spans="4:14" x14ac:dyDescent="0.25">
      <c r="D334" t="str">
        <v>Amanda Foster</v>
      </c>
      <c r="E334" t="str">
        <f>INDEX(Sheet1!$A:$J,MATCH('index match'!$D334,Sheet1!$C:$C,0),MATCH('index match'!E$2,Sheet1!$1:$1,0))</f>
        <v>Foster</v>
      </c>
      <c r="F334">
        <f>INDEX(Sheet1!$A:$J,MATCH('index match'!$D334,Sheet1!$C:$C,0),MATCH('index match'!F$2,Sheet1!$1:$1,0))</f>
        <v>3</v>
      </c>
      <c r="G334" t="str">
        <f>INDEX(Sheet1!$A:$J,MATCH('index match'!$D334,Sheet1!$C:$C,0),MATCH('index match'!G$2,Sheet1!$1:$1,0))</f>
        <v>Middle Age</v>
      </c>
      <c r="K334" t="str">
        <v>Lilianna Foster</v>
      </c>
      <c r="L334" t="str">
        <f>INDEX(Sheet1!$A:$J,MATCH('index match'!$K334,Sheet1!$C:$C,0),MATCH('index match'!L$2,Sheet1!$A$1:$J$1,0))</f>
        <v>Foster</v>
      </c>
      <c r="M334">
        <f>INDEX(Sheet1!$A:$J,MATCH('index match'!$K334,Sheet1!$C:$C,0),MATCH('index match'!M$2,Sheet1!$A$1:$J$1,0))</f>
        <v>4</v>
      </c>
      <c r="N334" t="str">
        <f>INDEX(Sheet1!$A:$J,MATCH('index match'!$K334,Sheet1!$C:$C,0),MATCH('index match'!N$2,Sheet1!$A$1:$J$1,0))</f>
        <v>Young</v>
      </c>
    </row>
    <row r="335" spans="4:14" x14ac:dyDescent="0.25">
      <c r="D335" t="str">
        <v>Lyndon Casey</v>
      </c>
      <c r="E335" t="str">
        <f>INDEX(Sheet1!$A:$J,MATCH('index match'!$D335,Sheet1!$C:$C,0),MATCH('index match'!E$2,Sheet1!$1:$1,0))</f>
        <v>Casey</v>
      </c>
      <c r="F335">
        <f>INDEX(Sheet1!$A:$J,MATCH('index match'!$D335,Sheet1!$C:$C,0),MATCH('index match'!F$2,Sheet1!$1:$1,0))</f>
        <v>4</v>
      </c>
      <c r="G335" t="str">
        <f>INDEX(Sheet1!$A:$J,MATCH('index match'!$D335,Sheet1!$C:$C,0),MATCH('index match'!G$2,Sheet1!$1:$1,0))</f>
        <v>Young</v>
      </c>
      <c r="K335" t="str">
        <v>Adrianna Kelley</v>
      </c>
      <c r="L335" t="str">
        <f>INDEX(Sheet1!$A:$J,MATCH('index match'!$K335,Sheet1!$C:$C,0),MATCH('index match'!L$2,Sheet1!$A$1:$J$1,0))</f>
        <v>Kelley</v>
      </c>
      <c r="M335">
        <f>INDEX(Sheet1!$A:$J,MATCH('index match'!$K335,Sheet1!$C:$C,0),MATCH('index match'!M$2,Sheet1!$A$1:$J$1,0))</f>
        <v>3</v>
      </c>
      <c r="N335" t="str">
        <f>INDEX(Sheet1!$A:$J,MATCH('index match'!$K335,Sheet1!$C:$C,0),MATCH('index match'!N$2,Sheet1!$A$1:$J$1,0))</f>
        <v>Middle Age</v>
      </c>
    </row>
    <row r="336" spans="4:14" x14ac:dyDescent="0.25">
      <c r="D336" t="str">
        <v>Nicholas Russell</v>
      </c>
      <c r="E336" t="str">
        <f>INDEX(Sheet1!$A:$J,MATCH('index match'!$D336,Sheet1!$C:$C,0),MATCH('index match'!E$2,Sheet1!$1:$1,0))</f>
        <v>Russell</v>
      </c>
      <c r="F336">
        <f>INDEX(Sheet1!$A:$J,MATCH('index match'!$D336,Sheet1!$C:$C,0),MATCH('index match'!F$2,Sheet1!$1:$1,0))</f>
        <v>4</v>
      </c>
      <c r="G336" t="str">
        <f>INDEX(Sheet1!$A:$J,MATCH('index match'!$D336,Sheet1!$C:$C,0),MATCH('index match'!G$2,Sheet1!$1:$1,0))</f>
        <v>Middle Age</v>
      </c>
      <c r="K336" t="str">
        <v>Brad Howard</v>
      </c>
      <c r="L336" t="str">
        <f>INDEX(Sheet1!$A:$J,MATCH('index match'!$K336,Sheet1!$C:$C,0),MATCH('index match'!L$2,Sheet1!$A$1:$J$1,0))</f>
        <v>Howard</v>
      </c>
      <c r="M336">
        <f>INDEX(Sheet1!$A:$J,MATCH('index match'!$K336,Sheet1!$C:$C,0),MATCH('index match'!M$2,Sheet1!$A$1:$J$1,0))</f>
        <v>2</v>
      </c>
      <c r="N336" t="str">
        <f>INDEX(Sheet1!$A:$J,MATCH('index match'!$K336,Sheet1!$C:$C,0),MATCH('index match'!N$2,Sheet1!$A$1:$J$1,0))</f>
        <v>Young</v>
      </c>
    </row>
    <row r="337" spans="4:14" x14ac:dyDescent="0.25">
      <c r="D337" t="str">
        <v>Wilson Brooks</v>
      </c>
      <c r="E337" t="str">
        <f>INDEX(Sheet1!$A:$J,MATCH('index match'!$D337,Sheet1!$C:$C,0),MATCH('index match'!E$2,Sheet1!$1:$1,0))</f>
        <v>Brooks</v>
      </c>
      <c r="F337">
        <f>INDEX(Sheet1!$A:$J,MATCH('index match'!$D337,Sheet1!$C:$C,0),MATCH('index match'!F$2,Sheet1!$1:$1,0))</f>
        <v>0</v>
      </c>
      <c r="G337" t="str">
        <f>INDEX(Sheet1!$A:$J,MATCH('index match'!$D337,Sheet1!$C:$C,0),MATCH('index match'!G$2,Sheet1!$1:$1,0))</f>
        <v>Old</v>
      </c>
      <c r="K337" t="str">
        <v>Lucas Thomas</v>
      </c>
      <c r="L337" t="str">
        <f>INDEX(Sheet1!$A:$J,MATCH('index match'!$K337,Sheet1!$C:$C,0),MATCH('index match'!L$2,Sheet1!$A$1:$J$1,0))</f>
        <v>Thomas</v>
      </c>
      <c r="M337">
        <f>INDEX(Sheet1!$A:$J,MATCH('index match'!$K337,Sheet1!$C:$C,0),MATCH('index match'!M$2,Sheet1!$A$1:$J$1,0))</f>
        <v>1</v>
      </c>
      <c r="N337" t="str">
        <f>INDEX(Sheet1!$A:$J,MATCH('index match'!$K337,Sheet1!$C:$C,0),MATCH('index match'!N$2,Sheet1!$A$1:$J$1,0))</f>
        <v>Young</v>
      </c>
    </row>
    <row r="338" spans="4:14" x14ac:dyDescent="0.25">
      <c r="D338" t="str">
        <v>Sawyer Wright</v>
      </c>
      <c r="E338" t="str">
        <f>INDEX(Sheet1!$A:$J,MATCH('index match'!$D338,Sheet1!$C:$C,0),MATCH('index match'!E$2,Sheet1!$1:$1,0))</f>
        <v>Wright</v>
      </c>
      <c r="F338">
        <f>INDEX(Sheet1!$A:$J,MATCH('index match'!$D338,Sheet1!$C:$C,0),MATCH('index match'!F$2,Sheet1!$1:$1,0))</f>
        <v>4</v>
      </c>
      <c r="G338" t="str">
        <f>INDEX(Sheet1!$A:$J,MATCH('index match'!$D338,Sheet1!$C:$C,0),MATCH('index match'!G$2,Sheet1!$1:$1,0))</f>
        <v>Middle Age</v>
      </c>
      <c r="K338" t="str">
        <v>Ted Evans</v>
      </c>
      <c r="L338" t="str">
        <f>INDEX(Sheet1!$A:$J,MATCH('index match'!$K338,Sheet1!$C:$C,0),MATCH('index match'!L$2,Sheet1!$A$1:$J$1,0))</f>
        <v>Evans</v>
      </c>
      <c r="M338">
        <f>INDEX(Sheet1!$A:$J,MATCH('index match'!$K338,Sheet1!$C:$C,0),MATCH('index match'!M$2,Sheet1!$A$1:$J$1,0))</f>
        <v>2</v>
      </c>
      <c r="N338" t="str">
        <f>INDEX(Sheet1!$A:$J,MATCH('index match'!$K338,Sheet1!$C:$C,0),MATCH('index match'!N$2,Sheet1!$A$1:$J$1,0))</f>
        <v>Young</v>
      </c>
    </row>
    <row r="339" spans="4:14" x14ac:dyDescent="0.25">
      <c r="D339" t="str">
        <v>Kristian Hunt</v>
      </c>
      <c r="E339" t="str">
        <f>INDEX(Sheet1!$A:$J,MATCH('index match'!$D339,Sheet1!$C:$C,0),MATCH('index match'!E$2,Sheet1!$1:$1,0))</f>
        <v>Hunt</v>
      </c>
      <c r="F339">
        <f>INDEX(Sheet1!$A:$J,MATCH('index match'!$D339,Sheet1!$C:$C,0),MATCH('index match'!F$2,Sheet1!$1:$1,0))</f>
        <v>5</v>
      </c>
      <c r="G339" t="str">
        <f>INDEX(Sheet1!$A:$J,MATCH('index match'!$D339,Sheet1!$C:$C,0),MATCH('index match'!G$2,Sheet1!$1:$1,0))</f>
        <v>Young</v>
      </c>
      <c r="K339" t="str">
        <v>Cadie Hawkins</v>
      </c>
      <c r="L339" t="str">
        <f>INDEX(Sheet1!$A:$J,MATCH('index match'!$K339,Sheet1!$C:$C,0),MATCH('index match'!L$2,Sheet1!$A$1:$J$1,0))</f>
        <v>Hawkins</v>
      </c>
      <c r="M339">
        <f>INDEX(Sheet1!$A:$J,MATCH('index match'!$K339,Sheet1!$C:$C,0),MATCH('index match'!M$2,Sheet1!$A$1:$J$1,0))</f>
        <v>5</v>
      </c>
      <c r="N339" t="str">
        <f>INDEX(Sheet1!$A:$J,MATCH('index match'!$K339,Sheet1!$C:$C,0),MATCH('index match'!N$2,Sheet1!$A$1:$J$1,0))</f>
        <v>Middle Age</v>
      </c>
    </row>
    <row r="340" spans="4:14" x14ac:dyDescent="0.25">
      <c r="D340" t="str">
        <v>Sawyer Clark</v>
      </c>
      <c r="E340" t="str">
        <f>INDEX(Sheet1!$A:$J,MATCH('index match'!$D340,Sheet1!$C:$C,0),MATCH('index match'!E$2,Sheet1!$1:$1,0))</f>
        <v>Clark</v>
      </c>
      <c r="F340">
        <f>INDEX(Sheet1!$A:$J,MATCH('index match'!$D340,Sheet1!$C:$C,0),MATCH('index match'!F$2,Sheet1!$1:$1,0))</f>
        <v>5</v>
      </c>
      <c r="G340" t="str">
        <f>INDEX(Sheet1!$A:$J,MATCH('index match'!$D340,Sheet1!$C:$C,0),MATCH('index match'!G$2,Sheet1!$1:$1,0))</f>
        <v>Young</v>
      </c>
      <c r="K340" t="str">
        <v>Fiona Kelly</v>
      </c>
      <c r="L340" t="str">
        <f>INDEX(Sheet1!$A:$J,MATCH('index match'!$K340,Sheet1!$C:$C,0),MATCH('index match'!L$2,Sheet1!$A$1:$J$1,0))</f>
        <v>Kelly</v>
      </c>
      <c r="M340">
        <f>INDEX(Sheet1!$A:$J,MATCH('index match'!$K340,Sheet1!$C:$C,0),MATCH('index match'!M$2,Sheet1!$A$1:$J$1,0))</f>
        <v>5</v>
      </c>
      <c r="N340" t="str">
        <f>INDEX(Sheet1!$A:$J,MATCH('index match'!$K340,Sheet1!$C:$C,0),MATCH('index match'!N$2,Sheet1!$A$1:$J$1,0))</f>
        <v>Young</v>
      </c>
    </row>
    <row r="341" spans="4:14" x14ac:dyDescent="0.25">
      <c r="D341" t="str">
        <v>Chester Moore</v>
      </c>
      <c r="E341" t="str">
        <f>INDEX(Sheet1!$A:$J,MATCH('index match'!$D341,Sheet1!$C:$C,0),MATCH('index match'!E$2,Sheet1!$1:$1,0))</f>
        <v>Moore</v>
      </c>
      <c r="F341">
        <f>INDEX(Sheet1!$A:$J,MATCH('index match'!$D341,Sheet1!$C:$C,0),MATCH('index match'!F$2,Sheet1!$1:$1,0))</f>
        <v>0</v>
      </c>
      <c r="G341" t="str">
        <f>INDEX(Sheet1!$A:$J,MATCH('index match'!$D341,Sheet1!$C:$C,0),MATCH('index match'!G$2,Sheet1!$1:$1,0))</f>
        <v>Old</v>
      </c>
      <c r="K341" t="str">
        <v>William Carroll</v>
      </c>
      <c r="L341" t="str">
        <f>INDEX(Sheet1!$A:$J,MATCH('index match'!$K341,Sheet1!$C:$C,0),MATCH('index match'!L$2,Sheet1!$A$1:$J$1,0))</f>
        <v>Carroll</v>
      </c>
      <c r="M341">
        <f>INDEX(Sheet1!$A:$J,MATCH('index match'!$K341,Sheet1!$C:$C,0),MATCH('index match'!M$2,Sheet1!$A$1:$J$1,0))</f>
        <v>5</v>
      </c>
      <c r="N341" t="str">
        <f>INDEX(Sheet1!$A:$J,MATCH('index match'!$K341,Sheet1!$C:$C,0),MATCH('index match'!N$2,Sheet1!$A$1:$J$1,0))</f>
        <v>Middle Age</v>
      </c>
    </row>
    <row r="342" spans="4:14" x14ac:dyDescent="0.25">
      <c r="D342" t="str">
        <v>Henry Craig</v>
      </c>
      <c r="E342" t="str">
        <f>INDEX(Sheet1!$A:$J,MATCH('index match'!$D342,Sheet1!$C:$C,0),MATCH('index match'!E$2,Sheet1!$1:$1,0))</f>
        <v>Craig</v>
      </c>
      <c r="F342">
        <f>INDEX(Sheet1!$A:$J,MATCH('index match'!$D342,Sheet1!$C:$C,0),MATCH('index match'!F$2,Sheet1!$1:$1,0))</f>
        <v>2</v>
      </c>
      <c r="G342" t="str">
        <f>INDEX(Sheet1!$A:$J,MATCH('index match'!$D342,Sheet1!$C:$C,0),MATCH('index match'!G$2,Sheet1!$1:$1,0))</f>
        <v>Middle Age</v>
      </c>
      <c r="K342" t="str">
        <v>Ryan Roberts</v>
      </c>
      <c r="L342" t="str">
        <f>INDEX(Sheet1!$A:$J,MATCH('index match'!$K342,Sheet1!$C:$C,0),MATCH('index match'!L$2,Sheet1!$A$1:$J$1,0))</f>
        <v>Roberts</v>
      </c>
      <c r="M342">
        <f>INDEX(Sheet1!$A:$J,MATCH('index match'!$K342,Sheet1!$C:$C,0),MATCH('index match'!M$2,Sheet1!$A$1:$J$1,0))</f>
        <v>5</v>
      </c>
      <c r="N342" t="str">
        <f>INDEX(Sheet1!$A:$J,MATCH('index match'!$K342,Sheet1!$C:$C,0),MATCH('index match'!N$2,Sheet1!$A$1:$J$1,0))</f>
        <v>Middle Age</v>
      </c>
    </row>
    <row r="343" spans="4:14" x14ac:dyDescent="0.25">
      <c r="D343" t="str">
        <v>Belinda Holmes</v>
      </c>
      <c r="E343" t="str">
        <f>INDEX(Sheet1!$A:$J,MATCH('index match'!$D343,Sheet1!$C:$C,0),MATCH('index match'!E$2,Sheet1!$1:$1,0))</f>
        <v>Holmes</v>
      </c>
      <c r="F343">
        <f>INDEX(Sheet1!$A:$J,MATCH('index match'!$D343,Sheet1!$C:$C,0),MATCH('index match'!F$2,Sheet1!$1:$1,0))</f>
        <v>1</v>
      </c>
      <c r="G343" t="str">
        <f>INDEX(Sheet1!$A:$J,MATCH('index match'!$D343,Sheet1!$C:$C,0),MATCH('index match'!G$2,Sheet1!$1:$1,0))</f>
        <v>Young</v>
      </c>
      <c r="K343" t="str">
        <v>Heather Hawkins</v>
      </c>
      <c r="L343" t="str">
        <f>INDEX(Sheet1!$A:$J,MATCH('index match'!$K343,Sheet1!$C:$C,0),MATCH('index match'!L$2,Sheet1!$A$1:$J$1,0))</f>
        <v>Hawkins</v>
      </c>
      <c r="M343">
        <f>INDEX(Sheet1!$A:$J,MATCH('index match'!$K343,Sheet1!$C:$C,0),MATCH('index match'!M$2,Sheet1!$A$1:$J$1,0))</f>
        <v>3</v>
      </c>
      <c r="N343" t="str">
        <f>INDEX(Sheet1!$A:$J,MATCH('index match'!$K343,Sheet1!$C:$C,0),MATCH('index match'!N$2,Sheet1!$A$1:$J$1,0))</f>
        <v>Young</v>
      </c>
    </row>
    <row r="344" spans="4:14" x14ac:dyDescent="0.25">
      <c r="D344" t="str">
        <v>Richard Owens</v>
      </c>
      <c r="E344" t="str">
        <f>INDEX(Sheet1!$A:$J,MATCH('index match'!$D344,Sheet1!$C:$C,0),MATCH('index match'!E$2,Sheet1!$1:$1,0))</f>
        <v>Owens</v>
      </c>
      <c r="F344">
        <f>INDEX(Sheet1!$A:$J,MATCH('index match'!$D344,Sheet1!$C:$C,0),MATCH('index match'!F$2,Sheet1!$1:$1,0))</f>
        <v>3</v>
      </c>
      <c r="G344" t="str">
        <f>INDEX(Sheet1!$A:$J,MATCH('index match'!$D344,Sheet1!$C:$C,0),MATCH('index match'!G$2,Sheet1!$1:$1,0))</f>
        <v>Old</v>
      </c>
      <c r="K344" t="str">
        <v>Alford Myers</v>
      </c>
      <c r="L344" t="str">
        <f>INDEX(Sheet1!$A:$J,MATCH('index match'!$K344,Sheet1!$C:$C,0),MATCH('index match'!L$2,Sheet1!$A$1:$J$1,0))</f>
        <v>Myers</v>
      </c>
      <c r="M344">
        <f>INDEX(Sheet1!$A:$J,MATCH('index match'!$K344,Sheet1!$C:$C,0),MATCH('index match'!M$2,Sheet1!$A$1:$J$1,0))</f>
        <v>0</v>
      </c>
      <c r="N344" t="str">
        <f>INDEX(Sheet1!$A:$J,MATCH('index match'!$K344,Sheet1!$C:$C,0),MATCH('index match'!N$2,Sheet1!$A$1:$J$1,0))</f>
        <v>Old</v>
      </c>
    </row>
    <row r="345" spans="4:14" x14ac:dyDescent="0.25">
      <c r="D345" t="str">
        <v>Olivia Gibson</v>
      </c>
      <c r="E345" t="str">
        <f>INDEX(Sheet1!$A:$J,MATCH('index match'!$D345,Sheet1!$C:$C,0),MATCH('index match'!E$2,Sheet1!$1:$1,0))</f>
        <v>Gibson</v>
      </c>
      <c r="F345">
        <f>INDEX(Sheet1!$A:$J,MATCH('index match'!$D345,Sheet1!$C:$C,0),MATCH('index match'!F$2,Sheet1!$1:$1,0))</f>
        <v>1</v>
      </c>
      <c r="G345" t="str">
        <f>INDEX(Sheet1!$A:$J,MATCH('index match'!$D345,Sheet1!$C:$C,0),MATCH('index match'!G$2,Sheet1!$1:$1,0))</f>
        <v>Middle Age</v>
      </c>
      <c r="K345" t="str">
        <v>Preston Mason</v>
      </c>
      <c r="L345" t="str">
        <f>INDEX(Sheet1!$A:$J,MATCH('index match'!$K345,Sheet1!$C:$C,0),MATCH('index match'!L$2,Sheet1!$A$1:$J$1,0))</f>
        <v>Mason</v>
      </c>
      <c r="M345">
        <f>INDEX(Sheet1!$A:$J,MATCH('index match'!$K345,Sheet1!$C:$C,0),MATCH('index match'!M$2,Sheet1!$A$1:$J$1,0))</f>
        <v>0</v>
      </c>
      <c r="N345" t="str">
        <f>INDEX(Sheet1!$A:$J,MATCH('index match'!$K345,Sheet1!$C:$C,0),MATCH('index match'!N$2,Sheet1!$A$1:$J$1,0))</f>
        <v>Middle Age</v>
      </c>
    </row>
    <row r="346" spans="4:14" x14ac:dyDescent="0.25">
      <c r="D346" t="str">
        <v>Fenton Williams</v>
      </c>
      <c r="E346" t="str">
        <f>INDEX(Sheet1!$A:$J,MATCH('index match'!$D346,Sheet1!$C:$C,0),MATCH('index match'!E$2,Sheet1!$1:$1,0))</f>
        <v>Williams</v>
      </c>
      <c r="F346">
        <f>INDEX(Sheet1!$A:$J,MATCH('index match'!$D346,Sheet1!$C:$C,0),MATCH('index match'!F$2,Sheet1!$1:$1,0))</f>
        <v>0</v>
      </c>
      <c r="G346" t="str">
        <f>INDEX(Sheet1!$A:$J,MATCH('index match'!$D346,Sheet1!$C:$C,0),MATCH('index match'!G$2,Sheet1!$1:$1,0))</f>
        <v>Middle Age</v>
      </c>
      <c r="K346" t="str">
        <v>Lucy Richardson</v>
      </c>
      <c r="L346" t="str">
        <f>INDEX(Sheet1!$A:$J,MATCH('index match'!$K346,Sheet1!$C:$C,0),MATCH('index match'!L$2,Sheet1!$A$1:$J$1,0))</f>
        <v>Richardson</v>
      </c>
      <c r="M346">
        <f>INDEX(Sheet1!$A:$J,MATCH('index match'!$K346,Sheet1!$C:$C,0),MATCH('index match'!M$2,Sheet1!$A$1:$J$1,0))</f>
        <v>2</v>
      </c>
      <c r="N346" t="str">
        <f>INDEX(Sheet1!$A:$J,MATCH('index match'!$K346,Sheet1!$C:$C,0),MATCH('index match'!N$2,Sheet1!$A$1:$J$1,0))</f>
        <v>Middle Age</v>
      </c>
    </row>
    <row r="347" spans="4:14" x14ac:dyDescent="0.25">
      <c r="D347" t="str">
        <v>Miley Thomas</v>
      </c>
      <c r="E347" t="str">
        <f>INDEX(Sheet1!$A:$J,MATCH('index match'!$D347,Sheet1!$C:$C,0),MATCH('index match'!E$2,Sheet1!$1:$1,0))</f>
        <v>Thomas</v>
      </c>
      <c r="F347">
        <f>INDEX(Sheet1!$A:$J,MATCH('index match'!$D347,Sheet1!$C:$C,0),MATCH('index match'!F$2,Sheet1!$1:$1,0))</f>
        <v>2</v>
      </c>
      <c r="G347" t="str">
        <f>INDEX(Sheet1!$A:$J,MATCH('index match'!$D347,Sheet1!$C:$C,0),MATCH('index match'!G$2,Sheet1!$1:$1,0))</f>
        <v>Middle Age</v>
      </c>
      <c r="K347" t="str">
        <v>Reid West</v>
      </c>
      <c r="L347" t="str">
        <f>INDEX(Sheet1!$A:$J,MATCH('index match'!$K347,Sheet1!$C:$C,0),MATCH('index match'!L$2,Sheet1!$A$1:$J$1,0))</f>
        <v>West</v>
      </c>
      <c r="M347">
        <f>INDEX(Sheet1!$A:$J,MATCH('index match'!$K347,Sheet1!$C:$C,0),MATCH('index match'!M$2,Sheet1!$A$1:$J$1,0))</f>
        <v>5</v>
      </c>
      <c r="N347" t="str">
        <f>INDEX(Sheet1!$A:$J,MATCH('index match'!$K347,Sheet1!$C:$C,0),MATCH('index match'!N$2,Sheet1!$A$1:$J$1,0))</f>
        <v>Middle Age</v>
      </c>
    </row>
    <row r="348" spans="4:14" x14ac:dyDescent="0.25">
      <c r="D348" t="str">
        <v>Rubie Brown</v>
      </c>
      <c r="E348" t="str">
        <f>INDEX(Sheet1!$A:$J,MATCH('index match'!$D348,Sheet1!$C:$C,0),MATCH('index match'!E$2,Sheet1!$1:$1,0))</f>
        <v>Brown</v>
      </c>
      <c r="F348">
        <f>INDEX(Sheet1!$A:$J,MATCH('index match'!$D348,Sheet1!$C:$C,0),MATCH('index match'!F$2,Sheet1!$1:$1,0))</f>
        <v>1</v>
      </c>
      <c r="G348" t="str">
        <f>INDEX(Sheet1!$A:$J,MATCH('index match'!$D348,Sheet1!$C:$C,0),MATCH('index match'!G$2,Sheet1!$1:$1,0))</f>
        <v>Middle Age</v>
      </c>
      <c r="K348" t="str">
        <v>Oliver Mitchell</v>
      </c>
      <c r="L348" t="str">
        <f>INDEX(Sheet1!$A:$J,MATCH('index match'!$K348,Sheet1!$C:$C,0),MATCH('index match'!L$2,Sheet1!$A$1:$J$1,0))</f>
        <v>Mitchell</v>
      </c>
      <c r="M348">
        <f>INDEX(Sheet1!$A:$J,MATCH('index match'!$K348,Sheet1!$C:$C,0),MATCH('index match'!M$2,Sheet1!$A$1:$J$1,0))</f>
        <v>0</v>
      </c>
      <c r="N348" t="str">
        <f>INDEX(Sheet1!$A:$J,MATCH('index match'!$K348,Sheet1!$C:$C,0),MATCH('index match'!N$2,Sheet1!$A$1:$J$1,0))</f>
        <v>Middle Age</v>
      </c>
    </row>
    <row r="349" spans="4:14" x14ac:dyDescent="0.25">
      <c r="D349" t="str">
        <v>Adison Williams</v>
      </c>
      <c r="E349" t="str">
        <f>INDEX(Sheet1!$A:$J,MATCH('index match'!$D349,Sheet1!$C:$C,0),MATCH('index match'!E$2,Sheet1!$1:$1,0))</f>
        <v>Williams</v>
      </c>
      <c r="F349">
        <f>INDEX(Sheet1!$A:$J,MATCH('index match'!$D349,Sheet1!$C:$C,0),MATCH('index match'!F$2,Sheet1!$1:$1,0))</f>
        <v>0</v>
      </c>
      <c r="G349" t="str">
        <f>INDEX(Sheet1!$A:$J,MATCH('index match'!$D349,Sheet1!$C:$C,0),MATCH('index match'!G$2,Sheet1!$1:$1,0))</f>
        <v>Middle Age</v>
      </c>
      <c r="K349" t="str">
        <v>Julian Reed</v>
      </c>
      <c r="L349" t="str">
        <f>INDEX(Sheet1!$A:$J,MATCH('index match'!$K349,Sheet1!$C:$C,0),MATCH('index match'!L$2,Sheet1!$A$1:$J$1,0))</f>
        <v>Reed</v>
      </c>
      <c r="M349">
        <f>INDEX(Sheet1!$A:$J,MATCH('index match'!$K349,Sheet1!$C:$C,0),MATCH('index match'!M$2,Sheet1!$A$1:$J$1,0))</f>
        <v>4</v>
      </c>
      <c r="N349" t="str">
        <f>INDEX(Sheet1!$A:$J,MATCH('index match'!$K349,Sheet1!$C:$C,0),MATCH('index match'!N$2,Sheet1!$A$1:$J$1,0))</f>
        <v>Middle Age</v>
      </c>
    </row>
    <row r="350" spans="4:14" x14ac:dyDescent="0.25">
      <c r="D350" t="str">
        <v>Dale Hawkins</v>
      </c>
      <c r="E350" t="str">
        <f>INDEX(Sheet1!$A:$J,MATCH('index match'!$D350,Sheet1!$C:$C,0),MATCH('index match'!E$2,Sheet1!$1:$1,0))</f>
        <v>Hawkins</v>
      </c>
      <c r="F350">
        <f>INDEX(Sheet1!$A:$J,MATCH('index match'!$D350,Sheet1!$C:$C,0),MATCH('index match'!F$2,Sheet1!$1:$1,0))</f>
        <v>0</v>
      </c>
      <c r="G350" t="str">
        <f>INDEX(Sheet1!$A:$J,MATCH('index match'!$D350,Sheet1!$C:$C,0),MATCH('index match'!G$2,Sheet1!$1:$1,0))</f>
        <v>Middle Age</v>
      </c>
      <c r="K350" t="str">
        <v>Albert Stewart</v>
      </c>
      <c r="L350" t="str">
        <f>INDEX(Sheet1!$A:$J,MATCH('index match'!$K350,Sheet1!$C:$C,0),MATCH('index match'!L$2,Sheet1!$A$1:$J$1,0))</f>
        <v>Stewart</v>
      </c>
      <c r="M350">
        <f>INDEX(Sheet1!$A:$J,MATCH('index match'!$K350,Sheet1!$C:$C,0),MATCH('index match'!M$2,Sheet1!$A$1:$J$1,0))</f>
        <v>2</v>
      </c>
      <c r="N350" t="str">
        <f>INDEX(Sheet1!$A:$J,MATCH('index match'!$K350,Sheet1!$C:$C,0),MATCH('index match'!N$2,Sheet1!$A$1:$J$1,0))</f>
        <v>Young</v>
      </c>
    </row>
    <row r="351" spans="4:14" x14ac:dyDescent="0.25">
      <c r="D351" t="str">
        <v>Myra Foster</v>
      </c>
      <c r="E351" t="str">
        <f>INDEX(Sheet1!$A:$J,MATCH('index match'!$D351,Sheet1!$C:$C,0),MATCH('index match'!E$2,Sheet1!$1:$1,0))</f>
        <v>Foster</v>
      </c>
      <c r="F351">
        <f>INDEX(Sheet1!$A:$J,MATCH('index match'!$D351,Sheet1!$C:$C,0),MATCH('index match'!F$2,Sheet1!$1:$1,0))</f>
        <v>0</v>
      </c>
      <c r="G351" t="str">
        <f>INDEX(Sheet1!$A:$J,MATCH('index match'!$D351,Sheet1!$C:$C,0),MATCH('index match'!G$2,Sheet1!$1:$1,0))</f>
        <v>Old</v>
      </c>
      <c r="K351" t="str">
        <v>Nicole Hill</v>
      </c>
      <c r="L351" t="str">
        <f>INDEX(Sheet1!$A:$J,MATCH('index match'!$K351,Sheet1!$C:$C,0),MATCH('index match'!L$2,Sheet1!$A$1:$J$1,0))</f>
        <v>Hill</v>
      </c>
      <c r="M351">
        <f>INDEX(Sheet1!$A:$J,MATCH('index match'!$K351,Sheet1!$C:$C,0),MATCH('index match'!M$2,Sheet1!$A$1:$J$1,0))</f>
        <v>1</v>
      </c>
      <c r="N351" t="str">
        <f>INDEX(Sheet1!$A:$J,MATCH('index match'!$K351,Sheet1!$C:$C,0),MATCH('index match'!N$2,Sheet1!$A$1:$J$1,0))</f>
        <v>Young</v>
      </c>
    </row>
    <row r="352" spans="4:14" x14ac:dyDescent="0.25">
      <c r="D352" t="str">
        <v>Daisy Casey</v>
      </c>
      <c r="E352" t="str">
        <f>INDEX(Sheet1!$A:$J,MATCH('index match'!$D352,Sheet1!$C:$C,0),MATCH('index match'!E$2,Sheet1!$1:$1,0))</f>
        <v>Casey</v>
      </c>
      <c r="F352">
        <f>INDEX(Sheet1!$A:$J,MATCH('index match'!$D352,Sheet1!$C:$C,0),MATCH('index match'!F$2,Sheet1!$1:$1,0))</f>
        <v>4</v>
      </c>
      <c r="G352" t="str">
        <f>INDEX(Sheet1!$A:$J,MATCH('index match'!$D352,Sheet1!$C:$C,0),MATCH('index match'!G$2,Sheet1!$1:$1,0))</f>
        <v>Middle Age</v>
      </c>
      <c r="K352" t="str">
        <v>Emma Parker</v>
      </c>
      <c r="L352" t="str">
        <f>INDEX(Sheet1!$A:$J,MATCH('index match'!$K352,Sheet1!$C:$C,0),MATCH('index match'!L$2,Sheet1!$A$1:$J$1,0))</f>
        <v>Parker</v>
      </c>
      <c r="M352">
        <f>INDEX(Sheet1!$A:$J,MATCH('index match'!$K352,Sheet1!$C:$C,0),MATCH('index match'!M$2,Sheet1!$A$1:$J$1,0))</f>
        <v>1</v>
      </c>
      <c r="N352" t="str">
        <f>INDEX(Sheet1!$A:$J,MATCH('index match'!$K352,Sheet1!$C:$C,0),MATCH('index match'!N$2,Sheet1!$A$1:$J$1,0))</f>
        <v>Old</v>
      </c>
    </row>
    <row r="353" spans="4:14" x14ac:dyDescent="0.25">
      <c r="D353" t="str">
        <v>Eddy Murray</v>
      </c>
      <c r="E353" t="str">
        <f>INDEX(Sheet1!$A:$J,MATCH('index match'!$D353,Sheet1!$C:$C,0),MATCH('index match'!E$2,Sheet1!$1:$1,0))</f>
        <v>Murray</v>
      </c>
      <c r="F353">
        <f>INDEX(Sheet1!$A:$J,MATCH('index match'!$D353,Sheet1!$C:$C,0),MATCH('index match'!F$2,Sheet1!$1:$1,0))</f>
        <v>3</v>
      </c>
      <c r="G353" t="str">
        <f>INDEX(Sheet1!$A:$J,MATCH('index match'!$D353,Sheet1!$C:$C,0),MATCH('index match'!G$2,Sheet1!$1:$1,0))</f>
        <v>Young</v>
      </c>
      <c r="K353" t="str">
        <v>Spike Adams</v>
      </c>
      <c r="L353" t="str">
        <f>INDEX(Sheet1!$A:$J,MATCH('index match'!$K353,Sheet1!$C:$C,0),MATCH('index match'!L$2,Sheet1!$A$1:$J$1,0))</f>
        <v>Adams</v>
      </c>
      <c r="M353">
        <f>INDEX(Sheet1!$A:$J,MATCH('index match'!$K353,Sheet1!$C:$C,0),MATCH('index match'!M$2,Sheet1!$A$1:$J$1,0))</f>
        <v>4</v>
      </c>
      <c r="N353" t="str">
        <f>INDEX(Sheet1!$A:$J,MATCH('index match'!$K353,Sheet1!$C:$C,0),MATCH('index match'!N$2,Sheet1!$A$1:$J$1,0))</f>
        <v>Middle Age</v>
      </c>
    </row>
    <row r="354" spans="4:14" x14ac:dyDescent="0.25">
      <c r="D354" t="str">
        <v>Walter Ryan</v>
      </c>
      <c r="E354" t="str">
        <f>INDEX(Sheet1!$A:$J,MATCH('index match'!$D354,Sheet1!$C:$C,0),MATCH('index match'!E$2,Sheet1!$1:$1,0))</f>
        <v>Ryan</v>
      </c>
      <c r="F354">
        <f>INDEX(Sheet1!$A:$J,MATCH('index match'!$D354,Sheet1!$C:$C,0),MATCH('index match'!F$2,Sheet1!$1:$1,0))</f>
        <v>1</v>
      </c>
      <c r="G354" t="str">
        <f>INDEX(Sheet1!$A:$J,MATCH('index match'!$D354,Sheet1!$C:$C,0),MATCH('index match'!G$2,Sheet1!$1:$1,0))</f>
        <v>Middle Age</v>
      </c>
      <c r="K354" t="str">
        <v>Ryan Harrison</v>
      </c>
      <c r="L354" t="str">
        <f>INDEX(Sheet1!$A:$J,MATCH('index match'!$K354,Sheet1!$C:$C,0),MATCH('index match'!L$2,Sheet1!$A$1:$J$1,0))</f>
        <v>Harrison</v>
      </c>
      <c r="M354">
        <f>INDEX(Sheet1!$A:$J,MATCH('index match'!$K354,Sheet1!$C:$C,0),MATCH('index match'!M$2,Sheet1!$A$1:$J$1,0))</f>
        <v>1</v>
      </c>
      <c r="N354" t="str">
        <f>INDEX(Sheet1!$A:$J,MATCH('index match'!$K354,Sheet1!$C:$C,0),MATCH('index match'!N$2,Sheet1!$A$1:$J$1,0))</f>
        <v>Middle Age</v>
      </c>
    </row>
    <row r="355" spans="4:14" x14ac:dyDescent="0.25">
      <c r="D355" t="str">
        <v>Alisa Wright</v>
      </c>
      <c r="E355" t="str">
        <f>INDEX(Sheet1!$A:$J,MATCH('index match'!$D355,Sheet1!$C:$C,0),MATCH('index match'!E$2,Sheet1!$1:$1,0))</f>
        <v>Wright</v>
      </c>
      <c r="F355">
        <f>INDEX(Sheet1!$A:$J,MATCH('index match'!$D355,Sheet1!$C:$C,0),MATCH('index match'!F$2,Sheet1!$1:$1,0))</f>
        <v>4</v>
      </c>
      <c r="G355" t="str">
        <f>INDEX(Sheet1!$A:$J,MATCH('index match'!$D355,Sheet1!$C:$C,0),MATCH('index match'!G$2,Sheet1!$1:$1,0))</f>
        <v>Middle Age</v>
      </c>
      <c r="K355" t="str">
        <v>Jack Henderson</v>
      </c>
      <c r="L355" t="str">
        <f>INDEX(Sheet1!$A:$J,MATCH('index match'!$K355,Sheet1!$C:$C,0),MATCH('index match'!L$2,Sheet1!$A$1:$J$1,0))</f>
        <v>Henderson</v>
      </c>
      <c r="M355">
        <f>INDEX(Sheet1!$A:$J,MATCH('index match'!$K355,Sheet1!$C:$C,0),MATCH('index match'!M$2,Sheet1!$A$1:$J$1,0))</f>
        <v>3</v>
      </c>
      <c r="N355" t="str">
        <f>INDEX(Sheet1!$A:$J,MATCH('index match'!$K355,Sheet1!$C:$C,0),MATCH('index match'!N$2,Sheet1!$A$1:$J$1,0))</f>
        <v>Old</v>
      </c>
    </row>
    <row r="356" spans="4:14" x14ac:dyDescent="0.25">
      <c r="D356" t="str">
        <v>Eddy Farrell</v>
      </c>
      <c r="E356" t="str">
        <f>INDEX(Sheet1!$A:$J,MATCH('index match'!$D356,Sheet1!$C:$C,0),MATCH('index match'!E$2,Sheet1!$1:$1,0))</f>
        <v>Farrell</v>
      </c>
      <c r="F356">
        <f>INDEX(Sheet1!$A:$J,MATCH('index match'!$D356,Sheet1!$C:$C,0),MATCH('index match'!F$2,Sheet1!$1:$1,0))</f>
        <v>1</v>
      </c>
      <c r="G356" t="str">
        <f>INDEX(Sheet1!$A:$J,MATCH('index match'!$D356,Sheet1!$C:$C,0),MATCH('index match'!G$2,Sheet1!$1:$1,0))</f>
        <v>Middle Age</v>
      </c>
      <c r="K356" t="str">
        <v>Paul Sullivan</v>
      </c>
      <c r="L356" t="str">
        <f>INDEX(Sheet1!$A:$J,MATCH('index match'!$K356,Sheet1!$C:$C,0),MATCH('index match'!L$2,Sheet1!$A$1:$J$1,0))</f>
        <v>Sullivan</v>
      </c>
      <c r="M356">
        <f>INDEX(Sheet1!$A:$J,MATCH('index match'!$K356,Sheet1!$C:$C,0),MATCH('index match'!M$2,Sheet1!$A$1:$J$1,0))</f>
        <v>0</v>
      </c>
      <c r="N356" t="str">
        <f>INDEX(Sheet1!$A:$J,MATCH('index match'!$K356,Sheet1!$C:$C,0),MATCH('index match'!N$2,Sheet1!$A$1:$J$1,0))</f>
        <v>Old</v>
      </c>
    </row>
    <row r="357" spans="4:14" x14ac:dyDescent="0.25">
      <c r="D357" t="str">
        <v>Stella Carroll</v>
      </c>
      <c r="E357" t="str">
        <f>INDEX(Sheet1!$A:$J,MATCH('index match'!$D357,Sheet1!$C:$C,0),MATCH('index match'!E$2,Sheet1!$1:$1,0))</f>
        <v>Carroll</v>
      </c>
      <c r="F357">
        <f>INDEX(Sheet1!$A:$J,MATCH('index match'!$D357,Sheet1!$C:$C,0),MATCH('index match'!F$2,Sheet1!$1:$1,0))</f>
        <v>5</v>
      </c>
      <c r="G357" t="str">
        <f>INDEX(Sheet1!$A:$J,MATCH('index match'!$D357,Sheet1!$C:$C,0),MATCH('index match'!G$2,Sheet1!$1:$1,0))</f>
        <v>Middle Age</v>
      </c>
      <c r="K357" t="str">
        <v>Elian Riley</v>
      </c>
      <c r="L357" t="str">
        <f>INDEX(Sheet1!$A:$J,MATCH('index match'!$K357,Sheet1!$C:$C,0),MATCH('index match'!L$2,Sheet1!$A$1:$J$1,0))</f>
        <v>Riley</v>
      </c>
      <c r="M357">
        <f>INDEX(Sheet1!$A:$J,MATCH('index match'!$K357,Sheet1!$C:$C,0),MATCH('index match'!M$2,Sheet1!$A$1:$J$1,0))</f>
        <v>5</v>
      </c>
      <c r="N357" t="str">
        <f>INDEX(Sheet1!$A:$J,MATCH('index match'!$K357,Sheet1!$C:$C,0),MATCH('index match'!N$2,Sheet1!$A$1:$J$1,0))</f>
        <v>Middle Age</v>
      </c>
    </row>
    <row r="358" spans="4:14" x14ac:dyDescent="0.25">
      <c r="D358" t="str">
        <v>Alan Grant</v>
      </c>
      <c r="E358" t="str">
        <f>INDEX(Sheet1!$A:$J,MATCH('index match'!$D358,Sheet1!$C:$C,0),MATCH('index match'!E$2,Sheet1!$1:$1,0))</f>
        <v>Grant</v>
      </c>
      <c r="F358">
        <f>INDEX(Sheet1!$A:$J,MATCH('index match'!$D358,Sheet1!$C:$C,0),MATCH('index match'!F$2,Sheet1!$1:$1,0))</f>
        <v>4</v>
      </c>
      <c r="G358" t="str">
        <f>INDEX(Sheet1!$A:$J,MATCH('index match'!$D358,Sheet1!$C:$C,0),MATCH('index match'!G$2,Sheet1!$1:$1,0))</f>
        <v>Young</v>
      </c>
      <c r="K358" t="str">
        <v>Henry Richardson</v>
      </c>
      <c r="L358" t="str">
        <f>INDEX(Sheet1!$A:$J,MATCH('index match'!$K358,Sheet1!$C:$C,0),MATCH('index match'!L$2,Sheet1!$A$1:$J$1,0))</f>
        <v>Richardson</v>
      </c>
      <c r="M358">
        <f>INDEX(Sheet1!$A:$J,MATCH('index match'!$K358,Sheet1!$C:$C,0),MATCH('index match'!M$2,Sheet1!$A$1:$J$1,0))</f>
        <v>2</v>
      </c>
      <c r="N358" t="str">
        <f>INDEX(Sheet1!$A:$J,MATCH('index match'!$K358,Sheet1!$C:$C,0),MATCH('index match'!N$2,Sheet1!$A$1:$J$1,0))</f>
        <v>Middle Age</v>
      </c>
    </row>
    <row r="359" spans="4:14" x14ac:dyDescent="0.25">
      <c r="D359" t="str">
        <v>James Anderson</v>
      </c>
      <c r="E359" t="str">
        <f>INDEX(Sheet1!$A:$J,MATCH('index match'!$D359,Sheet1!$C:$C,0),MATCH('index match'!E$2,Sheet1!$1:$1,0))</f>
        <v>Anderson</v>
      </c>
      <c r="F359">
        <f>INDEX(Sheet1!$A:$J,MATCH('index match'!$D359,Sheet1!$C:$C,0),MATCH('index match'!F$2,Sheet1!$1:$1,0))</f>
        <v>4</v>
      </c>
      <c r="G359" t="str">
        <f>INDEX(Sheet1!$A:$J,MATCH('index match'!$D359,Sheet1!$C:$C,0),MATCH('index match'!G$2,Sheet1!$1:$1,0))</f>
        <v>Young</v>
      </c>
      <c r="K359" t="str">
        <v>Adison Johnston</v>
      </c>
      <c r="L359" t="str">
        <f>INDEX(Sheet1!$A:$J,MATCH('index match'!$K359,Sheet1!$C:$C,0),MATCH('index match'!L$2,Sheet1!$A$1:$J$1,0))</f>
        <v>Johnston</v>
      </c>
      <c r="M359">
        <f>INDEX(Sheet1!$A:$J,MATCH('index match'!$K359,Sheet1!$C:$C,0),MATCH('index match'!M$2,Sheet1!$A$1:$J$1,0))</f>
        <v>2</v>
      </c>
      <c r="N359" t="str">
        <f>INDEX(Sheet1!$A:$J,MATCH('index match'!$K359,Sheet1!$C:$C,0),MATCH('index match'!N$2,Sheet1!$A$1:$J$1,0))</f>
        <v>Young</v>
      </c>
    </row>
    <row r="360" spans="4:14" x14ac:dyDescent="0.25">
      <c r="D360" t="str">
        <v>Byron Thomas</v>
      </c>
      <c r="E360" t="str">
        <f>INDEX(Sheet1!$A:$J,MATCH('index match'!$D360,Sheet1!$C:$C,0),MATCH('index match'!E$2,Sheet1!$1:$1,0))</f>
        <v>Thomas</v>
      </c>
      <c r="F360">
        <f>INDEX(Sheet1!$A:$J,MATCH('index match'!$D360,Sheet1!$C:$C,0),MATCH('index match'!F$2,Sheet1!$1:$1,0))</f>
        <v>4</v>
      </c>
      <c r="G360" t="str">
        <f>INDEX(Sheet1!$A:$J,MATCH('index match'!$D360,Sheet1!$C:$C,0),MATCH('index match'!G$2,Sheet1!$1:$1,0))</f>
        <v>Middle Age</v>
      </c>
      <c r="K360" t="str">
        <v>Savana Hill</v>
      </c>
      <c r="L360" t="str">
        <f>INDEX(Sheet1!$A:$J,MATCH('index match'!$K360,Sheet1!$C:$C,0),MATCH('index match'!L$2,Sheet1!$A$1:$J$1,0))</f>
        <v>Hill</v>
      </c>
      <c r="M360">
        <f>INDEX(Sheet1!$A:$J,MATCH('index match'!$K360,Sheet1!$C:$C,0),MATCH('index match'!M$2,Sheet1!$A$1:$J$1,0))</f>
        <v>1</v>
      </c>
      <c r="N360" t="str">
        <f>INDEX(Sheet1!$A:$J,MATCH('index match'!$K360,Sheet1!$C:$C,0),MATCH('index match'!N$2,Sheet1!$A$1:$J$1,0))</f>
        <v>Middle Age</v>
      </c>
    </row>
    <row r="361" spans="4:14" x14ac:dyDescent="0.25">
      <c r="D361" t="str">
        <v>Daisy Alexander</v>
      </c>
      <c r="E361" t="str">
        <f>INDEX(Sheet1!$A:$J,MATCH('index match'!$D361,Sheet1!$C:$C,0),MATCH('index match'!E$2,Sheet1!$1:$1,0))</f>
        <v>Alexander</v>
      </c>
      <c r="F361">
        <f>INDEX(Sheet1!$A:$J,MATCH('index match'!$D361,Sheet1!$C:$C,0),MATCH('index match'!F$2,Sheet1!$1:$1,0))</f>
        <v>2</v>
      </c>
      <c r="G361" t="str">
        <f>INDEX(Sheet1!$A:$J,MATCH('index match'!$D361,Sheet1!$C:$C,0),MATCH('index match'!G$2,Sheet1!$1:$1,0))</f>
        <v>Young</v>
      </c>
      <c r="K361" t="str">
        <v>Byron Casey</v>
      </c>
      <c r="L361" t="str">
        <f>INDEX(Sheet1!$A:$J,MATCH('index match'!$K361,Sheet1!$C:$C,0),MATCH('index match'!L$2,Sheet1!$A$1:$J$1,0))</f>
        <v>Casey</v>
      </c>
      <c r="M361">
        <f>INDEX(Sheet1!$A:$J,MATCH('index match'!$K361,Sheet1!$C:$C,0),MATCH('index match'!M$2,Sheet1!$A$1:$J$1,0))</f>
        <v>5</v>
      </c>
      <c r="N361" t="str">
        <f>INDEX(Sheet1!$A:$J,MATCH('index match'!$K361,Sheet1!$C:$C,0),MATCH('index match'!N$2,Sheet1!$A$1:$J$1,0))</f>
        <v>Old</v>
      </c>
    </row>
    <row r="362" spans="4:14" x14ac:dyDescent="0.25">
      <c r="D362" t="str">
        <v>Florrie Elliott</v>
      </c>
      <c r="E362" t="str">
        <f>INDEX(Sheet1!$A:$J,MATCH('index match'!$D362,Sheet1!$C:$C,0),MATCH('index match'!E$2,Sheet1!$1:$1,0))</f>
        <v>Elliott</v>
      </c>
      <c r="F362">
        <f>INDEX(Sheet1!$A:$J,MATCH('index match'!$D362,Sheet1!$C:$C,0),MATCH('index match'!F$2,Sheet1!$1:$1,0))</f>
        <v>1</v>
      </c>
      <c r="G362" t="str">
        <f>INDEX(Sheet1!$A:$J,MATCH('index match'!$D362,Sheet1!$C:$C,0),MATCH('index match'!G$2,Sheet1!$1:$1,0))</f>
        <v>Middle Age</v>
      </c>
      <c r="K362" t="str">
        <v>Dominik Edwards</v>
      </c>
      <c r="L362" t="str">
        <f>INDEX(Sheet1!$A:$J,MATCH('index match'!$K362,Sheet1!$C:$C,0),MATCH('index match'!L$2,Sheet1!$A$1:$J$1,0))</f>
        <v>Edwards</v>
      </c>
      <c r="M362">
        <f>INDEX(Sheet1!$A:$J,MATCH('index match'!$K362,Sheet1!$C:$C,0),MATCH('index match'!M$2,Sheet1!$A$1:$J$1,0))</f>
        <v>1</v>
      </c>
      <c r="N362" t="str">
        <f>INDEX(Sheet1!$A:$J,MATCH('index match'!$K362,Sheet1!$C:$C,0),MATCH('index match'!N$2,Sheet1!$A$1:$J$1,0))</f>
        <v>Old</v>
      </c>
    </row>
    <row r="363" spans="4:14" x14ac:dyDescent="0.25">
      <c r="D363" t="str">
        <v>Arianna Cooper</v>
      </c>
      <c r="E363" t="str">
        <f>INDEX(Sheet1!$A:$J,MATCH('index match'!$D363,Sheet1!$C:$C,0),MATCH('index match'!E$2,Sheet1!$1:$1,0))</f>
        <v>Cooper</v>
      </c>
      <c r="F363">
        <f>INDEX(Sheet1!$A:$J,MATCH('index match'!$D363,Sheet1!$C:$C,0),MATCH('index match'!F$2,Sheet1!$1:$1,0))</f>
        <v>0</v>
      </c>
      <c r="G363" t="str">
        <f>INDEX(Sheet1!$A:$J,MATCH('index match'!$D363,Sheet1!$C:$C,0),MATCH('index match'!G$2,Sheet1!$1:$1,0))</f>
        <v>Middle Age</v>
      </c>
      <c r="K363" t="str">
        <v>Sarah Watson</v>
      </c>
      <c r="L363" t="str">
        <f>INDEX(Sheet1!$A:$J,MATCH('index match'!$K363,Sheet1!$C:$C,0),MATCH('index match'!L$2,Sheet1!$A$1:$J$1,0))</f>
        <v>Watson</v>
      </c>
      <c r="M363">
        <f>INDEX(Sheet1!$A:$J,MATCH('index match'!$K363,Sheet1!$C:$C,0),MATCH('index match'!M$2,Sheet1!$A$1:$J$1,0))</f>
        <v>3</v>
      </c>
      <c r="N363" t="str">
        <f>INDEX(Sheet1!$A:$J,MATCH('index match'!$K363,Sheet1!$C:$C,0),MATCH('index match'!N$2,Sheet1!$A$1:$J$1,0))</f>
        <v>Young</v>
      </c>
    </row>
    <row r="364" spans="4:14" x14ac:dyDescent="0.25">
      <c r="D364" t="str">
        <v>Blake Bennett</v>
      </c>
      <c r="E364" t="str">
        <f>INDEX(Sheet1!$A:$J,MATCH('index match'!$D364,Sheet1!$C:$C,0),MATCH('index match'!E$2,Sheet1!$1:$1,0))</f>
        <v>Bennett</v>
      </c>
      <c r="F364">
        <f>INDEX(Sheet1!$A:$J,MATCH('index match'!$D364,Sheet1!$C:$C,0),MATCH('index match'!F$2,Sheet1!$1:$1,0))</f>
        <v>3</v>
      </c>
      <c r="G364" t="str">
        <f>INDEX(Sheet1!$A:$J,MATCH('index match'!$D364,Sheet1!$C:$C,0),MATCH('index match'!G$2,Sheet1!$1:$1,0))</f>
        <v>Old</v>
      </c>
      <c r="K364" t="str">
        <v>Anna Parker</v>
      </c>
      <c r="L364" t="str">
        <f>INDEX(Sheet1!$A:$J,MATCH('index match'!$K364,Sheet1!$C:$C,0),MATCH('index match'!L$2,Sheet1!$A$1:$J$1,0))</f>
        <v>Parker</v>
      </c>
      <c r="M364">
        <f>INDEX(Sheet1!$A:$J,MATCH('index match'!$K364,Sheet1!$C:$C,0),MATCH('index match'!M$2,Sheet1!$A$1:$J$1,0))</f>
        <v>1</v>
      </c>
      <c r="N364" t="str">
        <f>INDEX(Sheet1!$A:$J,MATCH('index match'!$K364,Sheet1!$C:$C,0),MATCH('index match'!N$2,Sheet1!$A$1:$J$1,0))</f>
        <v>Young</v>
      </c>
    </row>
    <row r="365" spans="4:14" x14ac:dyDescent="0.25">
      <c r="D365" t="str">
        <v>Justin Taylor</v>
      </c>
      <c r="E365" t="str">
        <f>INDEX(Sheet1!$A:$J,MATCH('index match'!$D365,Sheet1!$C:$C,0),MATCH('index match'!E$2,Sheet1!$1:$1,0))</f>
        <v>Taylor</v>
      </c>
      <c r="F365">
        <f>INDEX(Sheet1!$A:$J,MATCH('index match'!$D365,Sheet1!$C:$C,0),MATCH('index match'!F$2,Sheet1!$1:$1,0))</f>
        <v>1</v>
      </c>
      <c r="G365" t="str">
        <f>INDEX(Sheet1!$A:$J,MATCH('index match'!$D365,Sheet1!$C:$C,0),MATCH('index match'!G$2,Sheet1!$1:$1,0))</f>
        <v>Middle Age</v>
      </c>
      <c r="K365" t="str">
        <v>Michael Johnson</v>
      </c>
      <c r="L365" t="str">
        <f>INDEX(Sheet1!$A:$J,MATCH('index match'!$K365,Sheet1!$C:$C,0),MATCH('index match'!L$2,Sheet1!$A$1:$J$1,0))</f>
        <v>Johnson</v>
      </c>
      <c r="M365">
        <f>INDEX(Sheet1!$A:$J,MATCH('index match'!$K365,Sheet1!$C:$C,0),MATCH('index match'!M$2,Sheet1!$A$1:$J$1,0))</f>
        <v>5</v>
      </c>
      <c r="N365" t="str">
        <f>INDEX(Sheet1!$A:$J,MATCH('index match'!$K365,Sheet1!$C:$C,0),MATCH('index match'!N$2,Sheet1!$A$1:$J$1,0))</f>
        <v>Middle Age</v>
      </c>
    </row>
    <row r="366" spans="4:14" x14ac:dyDescent="0.25">
      <c r="D366" t="str">
        <v>Annabella Russell</v>
      </c>
      <c r="E366" t="str">
        <f>INDEX(Sheet1!$A:$J,MATCH('index match'!$D366,Sheet1!$C:$C,0),MATCH('index match'!E$2,Sheet1!$1:$1,0))</f>
        <v>Russell</v>
      </c>
      <c r="F366">
        <f>INDEX(Sheet1!$A:$J,MATCH('index match'!$D366,Sheet1!$C:$C,0),MATCH('index match'!F$2,Sheet1!$1:$1,0))</f>
        <v>1</v>
      </c>
      <c r="G366" t="str">
        <f>INDEX(Sheet1!$A:$J,MATCH('index match'!$D366,Sheet1!$C:$C,0),MATCH('index match'!G$2,Sheet1!$1:$1,0))</f>
        <v>Middle Age</v>
      </c>
      <c r="K366" t="str">
        <v>Stella Henderson</v>
      </c>
      <c r="L366" t="str">
        <f>INDEX(Sheet1!$A:$J,MATCH('index match'!$K366,Sheet1!$C:$C,0),MATCH('index match'!L$2,Sheet1!$A$1:$J$1,0))</f>
        <v>Henderson</v>
      </c>
      <c r="M366">
        <f>INDEX(Sheet1!$A:$J,MATCH('index match'!$K366,Sheet1!$C:$C,0),MATCH('index match'!M$2,Sheet1!$A$1:$J$1,0))</f>
        <v>0</v>
      </c>
      <c r="N366" t="str">
        <f>INDEX(Sheet1!$A:$J,MATCH('index match'!$K366,Sheet1!$C:$C,0),MATCH('index match'!N$2,Sheet1!$A$1:$J$1,0))</f>
        <v>Young</v>
      </c>
    </row>
    <row r="367" spans="4:14" x14ac:dyDescent="0.25">
      <c r="D367" t="str">
        <v>Michael Perkins</v>
      </c>
      <c r="E367" t="str">
        <f>INDEX(Sheet1!$A:$J,MATCH('index match'!$D367,Sheet1!$C:$C,0),MATCH('index match'!E$2,Sheet1!$1:$1,0))</f>
        <v>Perkins</v>
      </c>
      <c r="F367">
        <f>INDEX(Sheet1!$A:$J,MATCH('index match'!$D367,Sheet1!$C:$C,0),MATCH('index match'!F$2,Sheet1!$1:$1,0))</f>
        <v>4</v>
      </c>
      <c r="G367" t="str">
        <f>INDEX(Sheet1!$A:$J,MATCH('index match'!$D367,Sheet1!$C:$C,0),MATCH('index match'!G$2,Sheet1!$1:$1,0))</f>
        <v>Young</v>
      </c>
      <c r="K367" t="str">
        <v>George Tucker</v>
      </c>
      <c r="L367" t="str">
        <f>INDEX(Sheet1!$A:$J,MATCH('index match'!$K367,Sheet1!$C:$C,0),MATCH('index match'!L$2,Sheet1!$A$1:$J$1,0))</f>
        <v>Tucker</v>
      </c>
      <c r="M367">
        <f>INDEX(Sheet1!$A:$J,MATCH('index match'!$K367,Sheet1!$C:$C,0),MATCH('index match'!M$2,Sheet1!$A$1:$J$1,0))</f>
        <v>1</v>
      </c>
      <c r="N367" t="str">
        <f>INDEX(Sheet1!$A:$J,MATCH('index match'!$K367,Sheet1!$C:$C,0),MATCH('index match'!N$2,Sheet1!$A$1:$J$1,0))</f>
        <v>Middle Age</v>
      </c>
    </row>
    <row r="368" spans="4:14" x14ac:dyDescent="0.25">
      <c r="D368" t="str">
        <v>Nicole Owens</v>
      </c>
      <c r="E368" t="str">
        <f>INDEX(Sheet1!$A:$J,MATCH('index match'!$D368,Sheet1!$C:$C,0),MATCH('index match'!E$2,Sheet1!$1:$1,0))</f>
        <v>Owens</v>
      </c>
      <c r="F368">
        <f>INDEX(Sheet1!$A:$J,MATCH('index match'!$D368,Sheet1!$C:$C,0),MATCH('index match'!F$2,Sheet1!$1:$1,0))</f>
        <v>2</v>
      </c>
      <c r="G368" t="str">
        <f>INDEX(Sheet1!$A:$J,MATCH('index match'!$D368,Sheet1!$C:$C,0),MATCH('index match'!G$2,Sheet1!$1:$1,0))</f>
        <v>Middle Age</v>
      </c>
      <c r="K368" t="str">
        <v>Daryl Carroll</v>
      </c>
      <c r="L368" t="str">
        <f>INDEX(Sheet1!$A:$J,MATCH('index match'!$K368,Sheet1!$C:$C,0),MATCH('index match'!L$2,Sheet1!$A$1:$J$1,0))</f>
        <v>Carroll</v>
      </c>
      <c r="M368">
        <f>INDEX(Sheet1!$A:$J,MATCH('index match'!$K368,Sheet1!$C:$C,0),MATCH('index match'!M$2,Sheet1!$A$1:$J$1,0))</f>
        <v>4</v>
      </c>
      <c r="N368" t="str">
        <f>INDEX(Sheet1!$A:$J,MATCH('index match'!$K368,Sheet1!$C:$C,0),MATCH('index match'!N$2,Sheet1!$A$1:$J$1,0))</f>
        <v>Middle Age</v>
      </c>
    </row>
    <row r="369" spans="4:14" x14ac:dyDescent="0.25">
      <c r="D369" t="str">
        <v>Justin Mason</v>
      </c>
      <c r="E369" t="str">
        <f>INDEX(Sheet1!$A:$J,MATCH('index match'!$D369,Sheet1!$C:$C,0),MATCH('index match'!E$2,Sheet1!$1:$1,0))</f>
        <v>Mason</v>
      </c>
      <c r="F369">
        <f>INDEX(Sheet1!$A:$J,MATCH('index match'!$D369,Sheet1!$C:$C,0),MATCH('index match'!F$2,Sheet1!$1:$1,0))</f>
        <v>0</v>
      </c>
      <c r="G369" t="str">
        <f>INDEX(Sheet1!$A:$J,MATCH('index match'!$D369,Sheet1!$C:$C,0),MATCH('index match'!G$2,Sheet1!$1:$1,0))</f>
        <v>Old</v>
      </c>
      <c r="K369" t="str">
        <v>Savana Spencer</v>
      </c>
      <c r="L369" t="str">
        <f>INDEX(Sheet1!$A:$J,MATCH('index match'!$K369,Sheet1!$C:$C,0),MATCH('index match'!L$2,Sheet1!$A$1:$J$1,0))</f>
        <v>Spencer</v>
      </c>
      <c r="M369">
        <f>INDEX(Sheet1!$A:$J,MATCH('index match'!$K369,Sheet1!$C:$C,0),MATCH('index match'!M$2,Sheet1!$A$1:$J$1,0))</f>
        <v>3</v>
      </c>
      <c r="N369" t="str">
        <f>INDEX(Sheet1!$A:$J,MATCH('index match'!$K369,Sheet1!$C:$C,0),MATCH('index match'!N$2,Sheet1!$A$1:$J$1,0))</f>
        <v>Young</v>
      </c>
    </row>
    <row r="370" spans="4:14" x14ac:dyDescent="0.25">
      <c r="D370" t="str">
        <v>Adrianna Cooper</v>
      </c>
      <c r="E370" t="str">
        <f>INDEX(Sheet1!$A:$J,MATCH('index match'!$D370,Sheet1!$C:$C,0),MATCH('index match'!E$2,Sheet1!$1:$1,0))</f>
        <v>Cooper</v>
      </c>
      <c r="F370">
        <f>INDEX(Sheet1!$A:$J,MATCH('index match'!$D370,Sheet1!$C:$C,0),MATCH('index match'!F$2,Sheet1!$1:$1,0))</f>
        <v>1</v>
      </c>
      <c r="G370" t="str">
        <f>INDEX(Sheet1!$A:$J,MATCH('index match'!$D370,Sheet1!$C:$C,0),MATCH('index match'!G$2,Sheet1!$1:$1,0))</f>
        <v>Middle Age</v>
      </c>
      <c r="K370" t="str">
        <v>Chloe Bailey</v>
      </c>
      <c r="L370" t="str">
        <f>INDEX(Sheet1!$A:$J,MATCH('index match'!$K370,Sheet1!$C:$C,0),MATCH('index match'!L$2,Sheet1!$A$1:$J$1,0))</f>
        <v>Bailey</v>
      </c>
      <c r="M370">
        <f>INDEX(Sheet1!$A:$J,MATCH('index match'!$K370,Sheet1!$C:$C,0),MATCH('index match'!M$2,Sheet1!$A$1:$J$1,0))</f>
        <v>3</v>
      </c>
      <c r="N370" t="str">
        <f>INDEX(Sheet1!$A:$J,MATCH('index match'!$K370,Sheet1!$C:$C,0),MATCH('index match'!N$2,Sheet1!$A$1:$J$1,0))</f>
        <v>Young</v>
      </c>
    </row>
    <row r="371" spans="4:14" x14ac:dyDescent="0.25">
      <c r="D371" t="str">
        <v>Lana Harper</v>
      </c>
      <c r="E371" t="str">
        <f>INDEX(Sheet1!$A:$J,MATCH('index match'!$D371,Sheet1!$C:$C,0),MATCH('index match'!E$2,Sheet1!$1:$1,0))</f>
        <v>Harper</v>
      </c>
      <c r="F371">
        <f>INDEX(Sheet1!$A:$J,MATCH('index match'!$D371,Sheet1!$C:$C,0),MATCH('index match'!F$2,Sheet1!$1:$1,0))</f>
        <v>5</v>
      </c>
      <c r="G371" t="str">
        <f>INDEX(Sheet1!$A:$J,MATCH('index match'!$D371,Sheet1!$C:$C,0),MATCH('index match'!G$2,Sheet1!$1:$1,0))</f>
        <v>Old</v>
      </c>
      <c r="K371" t="str">
        <v>Adele Cunningham</v>
      </c>
      <c r="L371" t="str">
        <f>INDEX(Sheet1!$A:$J,MATCH('index match'!$K371,Sheet1!$C:$C,0),MATCH('index match'!L$2,Sheet1!$A$1:$J$1,0))</f>
        <v>Cunningham</v>
      </c>
      <c r="M371">
        <f>INDEX(Sheet1!$A:$J,MATCH('index match'!$K371,Sheet1!$C:$C,0),MATCH('index match'!M$2,Sheet1!$A$1:$J$1,0))</f>
        <v>5</v>
      </c>
      <c r="N371" t="str">
        <f>INDEX(Sheet1!$A:$J,MATCH('index match'!$K371,Sheet1!$C:$C,0),MATCH('index match'!N$2,Sheet1!$A$1:$J$1,0))</f>
        <v>Middle Age</v>
      </c>
    </row>
    <row r="372" spans="4:14" x14ac:dyDescent="0.25">
      <c r="D372" t="str">
        <v>Ada Moore</v>
      </c>
      <c r="E372" t="str">
        <f>INDEX(Sheet1!$A:$J,MATCH('index match'!$D372,Sheet1!$C:$C,0),MATCH('index match'!E$2,Sheet1!$1:$1,0))</f>
        <v>Moore</v>
      </c>
      <c r="F372">
        <f>INDEX(Sheet1!$A:$J,MATCH('index match'!$D372,Sheet1!$C:$C,0),MATCH('index match'!F$2,Sheet1!$1:$1,0))</f>
        <v>2</v>
      </c>
      <c r="G372" t="str">
        <f>INDEX(Sheet1!$A:$J,MATCH('index match'!$D372,Sheet1!$C:$C,0),MATCH('index match'!G$2,Sheet1!$1:$1,0))</f>
        <v>Middle Age</v>
      </c>
      <c r="K372" t="str">
        <v>Edwin Baker</v>
      </c>
      <c r="L372" t="str">
        <f>INDEX(Sheet1!$A:$J,MATCH('index match'!$K372,Sheet1!$C:$C,0),MATCH('index match'!L$2,Sheet1!$A$1:$J$1,0))</f>
        <v>Baker</v>
      </c>
      <c r="M372">
        <f>INDEX(Sheet1!$A:$J,MATCH('index match'!$K372,Sheet1!$C:$C,0),MATCH('index match'!M$2,Sheet1!$A$1:$J$1,0))</f>
        <v>1</v>
      </c>
      <c r="N372" t="str">
        <f>INDEX(Sheet1!$A:$J,MATCH('index match'!$K372,Sheet1!$C:$C,0),MATCH('index match'!N$2,Sheet1!$A$1:$J$1,0))</f>
        <v>Old</v>
      </c>
    </row>
    <row r="373" spans="4:14" x14ac:dyDescent="0.25">
      <c r="D373" t="str">
        <v>Sofia Gibson</v>
      </c>
      <c r="E373" t="str">
        <f>INDEX(Sheet1!$A:$J,MATCH('index match'!$D373,Sheet1!$C:$C,0),MATCH('index match'!E$2,Sheet1!$1:$1,0))</f>
        <v>Gibson</v>
      </c>
      <c r="F373">
        <f>INDEX(Sheet1!$A:$J,MATCH('index match'!$D373,Sheet1!$C:$C,0),MATCH('index match'!F$2,Sheet1!$1:$1,0))</f>
        <v>1</v>
      </c>
      <c r="G373" t="str">
        <f>INDEX(Sheet1!$A:$J,MATCH('index match'!$D373,Sheet1!$C:$C,0),MATCH('index match'!G$2,Sheet1!$1:$1,0))</f>
        <v>Old</v>
      </c>
      <c r="K373" t="str">
        <v>William Lloyd</v>
      </c>
      <c r="L373" t="str">
        <f>INDEX(Sheet1!$A:$J,MATCH('index match'!$K373,Sheet1!$C:$C,0),MATCH('index match'!L$2,Sheet1!$A$1:$J$1,0))</f>
        <v>Lloyd</v>
      </c>
      <c r="M373">
        <f>INDEX(Sheet1!$A:$J,MATCH('index match'!$K373,Sheet1!$C:$C,0),MATCH('index match'!M$2,Sheet1!$A$1:$J$1,0))</f>
        <v>1</v>
      </c>
      <c r="N373" t="str">
        <f>INDEX(Sheet1!$A:$J,MATCH('index match'!$K373,Sheet1!$C:$C,0),MATCH('index match'!N$2,Sheet1!$A$1:$J$1,0))</f>
        <v>Middle Age</v>
      </c>
    </row>
    <row r="374" spans="4:14" x14ac:dyDescent="0.25">
      <c r="D374" t="str">
        <v>Sienna Adams</v>
      </c>
      <c r="E374" t="str">
        <f>INDEX(Sheet1!$A:$J,MATCH('index match'!$D374,Sheet1!$C:$C,0),MATCH('index match'!E$2,Sheet1!$1:$1,0))</f>
        <v>Adams</v>
      </c>
      <c r="F374">
        <f>INDEX(Sheet1!$A:$J,MATCH('index match'!$D374,Sheet1!$C:$C,0),MATCH('index match'!F$2,Sheet1!$1:$1,0))</f>
        <v>4</v>
      </c>
      <c r="G374" t="str">
        <f>INDEX(Sheet1!$A:$J,MATCH('index match'!$D374,Sheet1!$C:$C,0),MATCH('index match'!G$2,Sheet1!$1:$1,0))</f>
        <v>Middle Age</v>
      </c>
      <c r="K374" t="str">
        <v>Freddie Warren</v>
      </c>
      <c r="L374" t="str">
        <f>INDEX(Sheet1!$A:$J,MATCH('index match'!$K374,Sheet1!$C:$C,0),MATCH('index match'!L$2,Sheet1!$A$1:$J$1,0))</f>
        <v>Warren</v>
      </c>
      <c r="M374">
        <f>INDEX(Sheet1!$A:$J,MATCH('index match'!$K374,Sheet1!$C:$C,0),MATCH('index match'!M$2,Sheet1!$A$1:$J$1,0))</f>
        <v>4</v>
      </c>
      <c r="N374" t="str">
        <f>INDEX(Sheet1!$A:$J,MATCH('index match'!$K374,Sheet1!$C:$C,0),MATCH('index match'!N$2,Sheet1!$A$1:$J$1,0))</f>
        <v>Middle Age</v>
      </c>
    </row>
    <row r="375" spans="4:14" x14ac:dyDescent="0.25">
      <c r="D375" t="str">
        <v>Heather Davis</v>
      </c>
      <c r="E375" t="str">
        <f>INDEX(Sheet1!$A:$J,MATCH('index match'!$D375,Sheet1!$C:$C,0),MATCH('index match'!E$2,Sheet1!$1:$1,0))</f>
        <v>Davis</v>
      </c>
      <c r="F375">
        <f>INDEX(Sheet1!$A:$J,MATCH('index match'!$D375,Sheet1!$C:$C,0),MATCH('index match'!F$2,Sheet1!$1:$1,0))</f>
        <v>3</v>
      </c>
      <c r="G375" t="str">
        <f>INDEX(Sheet1!$A:$J,MATCH('index match'!$D375,Sheet1!$C:$C,0),MATCH('index match'!G$2,Sheet1!$1:$1,0))</f>
        <v>Young</v>
      </c>
      <c r="K375" t="str">
        <v>Alina Watson</v>
      </c>
      <c r="L375" t="str">
        <f>INDEX(Sheet1!$A:$J,MATCH('index match'!$K375,Sheet1!$C:$C,0),MATCH('index match'!L$2,Sheet1!$A$1:$J$1,0))</f>
        <v>Watson</v>
      </c>
      <c r="M375">
        <f>INDEX(Sheet1!$A:$J,MATCH('index match'!$K375,Sheet1!$C:$C,0),MATCH('index match'!M$2,Sheet1!$A$1:$J$1,0))</f>
        <v>4</v>
      </c>
      <c r="N375" t="str">
        <f>INDEX(Sheet1!$A:$J,MATCH('index match'!$K375,Sheet1!$C:$C,0),MATCH('index match'!N$2,Sheet1!$A$1:$J$1,0))</f>
        <v>Old</v>
      </c>
    </row>
    <row r="376" spans="4:14" x14ac:dyDescent="0.25">
      <c r="D376" t="str">
        <v>Joyce Johnson</v>
      </c>
      <c r="E376" t="str">
        <f>INDEX(Sheet1!$A:$J,MATCH('index match'!$D376,Sheet1!$C:$C,0),MATCH('index match'!E$2,Sheet1!$1:$1,0))</f>
        <v>Johnson</v>
      </c>
      <c r="F376">
        <f>INDEX(Sheet1!$A:$J,MATCH('index match'!$D376,Sheet1!$C:$C,0),MATCH('index match'!F$2,Sheet1!$1:$1,0))</f>
        <v>5</v>
      </c>
      <c r="G376" t="str">
        <f>INDEX(Sheet1!$A:$J,MATCH('index match'!$D376,Sheet1!$C:$C,0),MATCH('index match'!G$2,Sheet1!$1:$1,0))</f>
        <v>Middle Age</v>
      </c>
      <c r="K376" t="str">
        <v>Melanie Nelson</v>
      </c>
      <c r="L376" t="str">
        <f>INDEX(Sheet1!$A:$J,MATCH('index match'!$K376,Sheet1!$C:$C,0),MATCH('index match'!L$2,Sheet1!$A$1:$J$1,0))</f>
        <v>Nelson</v>
      </c>
      <c r="M376">
        <f>INDEX(Sheet1!$A:$J,MATCH('index match'!$K376,Sheet1!$C:$C,0),MATCH('index match'!M$2,Sheet1!$A$1:$J$1,0))</f>
        <v>3</v>
      </c>
      <c r="N376" t="str">
        <f>INDEX(Sheet1!$A:$J,MATCH('index match'!$K376,Sheet1!$C:$C,0),MATCH('index match'!N$2,Sheet1!$A$1:$J$1,0))</f>
        <v>Old</v>
      </c>
    </row>
    <row r="377" spans="4:14" x14ac:dyDescent="0.25">
      <c r="D377" t="str">
        <v>Catherine Scott</v>
      </c>
      <c r="E377" t="str">
        <f>INDEX(Sheet1!$A:$J,MATCH('index match'!$D377,Sheet1!$C:$C,0),MATCH('index match'!E$2,Sheet1!$1:$1,0))</f>
        <v>Scott</v>
      </c>
      <c r="F377">
        <f>INDEX(Sheet1!$A:$J,MATCH('index match'!$D377,Sheet1!$C:$C,0),MATCH('index match'!F$2,Sheet1!$1:$1,0))</f>
        <v>0</v>
      </c>
      <c r="G377" t="str">
        <f>INDEX(Sheet1!$A:$J,MATCH('index match'!$D377,Sheet1!$C:$C,0),MATCH('index match'!G$2,Sheet1!$1:$1,0))</f>
        <v>Old</v>
      </c>
      <c r="K377" t="str">
        <v>Roland Taylor</v>
      </c>
      <c r="L377" t="str">
        <f>INDEX(Sheet1!$A:$J,MATCH('index match'!$K377,Sheet1!$C:$C,0),MATCH('index match'!L$2,Sheet1!$A$1:$J$1,0))</f>
        <v>Taylor</v>
      </c>
      <c r="M377">
        <f>INDEX(Sheet1!$A:$J,MATCH('index match'!$K377,Sheet1!$C:$C,0),MATCH('index match'!M$2,Sheet1!$A$1:$J$1,0))</f>
        <v>5</v>
      </c>
      <c r="N377" t="str">
        <f>INDEX(Sheet1!$A:$J,MATCH('index match'!$K377,Sheet1!$C:$C,0),MATCH('index match'!N$2,Sheet1!$A$1:$J$1,0))</f>
        <v>Old</v>
      </c>
    </row>
    <row r="378" spans="4:14" x14ac:dyDescent="0.25">
      <c r="D378" t="str">
        <v>Tiana Owens</v>
      </c>
      <c r="E378" t="str">
        <f>INDEX(Sheet1!$A:$J,MATCH('index match'!$D378,Sheet1!$C:$C,0),MATCH('index match'!E$2,Sheet1!$1:$1,0))</f>
        <v>Owens</v>
      </c>
      <c r="F378">
        <f>INDEX(Sheet1!$A:$J,MATCH('index match'!$D378,Sheet1!$C:$C,0),MATCH('index match'!F$2,Sheet1!$1:$1,0))</f>
        <v>1</v>
      </c>
      <c r="G378" t="str">
        <f>INDEX(Sheet1!$A:$J,MATCH('index match'!$D378,Sheet1!$C:$C,0),MATCH('index match'!G$2,Sheet1!$1:$1,0))</f>
        <v>Old</v>
      </c>
      <c r="K378" t="str">
        <v>Ryan Gibson</v>
      </c>
      <c r="L378" t="str">
        <f>INDEX(Sheet1!$A:$J,MATCH('index match'!$K378,Sheet1!$C:$C,0),MATCH('index match'!L$2,Sheet1!$A$1:$J$1,0))</f>
        <v>Gibson</v>
      </c>
      <c r="M378">
        <f>INDEX(Sheet1!$A:$J,MATCH('index match'!$K378,Sheet1!$C:$C,0),MATCH('index match'!M$2,Sheet1!$A$1:$J$1,0))</f>
        <v>3</v>
      </c>
      <c r="N378" t="str">
        <f>INDEX(Sheet1!$A:$J,MATCH('index match'!$K378,Sheet1!$C:$C,0),MATCH('index match'!N$2,Sheet1!$A$1:$J$1,0))</f>
        <v>Old</v>
      </c>
    </row>
    <row r="379" spans="4:14" x14ac:dyDescent="0.25">
      <c r="D379" t="str">
        <v>Jasmine Fowler</v>
      </c>
      <c r="E379" t="str">
        <f>INDEX(Sheet1!$A:$J,MATCH('index match'!$D379,Sheet1!$C:$C,0),MATCH('index match'!E$2,Sheet1!$1:$1,0))</f>
        <v>Fowler</v>
      </c>
      <c r="F379">
        <f>INDEX(Sheet1!$A:$J,MATCH('index match'!$D379,Sheet1!$C:$C,0),MATCH('index match'!F$2,Sheet1!$1:$1,0))</f>
        <v>2</v>
      </c>
      <c r="G379" t="str">
        <f>INDEX(Sheet1!$A:$J,MATCH('index match'!$D379,Sheet1!$C:$C,0),MATCH('index match'!G$2,Sheet1!$1:$1,0))</f>
        <v>Old</v>
      </c>
      <c r="K379" t="str">
        <v>April Morrison</v>
      </c>
      <c r="L379" t="str">
        <f>INDEX(Sheet1!$A:$J,MATCH('index match'!$K379,Sheet1!$C:$C,0),MATCH('index match'!L$2,Sheet1!$A$1:$J$1,0))</f>
        <v>Morrison</v>
      </c>
      <c r="M379">
        <f>INDEX(Sheet1!$A:$J,MATCH('index match'!$K379,Sheet1!$C:$C,0),MATCH('index match'!M$2,Sheet1!$A$1:$J$1,0))</f>
        <v>0</v>
      </c>
      <c r="N379" t="str">
        <f>INDEX(Sheet1!$A:$J,MATCH('index match'!$K379,Sheet1!$C:$C,0),MATCH('index match'!N$2,Sheet1!$A$1:$J$1,0))</f>
        <v>Young</v>
      </c>
    </row>
    <row r="380" spans="4:14" x14ac:dyDescent="0.25">
      <c r="D380" t="str">
        <v>Jenna Stewart</v>
      </c>
      <c r="E380" t="str">
        <f>INDEX(Sheet1!$A:$J,MATCH('index match'!$D380,Sheet1!$C:$C,0),MATCH('index match'!E$2,Sheet1!$1:$1,0))</f>
        <v>Stewart</v>
      </c>
      <c r="F380">
        <f>INDEX(Sheet1!$A:$J,MATCH('index match'!$D380,Sheet1!$C:$C,0),MATCH('index match'!F$2,Sheet1!$1:$1,0))</f>
        <v>2</v>
      </c>
      <c r="G380" t="str">
        <f>INDEX(Sheet1!$A:$J,MATCH('index match'!$D380,Sheet1!$C:$C,0),MATCH('index match'!G$2,Sheet1!$1:$1,0))</f>
        <v>Middle Age</v>
      </c>
      <c r="K380" t="str">
        <v>Frederick Miller</v>
      </c>
      <c r="L380" t="str">
        <f>INDEX(Sheet1!$A:$J,MATCH('index match'!$K380,Sheet1!$C:$C,0),MATCH('index match'!L$2,Sheet1!$A$1:$J$1,0))</f>
        <v>Miller</v>
      </c>
      <c r="M380">
        <f>INDEX(Sheet1!$A:$J,MATCH('index match'!$K380,Sheet1!$C:$C,0),MATCH('index match'!M$2,Sheet1!$A$1:$J$1,0))</f>
        <v>2</v>
      </c>
      <c r="N380" t="str">
        <f>INDEX(Sheet1!$A:$J,MATCH('index match'!$K380,Sheet1!$C:$C,0),MATCH('index match'!N$2,Sheet1!$A$1:$J$1,0))</f>
        <v>Young</v>
      </c>
    </row>
    <row r="381" spans="4:14" x14ac:dyDescent="0.25">
      <c r="D381" t="str">
        <v>Marcus Campbell</v>
      </c>
      <c r="E381" t="str">
        <f>INDEX(Sheet1!$A:$J,MATCH('index match'!$D381,Sheet1!$C:$C,0),MATCH('index match'!E$2,Sheet1!$1:$1,0))</f>
        <v>Campbell</v>
      </c>
      <c r="F381">
        <f>INDEX(Sheet1!$A:$J,MATCH('index match'!$D381,Sheet1!$C:$C,0),MATCH('index match'!F$2,Sheet1!$1:$1,0))</f>
        <v>0</v>
      </c>
      <c r="G381" t="str">
        <f>INDEX(Sheet1!$A:$J,MATCH('index match'!$D381,Sheet1!$C:$C,0),MATCH('index match'!G$2,Sheet1!$1:$1,0))</f>
        <v>Young</v>
      </c>
      <c r="K381" t="str">
        <v>Belinda Moore</v>
      </c>
      <c r="L381" t="str">
        <f>INDEX(Sheet1!$A:$J,MATCH('index match'!$K381,Sheet1!$C:$C,0),MATCH('index match'!L$2,Sheet1!$A$1:$J$1,0))</f>
        <v>Moore</v>
      </c>
      <c r="M381">
        <f>INDEX(Sheet1!$A:$J,MATCH('index match'!$K381,Sheet1!$C:$C,0),MATCH('index match'!M$2,Sheet1!$A$1:$J$1,0))</f>
        <v>0</v>
      </c>
      <c r="N381" t="str">
        <f>INDEX(Sheet1!$A:$J,MATCH('index match'!$K381,Sheet1!$C:$C,0),MATCH('index match'!N$2,Sheet1!$A$1:$J$1,0))</f>
        <v>Middle Age</v>
      </c>
    </row>
    <row r="382" spans="4:14" x14ac:dyDescent="0.25">
      <c r="D382" t="str">
        <v>Gianna Wells</v>
      </c>
      <c r="E382" t="str">
        <f>INDEX(Sheet1!$A:$J,MATCH('index match'!$D382,Sheet1!$C:$C,0),MATCH('index match'!E$2,Sheet1!$1:$1,0))</f>
        <v>Wells</v>
      </c>
      <c r="F382">
        <f>INDEX(Sheet1!$A:$J,MATCH('index match'!$D382,Sheet1!$C:$C,0),MATCH('index match'!F$2,Sheet1!$1:$1,0))</f>
        <v>4</v>
      </c>
      <c r="G382" t="str">
        <f>INDEX(Sheet1!$A:$J,MATCH('index match'!$D382,Sheet1!$C:$C,0),MATCH('index match'!G$2,Sheet1!$1:$1,0))</f>
        <v>Young</v>
      </c>
      <c r="K382" t="str">
        <v>Jenna Ellis</v>
      </c>
      <c r="L382" t="str">
        <f>INDEX(Sheet1!$A:$J,MATCH('index match'!$K382,Sheet1!$C:$C,0),MATCH('index match'!L$2,Sheet1!$A$1:$J$1,0))</f>
        <v>Ellis</v>
      </c>
      <c r="M382">
        <f>INDEX(Sheet1!$A:$J,MATCH('index match'!$K382,Sheet1!$C:$C,0),MATCH('index match'!M$2,Sheet1!$A$1:$J$1,0))</f>
        <v>1</v>
      </c>
      <c r="N382" t="str">
        <f>INDEX(Sheet1!$A:$J,MATCH('index match'!$K382,Sheet1!$C:$C,0),MATCH('index match'!N$2,Sheet1!$A$1:$J$1,0))</f>
        <v>Old</v>
      </c>
    </row>
    <row r="383" spans="4:14" x14ac:dyDescent="0.25">
      <c r="D383" t="str">
        <v>April Turner</v>
      </c>
      <c r="E383" t="str">
        <f>INDEX(Sheet1!$A:$J,MATCH('index match'!$D383,Sheet1!$C:$C,0),MATCH('index match'!E$2,Sheet1!$1:$1,0))</f>
        <v>Turner</v>
      </c>
      <c r="F383">
        <f>INDEX(Sheet1!$A:$J,MATCH('index match'!$D383,Sheet1!$C:$C,0),MATCH('index match'!F$2,Sheet1!$1:$1,0))</f>
        <v>2</v>
      </c>
      <c r="G383" t="str">
        <f>INDEX(Sheet1!$A:$J,MATCH('index match'!$D383,Sheet1!$C:$C,0),MATCH('index match'!G$2,Sheet1!$1:$1,0))</f>
        <v>Middle Age</v>
      </c>
      <c r="K383" t="str">
        <v>Clark Gibson</v>
      </c>
      <c r="L383" t="str">
        <f>INDEX(Sheet1!$A:$J,MATCH('index match'!$K383,Sheet1!$C:$C,0),MATCH('index match'!L$2,Sheet1!$A$1:$J$1,0))</f>
        <v>Gibson</v>
      </c>
      <c r="M383">
        <f>INDEX(Sheet1!$A:$J,MATCH('index match'!$K383,Sheet1!$C:$C,0),MATCH('index match'!M$2,Sheet1!$A$1:$J$1,0))</f>
        <v>2</v>
      </c>
      <c r="N383" t="str">
        <f>INDEX(Sheet1!$A:$J,MATCH('index match'!$K383,Sheet1!$C:$C,0),MATCH('index match'!N$2,Sheet1!$A$1:$J$1,0))</f>
        <v>Old</v>
      </c>
    </row>
    <row r="384" spans="4:14" x14ac:dyDescent="0.25">
      <c r="D384" t="str">
        <v>Eric Barrett</v>
      </c>
      <c r="E384" t="str">
        <f>INDEX(Sheet1!$A:$J,MATCH('index match'!$D384,Sheet1!$C:$C,0),MATCH('index match'!E$2,Sheet1!$1:$1,0))</f>
        <v>Barrett</v>
      </c>
      <c r="F384">
        <f>INDEX(Sheet1!$A:$J,MATCH('index match'!$D384,Sheet1!$C:$C,0),MATCH('index match'!F$2,Sheet1!$1:$1,0))</f>
        <v>5</v>
      </c>
      <c r="G384" t="str">
        <f>INDEX(Sheet1!$A:$J,MATCH('index match'!$D384,Sheet1!$C:$C,0),MATCH('index match'!G$2,Sheet1!$1:$1,0))</f>
        <v>Young</v>
      </c>
      <c r="K384" t="str">
        <v>Marcus Nelson</v>
      </c>
      <c r="L384" t="str">
        <f>INDEX(Sheet1!$A:$J,MATCH('index match'!$K384,Sheet1!$C:$C,0),MATCH('index match'!L$2,Sheet1!$A$1:$J$1,0))</f>
        <v>Nelson</v>
      </c>
      <c r="M384">
        <f>INDEX(Sheet1!$A:$J,MATCH('index match'!$K384,Sheet1!$C:$C,0),MATCH('index match'!M$2,Sheet1!$A$1:$J$1,0))</f>
        <v>1</v>
      </c>
      <c r="N384" t="str">
        <f>INDEX(Sheet1!$A:$J,MATCH('index match'!$K384,Sheet1!$C:$C,0),MATCH('index match'!N$2,Sheet1!$A$1:$J$1,0))</f>
        <v>Middle Age</v>
      </c>
    </row>
    <row r="385" spans="4:14" x14ac:dyDescent="0.25">
      <c r="D385" t="str">
        <v>Lily Wright</v>
      </c>
      <c r="E385" t="str">
        <f>INDEX(Sheet1!$A:$J,MATCH('index match'!$D385,Sheet1!$C:$C,0),MATCH('index match'!E$2,Sheet1!$1:$1,0))</f>
        <v>Wright</v>
      </c>
      <c r="F385">
        <f>INDEX(Sheet1!$A:$J,MATCH('index match'!$D385,Sheet1!$C:$C,0),MATCH('index match'!F$2,Sheet1!$1:$1,0))</f>
        <v>1</v>
      </c>
      <c r="G385" t="str">
        <f>INDEX(Sheet1!$A:$J,MATCH('index match'!$D385,Sheet1!$C:$C,0),MATCH('index match'!G$2,Sheet1!$1:$1,0))</f>
        <v>Young</v>
      </c>
      <c r="K385" t="str">
        <v>Emily Johnston</v>
      </c>
      <c r="L385" t="str">
        <f>INDEX(Sheet1!$A:$J,MATCH('index match'!$K385,Sheet1!$C:$C,0),MATCH('index match'!L$2,Sheet1!$A$1:$J$1,0))</f>
        <v>Johnston</v>
      </c>
      <c r="M385">
        <f>INDEX(Sheet1!$A:$J,MATCH('index match'!$K385,Sheet1!$C:$C,0),MATCH('index match'!M$2,Sheet1!$A$1:$J$1,0))</f>
        <v>3</v>
      </c>
      <c r="N385" t="str">
        <f>INDEX(Sheet1!$A:$J,MATCH('index match'!$K385,Sheet1!$C:$C,0),MATCH('index match'!N$2,Sheet1!$A$1:$J$1,0))</f>
        <v>Old</v>
      </c>
    </row>
    <row r="386" spans="4:14" x14ac:dyDescent="0.25">
      <c r="D386" t="str">
        <v>Nicholas Warren</v>
      </c>
      <c r="E386" t="str">
        <f>INDEX(Sheet1!$A:$J,MATCH('index match'!$D386,Sheet1!$C:$C,0),MATCH('index match'!E$2,Sheet1!$1:$1,0))</f>
        <v>Warren</v>
      </c>
      <c r="F386">
        <f>INDEX(Sheet1!$A:$J,MATCH('index match'!$D386,Sheet1!$C:$C,0),MATCH('index match'!F$2,Sheet1!$1:$1,0))</f>
        <v>5</v>
      </c>
      <c r="G386" t="str">
        <f>INDEX(Sheet1!$A:$J,MATCH('index match'!$D386,Sheet1!$C:$C,0),MATCH('index match'!G$2,Sheet1!$1:$1,0))</f>
        <v>Old</v>
      </c>
      <c r="K386" t="str">
        <v>Rubie Rogers</v>
      </c>
      <c r="L386" t="str">
        <f>INDEX(Sheet1!$A:$J,MATCH('index match'!$K386,Sheet1!$C:$C,0),MATCH('index match'!L$2,Sheet1!$A$1:$J$1,0))</f>
        <v>Rogers</v>
      </c>
      <c r="M386">
        <f>INDEX(Sheet1!$A:$J,MATCH('index match'!$K386,Sheet1!$C:$C,0),MATCH('index match'!M$2,Sheet1!$A$1:$J$1,0))</f>
        <v>3</v>
      </c>
      <c r="N386" t="str">
        <f>INDEX(Sheet1!$A:$J,MATCH('index match'!$K386,Sheet1!$C:$C,0),MATCH('index match'!N$2,Sheet1!$A$1:$J$1,0))</f>
        <v>Middle Age</v>
      </c>
    </row>
    <row r="387" spans="4:14" x14ac:dyDescent="0.25">
      <c r="D387" t="str">
        <v>Fiona Hill</v>
      </c>
      <c r="E387" t="str">
        <f>INDEX(Sheet1!$A:$J,MATCH('index match'!$D387,Sheet1!$C:$C,0),MATCH('index match'!E$2,Sheet1!$1:$1,0))</f>
        <v>Hill</v>
      </c>
      <c r="F387">
        <f>INDEX(Sheet1!$A:$J,MATCH('index match'!$D387,Sheet1!$C:$C,0),MATCH('index match'!F$2,Sheet1!$1:$1,0))</f>
        <v>4</v>
      </c>
      <c r="G387" t="str">
        <f>INDEX(Sheet1!$A:$J,MATCH('index match'!$D387,Sheet1!$C:$C,0),MATCH('index match'!G$2,Sheet1!$1:$1,0))</f>
        <v>Old</v>
      </c>
      <c r="K387" t="str">
        <v>Sarah Cunningham</v>
      </c>
      <c r="L387" t="str">
        <f>INDEX(Sheet1!$A:$J,MATCH('index match'!$K387,Sheet1!$C:$C,0),MATCH('index match'!L$2,Sheet1!$A$1:$J$1,0))</f>
        <v>Cunningham</v>
      </c>
      <c r="M387">
        <f>INDEX(Sheet1!$A:$J,MATCH('index match'!$K387,Sheet1!$C:$C,0),MATCH('index match'!M$2,Sheet1!$A$1:$J$1,0))</f>
        <v>5</v>
      </c>
      <c r="N387" t="str">
        <f>INDEX(Sheet1!$A:$J,MATCH('index match'!$K387,Sheet1!$C:$C,0),MATCH('index match'!N$2,Sheet1!$A$1:$J$1,0))</f>
        <v>Young</v>
      </c>
    </row>
    <row r="388" spans="4:14" x14ac:dyDescent="0.25">
      <c r="D388" t="str">
        <v>Melissa Turner</v>
      </c>
      <c r="E388" t="str">
        <f>INDEX(Sheet1!$A:$J,MATCH('index match'!$D388,Sheet1!$C:$C,0),MATCH('index match'!E$2,Sheet1!$1:$1,0))</f>
        <v>Turner</v>
      </c>
      <c r="F388">
        <f>INDEX(Sheet1!$A:$J,MATCH('index match'!$D388,Sheet1!$C:$C,0),MATCH('index match'!F$2,Sheet1!$1:$1,0))</f>
        <v>3</v>
      </c>
      <c r="G388" t="str">
        <f>INDEX(Sheet1!$A:$J,MATCH('index match'!$D388,Sheet1!$C:$C,0),MATCH('index match'!G$2,Sheet1!$1:$1,0))</f>
        <v>Middle Age</v>
      </c>
      <c r="K388" t="str">
        <v>Violet Thomas</v>
      </c>
      <c r="L388" t="str">
        <f>INDEX(Sheet1!$A:$J,MATCH('index match'!$K388,Sheet1!$C:$C,0),MATCH('index match'!L$2,Sheet1!$A$1:$J$1,0))</f>
        <v>Thomas</v>
      </c>
      <c r="M388">
        <f>INDEX(Sheet1!$A:$J,MATCH('index match'!$K388,Sheet1!$C:$C,0),MATCH('index match'!M$2,Sheet1!$A$1:$J$1,0))</f>
        <v>4</v>
      </c>
      <c r="N388" t="str">
        <f>INDEX(Sheet1!$A:$J,MATCH('index match'!$K388,Sheet1!$C:$C,0),MATCH('index match'!N$2,Sheet1!$A$1:$J$1,0))</f>
        <v>Middle Age</v>
      </c>
    </row>
    <row r="389" spans="4:14" x14ac:dyDescent="0.25">
      <c r="D389" t="str">
        <v>Alfred Henderson</v>
      </c>
      <c r="E389" t="str">
        <f>INDEX(Sheet1!$A:$J,MATCH('index match'!$D389,Sheet1!$C:$C,0),MATCH('index match'!E$2,Sheet1!$1:$1,0))</f>
        <v>Henderson</v>
      </c>
      <c r="F389">
        <f>INDEX(Sheet1!$A:$J,MATCH('index match'!$D389,Sheet1!$C:$C,0),MATCH('index match'!F$2,Sheet1!$1:$1,0))</f>
        <v>0</v>
      </c>
      <c r="G389" t="str">
        <f>INDEX(Sheet1!$A:$J,MATCH('index match'!$D389,Sheet1!$C:$C,0),MATCH('index match'!G$2,Sheet1!$1:$1,0))</f>
        <v>Middle Age</v>
      </c>
      <c r="K389" t="str">
        <v>Frederick Ryan</v>
      </c>
      <c r="L389" t="str">
        <f>INDEX(Sheet1!$A:$J,MATCH('index match'!$K389,Sheet1!$C:$C,0),MATCH('index match'!L$2,Sheet1!$A$1:$J$1,0))</f>
        <v>Ryan</v>
      </c>
      <c r="M389">
        <f>INDEX(Sheet1!$A:$J,MATCH('index match'!$K389,Sheet1!$C:$C,0),MATCH('index match'!M$2,Sheet1!$A$1:$J$1,0))</f>
        <v>1</v>
      </c>
      <c r="N389" t="str">
        <f>INDEX(Sheet1!$A:$J,MATCH('index match'!$K389,Sheet1!$C:$C,0),MATCH('index match'!N$2,Sheet1!$A$1:$J$1,0))</f>
        <v>Old</v>
      </c>
    </row>
    <row r="390" spans="4:14" x14ac:dyDescent="0.25">
      <c r="D390" t="str">
        <v>Deanna Warren</v>
      </c>
      <c r="E390" t="str">
        <f>INDEX(Sheet1!$A:$J,MATCH('index match'!$D390,Sheet1!$C:$C,0),MATCH('index match'!E$2,Sheet1!$1:$1,0))</f>
        <v>Warren</v>
      </c>
      <c r="F390">
        <f>INDEX(Sheet1!$A:$J,MATCH('index match'!$D390,Sheet1!$C:$C,0),MATCH('index match'!F$2,Sheet1!$1:$1,0))</f>
        <v>5</v>
      </c>
      <c r="G390" t="str">
        <f>INDEX(Sheet1!$A:$J,MATCH('index match'!$D390,Sheet1!$C:$C,0),MATCH('index match'!G$2,Sheet1!$1:$1,0))</f>
        <v>Middle Age</v>
      </c>
      <c r="K390" t="str">
        <v>Garry Turner</v>
      </c>
      <c r="L390" t="str">
        <f>INDEX(Sheet1!$A:$J,MATCH('index match'!$K390,Sheet1!$C:$C,0),MATCH('index match'!L$2,Sheet1!$A$1:$J$1,0))</f>
        <v>Turner</v>
      </c>
      <c r="M390">
        <f>INDEX(Sheet1!$A:$J,MATCH('index match'!$K390,Sheet1!$C:$C,0),MATCH('index match'!M$2,Sheet1!$A$1:$J$1,0))</f>
        <v>4</v>
      </c>
      <c r="N390" t="str">
        <f>INDEX(Sheet1!$A:$J,MATCH('index match'!$K390,Sheet1!$C:$C,0),MATCH('index match'!N$2,Sheet1!$A$1:$J$1,0))</f>
        <v>Middle Age</v>
      </c>
    </row>
    <row r="391" spans="4:14" x14ac:dyDescent="0.25">
      <c r="D391" t="str">
        <v>Blake Morgan</v>
      </c>
      <c r="E391" t="str">
        <f>INDEX(Sheet1!$A:$J,MATCH('index match'!$D391,Sheet1!$C:$C,0),MATCH('index match'!E$2,Sheet1!$1:$1,0))</f>
        <v>Morgan</v>
      </c>
      <c r="F391">
        <f>INDEX(Sheet1!$A:$J,MATCH('index match'!$D391,Sheet1!$C:$C,0),MATCH('index match'!F$2,Sheet1!$1:$1,0))</f>
        <v>5</v>
      </c>
      <c r="G391" t="str">
        <f>INDEX(Sheet1!$A:$J,MATCH('index match'!$D391,Sheet1!$C:$C,0),MATCH('index match'!G$2,Sheet1!$1:$1,0))</f>
        <v>Middle Age</v>
      </c>
      <c r="K391" t="str">
        <v>Naomi Russell</v>
      </c>
      <c r="L391" t="str">
        <f>INDEX(Sheet1!$A:$J,MATCH('index match'!$K391,Sheet1!$C:$C,0),MATCH('index match'!L$2,Sheet1!$A$1:$J$1,0))</f>
        <v>Russell</v>
      </c>
      <c r="M391">
        <f>INDEX(Sheet1!$A:$J,MATCH('index match'!$K391,Sheet1!$C:$C,0),MATCH('index match'!M$2,Sheet1!$A$1:$J$1,0))</f>
        <v>1</v>
      </c>
      <c r="N391" t="str">
        <f>INDEX(Sheet1!$A:$J,MATCH('index match'!$K391,Sheet1!$C:$C,0),MATCH('index match'!N$2,Sheet1!$A$1:$J$1,0))</f>
        <v>Young</v>
      </c>
    </row>
    <row r="392" spans="4:14" x14ac:dyDescent="0.25">
      <c r="D392" t="str">
        <v>Rubie Hunt</v>
      </c>
      <c r="E392" t="str">
        <f>INDEX(Sheet1!$A:$J,MATCH('index match'!$D392,Sheet1!$C:$C,0),MATCH('index match'!E$2,Sheet1!$1:$1,0))</f>
        <v>Hunt</v>
      </c>
      <c r="F392">
        <f>INDEX(Sheet1!$A:$J,MATCH('index match'!$D392,Sheet1!$C:$C,0),MATCH('index match'!F$2,Sheet1!$1:$1,0))</f>
        <v>4</v>
      </c>
      <c r="G392" t="str">
        <f>INDEX(Sheet1!$A:$J,MATCH('index match'!$D392,Sheet1!$C:$C,0),MATCH('index match'!G$2,Sheet1!$1:$1,0))</f>
        <v>Old</v>
      </c>
      <c r="K392" t="str">
        <v>Patrick Cooper</v>
      </c>
      <c r="L392" t="str">
        <f>INDEX(Sheet1!$A:$J,MATCH('index match'!$K392,Sheet1!$C:$C,0),MATCH('index match'!L$2,Sheet1!$A$1:$J$1,0))</f>
        <v>Cooper</v>
      </c>
      <c r="M392">
        <f>INDEX(Sheet1!$A:$J,MATCH('index match'!$K392,Sheet1!$C:$C,0),MATCH('index match'!M$2,Sheet1!$A$1:$J$1,0))</f>
        <v>4</v>
      </c>
      <c r="N392" t="str">
        <f>INDEX(Sheet1!$A:$J,MATCH('index match'!$K392,Sheet1!$C:$C,0),MATCH('index match'!N$2,Sheet1!$A$1:$J$1,0))</f>
        <v>Young</v>
      </c>
    </row>
    <row r="393" spans="4:14" x14ac:dyDescent="0.25">
      <c r="D393" t="str">
        <v>Victoria Hill</v>
      </c>
      <c r="E393" t="str">
        <f>INDEX(Sheet1!$A:$J,MATCH('index match'!$D393,Sheet1!$C:$C,0),MATCH('index match'!E$2,Sheet1!$1:$1,0))</f>
        <v>Hill</v>
      </c>
      <c r="F393">
        <f>INDEX(Sheet1!$A:$J,MATCH('index match'!$D393,Sheet1!$C:$C,0),MATCH('index match'!F$2,Sheet1!$1:$1,0))</f>
        <v>5</v>
      </c>
      <c r="G393" t="str">
        <f>INDEX(Sheet1!$A:$J,MATCH('index match'!$D393,Sheet1!$C:$C,0),MATCH('index match'!G$2,Sheet1!$1:$1,0))</f>
        <v>Middle Age</v>
      </c>
      <c r="K393" t="str">
        <v>Chester Ryan</v>
      </c>
      <c r="L393" t="str">
        <f>INDEX(Sheet1!$A:$J,MATCH('index match'!$K393,Sheet1!$C:$C,0),MATCH('index match'!L$2,Sheet1!$A$1:$J$1,0))</f>
        <v>Ryan</v>
      </c>
      <c r="M393">
        <f>INDEX(Sheet1!$A:$J,MATCH('index match'!$K393,Sheet1!$C:$C,0),MATCH('index match'!M$2,Sheet1!$A$1:$J$1,0))</f>
        <v>3</v>
      </c>
      <c r="N393" t="str">
        <f>INDEX(Sheet1!$A:$J,MATCH('index match'!$K393,Sheet1!$C:$C,0),MATCH('index match'!N$2,Sheet1!$A$1:$J$1,0))</f>
        <v>Old</v>
      </c>
    </row>
    <row r="394" spans="4:14" x14ac:dyDescent="0.25">
      <c r="D394" t="str">
        <v>Catherine Higgins</v>
      </c>
      <c r="E394" t="str">
        <f>INDEX(Sheet1!$A:$J,MATCH('index match'!$D394,Sheet1!$C:$C,0),MATCH('index match'!E$2,Sheet1!$1:$1,0))</f>
        <v>Higgins</v>
      </c>
      <c r="F394">
        <f>INDEX(Sheet1!$A:$J,MATCH('index match'!$D394,Sheet1!$C:$C,0),MATCH('index match'!F$2,Sheet1!$1:$1,0))</f>
        <v>5</v>
      </c>
      <c r="G394" t="str">
        <f>INDEX(Sheet1!$A:$J,MATCH('index match'!$D394,Sheet1!$C:$C,0),MATCH('index match'!G$2,Sheet1!$1:$1,0))</f>
        <v>Young</v>
      </c>
      <c r="K394" t="str">
        <v>Carlos Perry</v>
      </c>
      <c r="L394" t="str">
        <f>INDEX(Sheet1!$A:$J,MATCH('index match'!$K394,Sheet1!$C:$C,0),MATCH('index match'!L$2,Sheet1!$A$1:$J$1,0))</f>
        <v>Perry</v>
      </c>
      <c r="M394">
        <f>INDEX(Sheet1!$A:$J,MATCH('index match'!$K394,Sheet1!$C:$C,0),MATCH('index match'!M$2,Sheet1!$A$1:$J$1,0))</f>
        <v>0</v>
      </c>
      <c r="N394" t="str">
        <f>INDEX(Sheet1!$A:$J,MATCH('index match'!$K394,Sheet1!$C:$C,0),MATCH('index match'!N$2,Sheet1!$A$1:$J$1,0))</f>
        <v>Young</v>
      </c>
    </row>
    <row r="395" spans="4:14" x14ac:dyDescent="0.25">
      <c r="D395" t="str">
        <v>Alexander Allen</v>
      </c>
      <c r="E395" t="str">
        <f>INDEX(Sheet1!$A:$J,MATCH('index match'!$D395,Sheet1!$C:$C,0),MATCH('index match'!E$2,Sheet1!$1:$1,0))</f>
        <v>Allen</v>
      </c>
      <c r="F395">
        <f>INDEX(Sheet1!$A:$J,MATCH('index match'!$D395,Sheet1!$C:$C,0),MATCH('index match'!F$2,Sheet1!$1:$1,0))</f>
        <v>3</v>
      </c>
      <c r="G395" t="str">
        <f>INDEX(Sheet1!$A:$J,MATCH('index match'!$D395,Sheet1!$C:$C,0),MATCH('index match'!G$2,Sheet1!$1:$1,0))</f>
        <v>Middle Age</v>
      </c>
      <c r="K395" t="str">
        <v>Ned Thompson</v>
      </c>
      <c r="L395" t="str">
        <f>INDEX(Sheet1!$A:$J,MATCH('index match'!$K395,Sheet1!$C:$C,0),MATCH('index match'!L$2,Sheet1!$A$1:$J$1,0))</f>
        <v>Thompson</v>
      </c>
      <c r="M395">
        <f>INDEX(Sheet1!$A:$J,MATCH('index match'!$K395,Sheet1!$C:$C,0),MATCH('index match'!M$2,Sheet1!$A$1:$J$1,0))</f>
        <v>4</v>
      </c>
      <c r="N395" t="str">
        <f>INDEX(Sheet1!$A:$J,MATCH('index match'!$K395,Sheet1!$C:$C,0),MATCH('index match'!N$2,Sheet1!$A$1:$J$1,0))</f>
        <v>Middle Age</v>
      </c>
    </row>
    <row r="396" spans="4:14" x14ac:dyDescent="0.25">
      <c r="D396" t="str">
        <v>Connie Hall</v>
      </c>
      <c r="E396" t="str">
        <f>INDEX(Sheet1!$A:$J,MATCH('index match'!$D396,Sheet1!$C:$C,0),MATCH('index match'!E$2,Sheet1!$1:$1,0))</f>
        <v>Hall</v>
      </c>
      <c r="F396">
        <f>INDEX(Sheet1!$A:$J,MATCH('index match'!$D396,Sheet1!$C:$C,0),MATCH('index match'!F$2,Sheet1!$1:$1,0))</f>
        <v>4</v>
      </c>
      <c r="G396" t="str">
        <f>INDEX(Sheet1!$A:$J,MATCH('index match'!$D396,Sheet1!$C:$C,0),MATCH('index match'!G$2,Sheet1!$1:$1,0))</f>
        <v>Young</v>
      </c>
      <c r="K396" t="str">
        <v>Lilianna Baker</v>
      </c>
      <c r="L396" t="str">
        <f>INDEX(Sheet1!$A:$J,MATCH('index match'!$K396,Sheet1!$C:$C,0),MATCH('index match'!L$2,Sheet1!$A$1:$J$1,0))</f>
        <v>Baker</v>
      </c>
      <c r="M396">
        <f>INDEX(Sheet1!$A:$J,MATCH('index match'!$K396,Sheet1!$C:$C,0),MATCH('index match'!M$2,Sheet1!$A$1:$J$1,0))</f>
        <v>0</v>
      </c>
      <c r="N396" t="str">
        <f>INDEX(Sheet1!$A:$J,MATCH('index match'!$K396,Sheet1!$C:$C,0),MATCH('index match'!N$2,Sheet1!$A$1:$J$1,0))</f>
        <v>Young</v>
      </c>
    </row>
    <row r="397" spans="4:14" x14ac:dyDescent="0.25">
      <c r="D397" t="str">
        <v>Ada Parker</v>
      </c>
      <c r="E397" t="str">
        <f>INDEX(Sheet1!$A:$J,MATCH('index match'!$D397,Sheet1!$C:$C,0),MATCH('index match'!E$2,Sheet1!$1:$1,0))</f>
        <v>Parker</v>
      </c>
      <c r="F397">
        <f>INDEX(Sheet1!$A:$J,MATCH('index match'!$D397,Sheet1!$C:$C,0),MATCH('index match'!F$2,Sheet1!$1:$1,0))</f>
        <v>2</v>
      </c>
      <c r="G397" t="str">
        <f>INDEX(Sheet1!$A:$J,MATCH('index match'!$D397,Sheet1!$C:$C,0),MATCH('index match'!G$2,Sheet1!$1:$1,0))</f>
        <v>Middle Age</v>
      </c>
      <c r="K397" t="str">
        <v>April Stevens</v>
      </c>
      <c r="L397" t="str">
        <f>INDEX(Sheet1!$A:$J,MATCH('index match'!$K397,Sheet1!$C:$C,0),MATCH('index match'!L$2,Sheet1!$A$1:$J$1,0))</f>
        <v>Stevens</v>
      </c>
      <c r="M397">
        <f>INDEX(Sheet1!$A:$J,MATCH('index match'!$K397,Sheet1!$C:$C,0),MATCH('index match'!M$2,Sheet1!$A$1:$J$1,0))</f>
        <v>3</v>
      </c>
      <c r="N397" t="str">
        <f>INDEX(Sheet1!$A:$J,MATCH('index match'!$K397,Sheet1!$C:$C,0),MATCH('index match'!N$2,Sheet1!$A$1:$J$1,0))</f>
        <v>Middle Age</v>
      </c>
    </row>
    <row r="398" spans="4:14" x14ac:dyDescent="0.25">
      <c r="D398" t="str">
        <v>Edgar Carter</v>
      </c>
      <c r="E398" t="str">
        <f>INDEX(Sheet1!$A:$J,MATCH('index match'!$D398,Sheet1!$C:$C,0),MATCH('index match'!E$2,Sheet1!$1:$1,0))</f>
        <v>Carter</v>
      </c>
      <c r="F398">
        <f>INDEX(Sheet1!$A:$J,MATCH('index match'!$D398,Sheet1!$C:$C,0),MATCH('index match'!F$2,Sheet1!$1:$1,0))</f>
        <v>3</v>
      </c>
      <c r="G398" t="str">
        <f>INDEX(Sheet1!$A:$J,MATCH('index match'!$D398,Sheet1!$C:$C,0),MATCH('index match'!G$2,Sheet1!$1:$1,0))</f>
        <v>Middle Age</v>
      </c>
      <c r="K398" t="str">
        <v>Miley Martin</v>
      </c>
      <c r="L398" t="str">
        <f>INDEX(Sheet1!$A:$J,MATCH('index match'!$K398,Sheet1!$C:$C,0),MATCH('index match'!L$2,Sheet1!$A$1:$J$1,0))</f>
        <v>Martin</v>
      </c>
      <c r="M398">
        <f>INDEX(Sheet1!$A:$J,MATCH('index match'!$K398,Sheet1!$C:$C,0),MATCH('index match'!M$2,Sheet1!$A$1:$J$1,0))</f>
        <v>5</v>
      </c>
      <c r="N398" t="str">
        <f>INDEX(Sheet1!$A:$J,MATCH('index match'!$K398,Sheet1!$C:$C,0),MATCH('index match'!N$2,Sheet1!$A$1:$J$1,0))</f>
        <v>Middle Age</v>
      </c>
    </row>
    <row r="399" spans="4:14" x14ac:dyDescent="0.25">
      <c r="D399" t="str">
        <v>Garry Higgins</v>
      </c>
      <c r="E399" t="str">
        <f>INDEX(Sheet1!$A:$J,MATCH('index match'!$D399,Sheet1!$C:$C,0),MATCH('index match'!E$2,Sheet1!$1:$1,0))</f>
        <v>Higgins</v>
      </c>
      <c r="F399">
        <f>INDEX(Sheet1!$A:$J,MATCH('index match'!$D399,Sheet1!$C:$C,0),MATCH('index match'!F$2,Sheet1!$1:$1,0))</f>
        <v>3</v>
      </c>
      <c r="G399" t="str">
        <f>INDEX(Sheet1!$A:$J,MATCH('index match'!$D399,Sheet1!$C:$C,0),MATCH('index match'!G$2,Sheet1!$1:$1,0))</f>
        <v>Middle Age</v>
      </c>
      <c r="K399" t="str">
        <v>Clark Stewart</v>
      </c>
      <c r="L399" t="str">
        <f>INDEX(Sheet1!$A:$J,MATCH('index match'!$K399,Sheet1!$C:$C,0),MATCH('index match'!L$2,Sheet1!$A$1:$J$1,0))</f>
        <v>Stewart</v>
      </c>
      <c r="M399">
        <f>INDEX(Sheet1!$A:$J,MATCH('index match'!$K399,Sheet1!$C:$C,0),MATCH('index match'!M$2,Sheet1!$A$1:$J$1,0))</f>
        <v>4</v>
      </c>
      <c r="N399" t="str">
        <f>INDEX(Sheet1!$A:$J,MATCH('index match'!$K399,Sheet1!$C:$C,0),MATCH('index match'!N$2,Sheet1!$A$1:$J$1,0))</f>
        <v>Middle Age</v>
      </c>
    </row>
    <row r="400" spans="4:14" x14ac:dyDescent="0.25">
      <c r="D400" t="str">
        <v>Byron Bennett</v>
      </c>
      <c r="E400" t="str">
        <f>INDEX(Sheet1!$A:$J,MATCH('index match'!$D400,Sheet1!$C:$C,0),MATCH('index match'!E$2,Sheet1!$1:$1,0))</f>
        <v>Bennett</v>
      </c>
      <c r="F400">
        <f>INDEX(Sheet1!$A:$J,MATCH('index match'!$D400,Sheet1!$C:$C,0),MATCH('index match'!F$2,Sheet1!$1:$1,0))</f>
        <v>0</v>
      </c>
      <c r="G400" t="str">
        <f>INDEX(Sheet1!$A:$J,MATCH('index match'!$D400,Sheet1!$C:$C,0),MATCH('index match'!G$2,Sheet1!$1:$1,0))</f>
        <v>Old</v>
      </c>
      <c r="K400" t="str">
        <v>Vincent Montgomery</v>
      </c>
      <c r="L400" t="str">
        <f>INDEX(Sheet1!$A:$J,MATCH('index match'!$K400,Sheet1!$C:$C,0),MATCH('index match'!L$2,Sheet1!$A$1:$J$1,0))</f>
        <v>Montgomery</v>
      </c>
      <c r="M400">
        <f>INDEX(Sheet1!$A:$J,MATCH('index match'!$K400,Sheet1!$C:$C,0),MATCH('index match'!M$2,Sheet1!$A$1:$J$1,0))</f>
        <v>0</v>
      </c>
      <c r="N400" t="str">
        <f>INDEX(Sheet1!$A:$J,MATCH('index match'!$K400,Sheet1!$C:$C,0),MATCH('index match'!N$2,Sheet1!$A$1:$J$1,0))</f>
        <v>Middle Age</v>
      </c>
    </row>
    <row r="401" spans="4:14" x14ac:dyDescent="0.25">
      <c r="D401" t="str">
        <v>Derek Parker</v>
      </c>
      <c r="E401" t="str">
        <f>INDEX(Sheet1!$A:$J,MATCH('index match'!$D401,Sheet1!$C:$C,0),MATCH('index match'!E$2,Sheet1!$1:$1,0))</f>
        <v>Parker</v>
      </c>
      <c r="F401">
        <f>INDEX(Sheet1!$A:$J,MATCH('index match'!$D401,Sheet1!$C:$C,0),MATCH('index match'!F$2,Sheet1!$1:$1,0))</f>
        <v>2</v>
      </c>
      <c r="G401" t="str">
        <f>INDEX(Sheet1!$A:$J,MATCH('index match'!$D401,Sheet1!$C:$C,0),MATCH('index match'!G$2,Sheet1!$1:$1,0))</f>
        <v>Young</v>
      </c>
      <c r="K401" t="str">
        <v>Alford Mason</v>
      </c>
      <c r="L401" t="str">
        <f>INDEX(Sheet1!$A:$J,MATCH('index match'!$K401,Sheet1!$C:$C,0),MATCH('index match'!L$2,Sheet1!$A$1:$J$1,0))</f>
        <v>Mason</v>
      </c>
      <c r="M401">
        <f>INDEX(Sheet1!$A:$J,MATCH('index match'!$K401,Sheet1!$C:$C,0),MATCH('index match'!M$2,Sheet1!$A$1:$J$1,0))</f>
        <v>4</v>
      </c>
      <c r="N401" t="str">
        <f>INDEX(Sheet1!$A:$J,MATCH('index match'!$K401,Sheet1!$C:$C,0),MATCH('index match'!N$2,Sheet1!$A$1:$J$1,0))</f>
        <v>Old</v>
      </c>
    </row>
    <row r="402" spans="4:14" x14ac:dyDescent="0.25">
      <c r="D402" t="str">
        <v>Olivia Thomas</v>
      </c>
      <c r="E402" t="str">
        <f>INDEX(Sheet1!$A:$J,MATCH('index match'!$D402,Sheet1!$C:$C,0),MATCH('index match'!E$2,Sheet1!$1:$1,0))</f>
        <v>Thomas</v>
      </c>
      <c r="F402">
        <f>INDEX(Sheet1!$A:$J,MATCH('index match'!$D402,Sheet1!$C:$C,0),MATCH('index match'!F$2,Sheet1!$1:$1,0))</f>
        <v>2</v>
      </c>
      <c r="G402" t="str">
        <f>INDEX(Sheet1!$A:$J,MATCH('index match'!$D402,Sheet1!$C:$C,0),MATCH('index match'!G$2,Sheet1!$1:$1,0))</f>
        <v>Young</v>
      </c>
      <c r="K402" t="str">
        <v>Julian Clark</v>
      </c>
      <c r="L402" t="str">
        <f>INDEX(Sheet1!$A:$J,MATCH('index match'!$K402,Sheet1!$C:$C,0),MATCH('index match'!L$2,Sheet1!$A$1:$J$1,0))</f>
        <v>Clark</v>
      </c>
      <c r="M402">
        <f>INDEX(Sheet1!$A:$J,MATCH('index match'!$K402,Sheet1!$C:$C,0),MATCH('index match'!M$2,Sheet1!$A$1:$J$1,0))</f>
        <v>4</v>
      </c>
      <c r="N402" t="str">
        <f>INDEX(Sheet1!$A:$J,MATCH('index match'!$K402,Sheet1!$C:$C,0),MATCH('index match'!N$2,Sheet1!$A$1:$J$1,0))</f>
        <v>Young</v>
      </c>
    </row>
    <row r="403" spans="4:14" x14ac:dyDescent="0.25">
      <c r="D403" t="str">
        <v>Patrick Grant</v>
      </c>
      <c r="E403" t="str">
        <f>INDEX(Sheet1!$A:$J,MATCH('index match'!$D403,Sheet1!$C:$C,0),MATCH('index match'!E$2,Sheet1!$1:$1,0))</f>
        <v>Grant</v>
      </c>
      <c r="F403">
        <f>INDEX(Sheet1!$A:$J,MATCH('index match'!$D403,Sheet1!$C:$C,0),MATCH('index match'!F$2,Sheet1!$1:$1,0))</f>
        <v>0</v>
      </c>
      <c r="G403" t="str">
        <f>INDEX(Sheet1!$A:$J,MATCH('index match'!$D403,Sheet1!$C:$C,0),MATCH('index match'!G$2,Sheet1!$1:$1,0))</f>
        <v>Old</v>
      </c>
      <c r="K403" t="str">
        <v>Edward Elliott</v>
      </c>
      <c r="L403" t="str">
        <f>INDEX(Sheet1!$A:$J,MATCH('index match'!$K403,Sheet1!$C:$C,0),MATCH('index match'!L$2,Sheet1!$A$1:$J$1,0))</f>
        <v>Elliott</v>
      </c>
      <c r="M403">
        <f>INDEX(Sheet1!$A:$J,MATCH('index match'!$K403,Sheet1!$C:$C,0),MATCH('index match'!M$2,Sheet1!$A$1:$J$1,0))</f>
        <v>3</v>
      </c>
      <c r="N403" t="str">
        <f>INDEX(Sheet1!$A:$J,MATCH('index match'!$K403,Sheet1!$C:$C,0),MATCH('index match'!N$2,Sheet1!$A$1:$J$1,0))</f>
        <v>Old</v>
      </c>
    </row>
    <row r="404" spans="4:14" x14ac:dyDescent="0.25">
      <c r="D404" t="str">
        <v>Tony Moore</v>
      </c>
      <c r="E404" t="str">
        <f>INDEX(Sheet1!$A:$J,MATCH('index match'!$D404,Sheet1!$C:$C,0),MATCH('index match'!E$2,Sheet1!$1:$1,0))</f>
        <v>Moore</v>
      </c>
      <c r="F404">
        <f>INDEX(Sheet1!$A:$J,MATCH('index match'!$D404,Sheet1!$C:$C,0),MATCH('index match'!F$2,Sheet1!$1:$1,0))</f>
        <v>4</v>
      </c>
      <c r="G404" t="str">
        <f>INDEX(Sheet1!$A:$J,MATCH('index match'!$D404,Sheet1!$C:$C,0),MATCH('index match'!G$2,Sheet1!$1:$1,0))</f>
        <v>Young</v>
      </c>
      <c r="K404" t="str">
        <v>Maximilian Cunningham</v>
      </c>
      <c r="L404" t="str">
        <f>INDEX(Sheet1!$A:$J,MATCH('index match'!$K404,Sheet1!$C:$C,0),MATCH('index match'!L$2,Sheet1!$A$1:$J$1,0))</f>
        <v>Cunningham</v>
      </c>
      <c r="M404">
        <f>INDEX(Sheet1!$A:$J,MATCH('index match'!$K404,Sheet1!$C:$C,0),MATCH('index match'!M$2,Sheet1!$A$1:$J$1,0))</f>
        <v>5</v>
      </c>
      <c r="N404" t="str">
        <f>INDEX(Sheet1!$A:$J,MATCH('index match'!$K404,Sheet1!$C:$C,0),MATCH('index match'!N$2,Sheet1!$A$1:$J$1,0))</f>
        <v>Young</v>
      </c>
    </row>
    <row r="405" spans="4:14" x14ac:dyDescent="0.25">
      <c r="D405" t="str">
        <v>Alberta Holmes</v>
      </c>
      <c r="E405" t="str">
        <f>INDEX(Sheet1!$A:$J,MATCH('index match'!$D405,Sheet1!$C:$C,0),MATCH('index match'!E$2,Sheet1!$1:$1,0))</f>
        <v>Holmes</v>
      </c>
      <c r="F405">
        <f>INDEX(Sheet1!$A:$J,MATCH('index match'!$D405,Sheet1!$C:$C,0),MATCH('index match'!F$2,Sheet1!$1:$1,0))</f>
        <v>4</v>
      </c>
      <c r="G405" t="str">
        <f>INDEX(Sheet1!$A:$J,MATCH('index match'!$D405,Sheet1!$C:$C,0),MATCH('index match'!G$2,Sheet1!$1:$1,0))</f>
        <v>Young</v>
      </c>
      <c r="K405" t="str">
        <v>Julian Baker</v>
      </c>
      <c r="L405" t="str">
        <f>INDEX(Sheet1!$A:$J,MATCH('index match'!$K405,Sheet1!$C:$C,0),MATCH('index match'!L$2,Sheet1!$A$1:$J$1,0))</f>
        <v>Baker</v>
      </c>
      <c r="M405">
        <f>INDEX(Sheet1!$A:$J,MATCH('index match'!$K405,Sheet1!$C:$C,0),MATCH('index match'!M$2,Sheet1!$A$1:$J$1,0))</f>
        <v>0</v>
      </c>
      <c r="N405" t="str">
        <f>INDEX(Sheet1!$A:$J,MATCH('index match'!$K405,Sheet1!$C:$C,0),MATCH('index match'!N$2,Sheet1!$A$1:$J$1,0))</f>
        <v>Young</v>
      </c>
    </row>
    <row r="406" spans="4:14" x14ac:dyDescent="0.25">
      <c r="D406" t="str">
        <v>Hailey Grant</v>
      </c>
      <c r="E406" t="str">
        <f>INDEX(Sheet1!$A:$J,MATCH('index match'!$D406,Sheet1!$C:$C,0),MATCH('index match'!E$2,Sheet1!$1:$1,0))</f>
        <v>Grant</v>
      </c>
      <c r="F406">
        <f>INDEX(Sheet1!$A:$J,MATCH('index match'!$D406,Sheet1!$C:$C,0),MATCH('index match'!F$2,Sheet1!$1:$1,0))</f>
        <v>2</v>
      </c>
      <c r="G406" t="str">
        <f>INDEX(Sheet1!$A:$J,MATCH('index match'!$D406,Sheet1!$C:$C,0),MATCH('index match'!G$2,Sheet1!$1:$1,0))</f>
        <v>Young</v>
      </c>
      <c r="K406" t="str">
        <v>Harold Barnes</v>
      </c>
      <c r="L406" t="str">
        <f>INDEX(Sheet1!$A:$J,MATCH('index match'!$K406,Sheet1!$C:$C,0),MATCH('index match'!L$2,Sheet1!$A$1:$J$1,0))</f>
        <v>Barnes</v>
      </c>
      <c r="M406">
        <f>INDEX(Sheet1!$A:$J,MATCH('index match'!$K406,Sheet1!$C:$C,0),MATCH('index match'!M$2,Sheet1!$A$1:$J$1,0))</f>
        <v>0</v>
      </c>
      <c r="N406" t="str">
        <f>INDEX(Sheet1!$A:$J,MATCH('index match'!$K406,Sheet1!$C:$C,0),MATCH('index match'!N$2,Sheet1!$A$1:$J$1,0))</f>
        <v>Middle Age</v>
      </c>
    </row>
    <row r="407" spans="4:14" x14ac:dyDescent="0.25">
      <c r="D407" t="str">
        <v>Kevin Grant</v>
      </c>
      <c r="E407" t="str">
        <f>INDEX(Sheet1!$A:$J,MATCH('index match'!$D407,Sheet1!$C:$C,0),MATCH('index match'!E$2,Sheet1!$1:$1,0))</f>
        <v>Grant</v>
      </c>
      <c r="F407">
        <f>INDEX(Sheet1!$A:$J,MATCH('index match'!$D407,Sheet1!$C:$C,0),MATCH('index match'!F$2,Sheet1!$1:$1,0))</f>
        <v>2</v>
      </c>
      <c r="G407" t="str">
        <f>INDEX(Sheet1!$A:$J,MATCH('index match'!$D407,Sheet1!$C:$C,0),MATCH('index match'!G$2,Sheet1!$1:$1,0))</f>
        <v>Middle Age</v>
      </c>
      <c r="K407" t="str">
        <v>Thomas Wilson</v>
      </c>
      <c r="L407" t="str">
        <f>INDEX(Sheet1!$A:$J,MATCH('index match'!$K407,Sheet1!$C:$C,0),MATCH('index match'!L$2,Sheet1!$A$1:$J$1,0))</f>
        <v>Wilson</v>
      </c>
      <c r="M407">
        <f>INDEX(Sheet1!$A:$J,MATCH('index match'!$K407,Sheet1!$C:$C,0),MATCH('index match'!M$2,Sheet1!$A$1:$J$1,0))</f>
        <v>4</v>
      </c>
      <c r="N407" t="str">
        <f>INDEX(Sheet1!$A:$J,MATCH('index match'!$K407,Sheet1!$C:$C,0),MATCH('index match'!N$2,Sheet1!$A$1:$J$1,0))</f>
        <v>Middle Age</v>
      </c>
    </row>
    <row r="408" spans="4:14" x14ac:dyDescent="0.25">
      <c r="D408" t="str">
        <v>Kirsten Morris</v>
      </c>
      <c r="E408" t="str">
        <f>INDEX(Sheet1!$A:$J,MATCH('index match'!$D408,Sheet1!$C:$C,0),MATCH('index match'!E$2,Sheet1!$1:$1,0))</f>
        <v>Morris</v>
      </c>
      <c r="F408">
        <f>INDEX(Sheet1!$A:$J,MATCH('index match'!$D408,Sheet1!$C:$C,0),MATCH('index match'!F$2,Sheet1!$1:$1,0))</f>
        <v>2</v>
      </c>
      <c r="G408" t="str">
        <f>INDEX(Sheet1!$A:$J,MATCH('index match'!$D408,Sheet1!$C:$C,0),MATCH('index match'!G$2,Sheet1!$1:$1,0))</f>
        <v>Middle Age</v>
      </c>
      <c r="K408" t="str">
        <v>Martin Chapman</v>
      </c>
      <c r="L408" t="str">
        <f>INDEX(Sheet1!$A:$J,MATCH('index match'!$K408,Sheet1!$C:$C,0),MATCH('index match'!L$2,Sheet1!$A$1:$J$1,0))</f>
        <v>Chapman</v>
      </c>
      <c r="M408">
        <f>INDEX(Sheet1!$A:$J,MATCH('index match'!$K408,Sheet1!$C:$C,0),MATCH('index match'!M$2,Sheet1!$A$1:$J$1,0))</f>
        <v>0</v>
      </c>
      <c r="N408" t="str">
        <f>INDEX(Sheet1!$A:$J,MATCH('index match'!$K408,Sheet1!$C:$C,0),MATCH('index match'!N$2,Sheet1!$A$1:$J$1,0))</f>
        <v>Middle Age</v>
      </c>
    </row>
    <row r="409" spans="4:14" x14ac:dyDescent="0.25">
      <c r="D409" t="str">
        <v>Sam Kelly</v>
      </c>
      <c r="E409" t="str">
        <f>INDEX(Sheet1!$A:$J,MATCH('index match'!$D409,Sheet1!$C:$C,0),MATCH('index match'!E$2,Sheet1!$1:$1,0))</f>
        <v>Kelly</v>
      </c>
      <c r="F409">
        <f>INDEX(Sheet1!$A:$J,MATCH('index match'!$D409,Sheet1!$C:$C,0),MATCH('index match'!F$2,Sheet1!$1:$1,0))</f>
        <v>3</v>
      </c>
      <c r="G409" t="str">
        <f>INDEX(Sheet1!$A:$J,MATCH('index match'!$D409,Sheet1!$C:$C,0),MATCH('index match'!G$2,Sheet1!$1:$1,0))</f>
        <v>Young</v>
      </c>
      <c r="K409" t="str">
        <v>Paige Baker</v>
      </c>
      <c r="L409" t="str">
        <f>INDEX(Sheet1!$A:$J,MATCH('index match'!$K409,Sheet1!$C:$C,0),MATCH('index match'!L$2,Sheet1!$A$1:$J$1,0))</f>
        <v>Baker</v>
      </c>
      <c r="M409">
        <f>INDEX(Sheet1!$A:$J,MATCH('index match'!$K409,Sheet1!$C:$C,0),MATCH('index match'!M$2,Sheet1!$A$1:$J$1,0))</f>
        <v>2</v>
      </c>
      <c r="N409" t="str">
        <f>INDEX(Sheet1!$A:$J,MATCH('index match'!$K409,Sheet1!$C:$C,0),MATCH('index match'!N$2,Sheet1!$A$1:$J$1,0))</f>
        <v>Middle Age</v>
      </c>
    </row>
    <row r="410" spans="4:14" x14ac:dyDescent="0.25">
      <c r="D410" t="str">
        <v>Adrian Ferguson</v>
      </c>
      <c r="E410" t="str">
        <f>INDEX(Sheet1!$A:$J,MATCH('index match'!$D410,Sheet1!$C:$C,0),MATCH('index match'!E$2,Sheet1!$1:$1,0))</f>
        <v>Ferguson</v>
      </c>
      <c r="F410">
        <f>INDEX(Sheet1!$A:$J,MATCH('index match'!$D410,Sheet1!$C:$C,0),MATCH('index match'!F$2,Sheet1!$1:$1,0))</f>
        <v>1</v>
      </c>
      <c r="G410" t="str">
        <f>INDEX(Sheet1!$A:$J,MATCH('index match'!$D410,Sheet1!$C:$C,0),MATCH('index match'!G$2,Sheet1!$1:$1,0))</f>
        <v>Old</v>
      </c>
      <c r="K410" t="str">
        <v>Jasmine Higgins</v>
      </c>
      <c r="L410" t="str">
        <f>INDEX(Sheet1!$A:$J,MATCH('index match'!$K410,Sheet1!$C:$C,0),MATCH('index match'!L$2,Sheet1!$A$1:$J$1,0))</f>
        <v>Higgins</v>
      </c>
      <c r="M410">
        <f>INDEX(Sheet1!$A:$J,MATCH('index match'!$K410,Sheet1!$C:$C,0),MATCH('index match'!M$2,Sheet1!$A$1:$J$1,0))</f>
        <v>2</v>
      </c>
      <c r="N410" t="str">
        <f>INDEX(Sheet1!$A:$J,MATCH('index match'!$K410,Sheet1!$C:$C,0),MATCH('index match'!N$2,Sheet1!$A$1:$J$1,0))</f>
        <v>Middle Age</v>
      </c>
    </row>
    <row r="411" spans="4:14" x14ac:dyDescent="0.25">
      <c r="D411" t="str">
        <v>Alissa Cunningham</v>
      </c>
      <c r="E411" t="str">
        <f>INDEX(Sheet1!$A:$J,MATCH('index match'!$D411,Sheet1!$C:$C,0),MATCH('index match'!E$2,Sheet1!$1:$1,0))</f>
        <v>Cunningham</v>
      </c>
      <c r="F411">
        <f>INDEX(Sheet1!$A:$J,MATCH('index match'!$D411,Sheet1!$C:$C,0),MATCH('index match'!F$2,Sheet1!$1:$1,0))</f>
        <v>4</v>
      </c>
      <c r="G411" t="str">
        <f>INDEX(Sheet1!$A:$J,MATCH('index match'!$D411,Sheet1!$C:$C,0),MATCH('index match'!G$2,Sheet1!$1:$1,0))</f>
        <v>Middle Age</v>
      </c>
      <c r="K411" t="str">
        <v>Carina Ferguson</v>
      </c>
      <c r="L411" t="str">
        <f>INDEX(Sheet1!$A:$J,MATCH('index match'!$K411,Sheet1!$C:$C,0),MATCH('index match'!L$2,Sheet1!$A$1:$J$1,0))</f>
        <v>Ferguson</v>
      </c>
      <c r="M411">
        <f>INDEX(Sheet1!$A:$J,MATCH('index match'!$K411,Sheet1!$C:$C,0),MATCH('index match'!M$2,Sheet1!$A$1:$J$1,0))</f>
        <v>5</v>
      </c>
      <c r="N411" t="str">
        <f>INDEX(Sheet1!$A:$J,MATCH('index match'!$K411,Sheet1!$C:$C,0),MATCH('index match'!N$2,Sheet1!$A$1:$J$1,0))</f>
        <v>Middle Age</v>
      </c>
    </row>
    <row r="412" spans="4:14" x14ac:dyDescent="0.25">
      <c r="D412" t="str">
        <v>Ryan Phillips</v>
      </c>
      <c r="E412" t="str">
        <f>INDEX(Sheet1!$A:$J,MATCH('index match'!$D412,Sheet1!$C:$C,0),MATCH('index match'!E$2,Sheet1!$1:$1,0))</f>
        <v>Phillips</v>
      </c>
      <c r="F412">
        <f>INDEX(Sheet1!$A:$J,MATCH('index match'!$D412,Sheet1!$C:$C,0),MATCH('index match'!F$2,Sheet1!$1:$1,0))</f>
        <v>1</v>
      </c>
      <c r="G412" t="str">
        <f>INDEX(Sheet1!$A:$J,MATCH('index match'!$D412,Sheet1!$C:$C,0),MATCH('index match'!G$2,Sheet1!$1:$1,0))</f>
        <v>Middle Age</v>
      </c>
      <c r="K412" t="str">
        <v>Michelle Fowler</v>
      </c>
      <c r="L412" t="str">
        <f>INDEX(Sheet1!$A:$J,MATCH('index match'!$K412,Sheet1!$C:$C,0),MATCH('index match'!L$2,Sheet1!$A$1:$J$1,0))</f>
        <v>Fowler</v>
      </c>
      <c r="M412">
        <f>INDEX(Sheet1!$A:$J,MATCH('index match'!$K412,Sheet1!$C:$C,0),MATCH('index match'!M$2,Sheet1!$A$1:$J$1,0))</f>
        <v>3</v>
      </c>
      <c r="N412" t="str">
        <f>INDEX(Sheet1!$A:$J,MATCH('index match'!$K412,Sheet1!$C:$C,0),MATCH('index match'!N$2,Sheet1!$A$1:$J$1,0))</f>
        <v>Middle Age</v>
      </c>
    </row>
    <row r="413" spans="4:14" x14ac:dyDescent="0.25">
      <c r="D413" t="str">
        <v>Tony Carroll</v>
      </c>
      <c r="E413" t="str">
        <f>INDEX(Sheet1!$A:$J,MATCH('index match'!$D413,Sheet1!$C:$C,0),MATCH('index match'!E$2,Sheet1!$1:$1,0))</f>
        <v>Carroll</v>
      </c>
      <c r="F413">
        <f>INDEX(Sheet1!$A:$J,MATCH('index match'!$D413,Sheet1!$C:$C,0),MATCH('index match'!F$2,Sheet1!$1:$1,0))</f>
        <v>4</v>
      </c>
      <c r="G413" t="str">
        <f>INDEX(Sheet1!$A:$J,MATCH('index match'!$D413,Sheet1!$C:$C,0),MATCH('index match'!G$2,Sheet1!$1:$1,0))</f>
        <v>Middle Age</v>
      </c>
      <c r="K413" t="str">
        <v>John Mason</v>
      </c>
      <c r="L413" t="str">
        <f>INDEX(Sheet1!$A:$J,MATCH('index match'!$K413,Sheet1!$C:$C,0),MATCH('index match'!L$2,Sheet1!$A$1:$J$1,0))</f>
        <v>Mason</v>
      </c>
      <c r="M413">
        <f>INDEX(Sheet1!$A:$J,MATCH('index match'!$K413,Sheet1!$C:$C,0),MATCH('index match'!M$2,Sheet1!$A$1:$J$1,0))</f>
        <v>4</v>
      </c>
      <c r="N413" t="str">
        <f>INDEX(Sheet1!$A:$J,MATCH('index match'!$K413,Sheet1!$C:$C,0),MATCH('index match'!N$2,Sheet1!$A$1:$J$1,0))</f>
        <v>Middle Age</v>
      </c>
    </row>
    <row r="414" spans="4:14" x14ac:dyDescent="0.25">
      <c r="D414" t="str">
        <v>Adrian Wilson</v>
      </c>
      <c r="E414" t="str">
        <f>INDEX(Sheet1!$A:$J,MATCH('index match'!$D414,Sheet1!$C:$C,0),MATCH('index match'!E$2,Sheet1!$1:$1,0))</f>
        <v>Wilson</v>
      </c>
      <c r="F414">
        <f>INDEX(Sheet1!$A:$J,MATCH('index match'!$D414,Sheet1!$C:$C,0),MATCH('index match'!F$2,Sheet1!$1:$1,0))</f>
        <v>5</v>
      </c>
      <c r="G414" t="str">
        <f>INDEX(Sheet1!$A:$J,MATCH('index match'!$D414,Sheet1!$C:$C,0),MATCH('index match'!G$2,Sheet1!$1:$1,0))</f>
        <v>Middle Age</v>
      </c>
      <c r="K414" t="str">
        <v>Alisa Phillips</v>
      </c>
      <c r="L414" t="str">
        <f>INDEX(Sheet1!$A:$J,MATCH('index match'!$K414,Sheet1!$C:$C,0),MATCH('index match'!L$2,Sheet1!$A$1:$J$1,0))</f>
        <v>Phillips</v>
      </c>
      <c r="M414">
        <f>INDEX(Sheet1!$A:$J,MATCH('index match'!$K414,Sheet1!$C:$C,0),MATCH('index match'!M$2,Sheet1!$A$1:$J$1,0))</f>
        <v>0</v>
      </c>
      <c r="N414" t="str">
        <f>INDEX(Sheet1!$A:$J,MATCH('index match'!$K414,Sheet1!$C:$C,0),MATCH('index match'!N$2,Sheet1!$A$1:$J$1,0))</f>
        <v>Young</v>
      </c>
    </row>
    <row r="415" spans="4:14" x14ac:dyDescent="0.25">
      <c r="D415" t="str">
        <v>Charlie Wells</v>
      </c>
      <c r="E415" t="str">
        <f>INDEX(Sheet1!$A:$J,MATCH('index match'!$D415,Sheet1!$C:$C,0),MATCH('index match'!E$2,Sheet1!$1:$1,0))</f>
        <v>Wells</v>
      </c>
      <c r="F415">
        <f>INDEX(Sheet1!$A:$J,MATCH('index match'!$D415,Sheet1!$C:$C,0),MATCH('index match'!F$2,Sheet1!$1:$1,0))</f>
        <v>3</v>
      </c>
      <c r="G415" t="str">
        <f>INDEX(Sheet1!$A:$J,MATCH('index match'!$D415,Sheet1!$C:$C,0),MATCH('index match'!G$2,Sheet1!$1:$1,0))</f>
        <v>Old</v>
      </c>
      <c r="K415" t="str">
        <v>Nicholas Dixon</v>
      </c>
      <c r="L415" t="str">
        <f>INDEX(Sheet1!$A:$J,MATCH('index match'!$K415,Sheet1!$C:$C,0),MATCH('index match'!L$2,Sheet1!$A$1:$J$1,0))</f>
        <v>Dixon</v>
      </c>
      <c r="M415">
        <f>INDEX(Sheet1!$A:$J,MATCH('index match'!$K415,Sheet1!$C:$C,0),MATCH('index match'!M$2,Sheet1!$A$1:$J$1,0))</f>
        <v>1</v>
      </c>
      <c r="N415" t="str">
        <f>INDEX(Sheet1!$A:$J,MATCH('index match'!$K415,Sheet1!$C:$C,0),MATCH('index match'!N$2,Sheet1!$A$1:$J$1,0))</f>
        <v>Young</v>
      </c>
    </row>
    <row r="416" spans="4:14" x14ac:dyDescent="0.25">
      <c r="D416" t="str">
        <v>Grace Edwards</v>
      </c>
      <c r="E416" t="str">
        <f>INDEX(Sheet1!$A:$J,MATCH('index match'!$D416,Sheet1!$C:$C,0),MATCH('index match'!E$2,Sheet1!$1:$1,0))</f>
        <v>Edwards</v>
      </c>
      <c r="F416">
        <f>INDEX(Sheet1!$A:$J,MATCH('index match'!$D416,Sheet1!$C:$C,0),MATCH('index match'!F$2,Sheet1!$1:$1,0))</f>
        <v>0</v>
      </c>
      <c r="G416" t="str">
        <f>INDEX(Sheet1!$A:$J,MATCH('index match'!$D416,Sheet1!$C:$C,0),MATCH('index match'!G$2,Sheet1!$1:$1,0))</f>
        <v>Middle Age</v>
      </c>
      <c r="K416" t="str">
        <v>Brooke Harrison</v>
      </c>
      <c r="L416" t="str">
        <f>INDEX(Sheet1!$A:$J,MATCH('index match'!$K416,Sheet1!$C:$C,0),MATCH('index match'!L$2,Sheet1!$A$1:$J$1,0))</f>
        <v>Harrison</v>
      </c>
      <c r="M416">
        <f>INDEX(Sheet1!$A:$J,MATCH('index match'!$K416,Sheet1!$C:$C,0),MATCH('index match'!M$2,Sheet1!$A$1:$J$1,0))</f>
        <v>1</v>
      </c>
      <c r="N416" t="str">
        <f>INDEX(Sheet1!$A:$J,MATCH('index match'!$K416,Sheet1!$C:$C,0),MATCH('index match'!N$2,Sheet1!$A$1:$J$1,0))</f>
        <v>Old</v>
      </c>
    </row>
    <row r="417" spans="4:14" x14ac:dyDescent="0.25">
      <c r="D417" t="str">
        <v>Stella Bennett</v>
      </c>
      <c r="E417" t="str">
        <f>INDEX(Sheet1!$A:$J,MATCH('index match'!$D417,Sheet1!$C:$C,0),MATCH('index match'!E$2,Sheet1!$1:$1,0))</f>
        <v>Bennett</v>
      </c>
      <c r="F417">
        <f>INDEX(Sheet1!$A:$J,MATCH('index match'!$D417,Sheet1!$C:$C,0),MATCH('index match'!F$2,Sheet1!$1:$1,0))</f>
        <v>4</v>
      </c>
      <c r="G417" t="str">
        <f>INDEX(Sheet1!$A:$J,MATCH('index match'!$D417,Sheet1!$C:$C,0),MATCH('index match'!G$2,Sheet1!$1:$1,0))</f>
        <v>Old</v>
      </c>
      <c r="K417" t="str">
        <v>Naomi Elliott</v>
      </c>
      <c r="L417" t="str">
        <f>INDEX(Sheet1!$A:$J,MATCH('index match'!$K417,Sheet1!$C:$C,0),MATCH('index match'!L$2,Sheet1!$A$1:$J$1,0))</f>
        <v>Elliott</v>
      </c>
      <c r="M417">
        <f>INDEX(Sheet1!$A:$J,MATCH('index match'!$K417,Sheet1!$C:$C,0),MATCH('index match'!M$2,Sheet1!$A$1:$J$1,0))</f>
        <v>5</v>
      </c>
      <c r="N417" t="str">
        <f>INDEX(Sheet1!$A:$J,MATCH('index match'!$K417,Sheet1!$C:$C,0),MATCH('index match'!N$2,Sheet1!$A$1:$J$1,0))</f>
        <v>Middle Age</v>
      </c>
    </row>
    <row r="418" spans="4:14" x14ac:dyDescent="0.25">
      <c r="D418" t="str">
        <v>Julia Mitchell</v>
      </c>
      <c r="E418" t="str">
        <f>INDEX(Sheet1!$A:$J,MATCH('index match'!$D418,Sheet1!$C:$C,0),MATCH('index match'!E$2,Sheet1!$1:$1,0))</f>
        <v>Mitchell</v>
      </c>
      <c r="F418">
        <f>INDEX(Sheet1!$A:$J,MATCH('index match'!$D418,Sheet1!$C:$C,0),MATCH('index match'!F$2,Sheet1!$1:$1,0))</f>
        <v>5</v>
      </c>
      <c r="G418" t="str">
        <f>INDEX(Sheet1!$A:$J,MATCH('index match'!$D418,Sheet1!$C:$C,0),MATCH('index match'!G$2,Sheet1!$1:$1,0))</f>
        <v>Young</v>
      </c>
      <c r="K418" t="str">
        <v>Alford Hamilton</v>
      </c>
      <c r="L418" t="str">
        <f>INDEX(Sheet1!$A:$J,MATCH('index match'!$K418,Sheet1!$C:$C,0),MATCH('index match'!L$2,Sheet1!$A$1:$J$1,0))</f>
        <v>Hamilton</v>
      </c>
      <c r="M418">
        <f>INDEX(Sheet1!$A:$J,MATCH('index match'!$K418,Sheet1!$C:$C,0),MATCH('index match'!M$2,Sheet1!$A$1:$J$1,0))</f>
        <v>5</v>
      </c>
      <c r="N418" t="str">
        <f>INDEX(Sheet1!$A:$J,MATCH('index match'!$K418,Sheet1!$C:$C,0),MATCH('index match'!N$2,Sheet1!$A$1:$J$1,0))</f>
        <v>Middle Age</v>
      </c>
    </row>
    <row r="419" spans="4:14" x14ac:dyDescent="0.25">
      <c r="D419" t="str">
        <v>Miley Moore</v>
      </c>
      <c r="E419" t="str">
        <f>INDEX(Sheet1!$A:$J,MATCH('index match'!$D419,Sheet1!$C:$C,0),MATCH('index match'!E$2,Sheet1!$1:$1,0))</f>
        <v>Moore</v>
      </c>
      <c r="F419">
        <f>INDEX(Sheet1!$A:$J,MATCH('index match'!$D419,Sheet1!$C:$C,0),MATCH('index match'!F$2,Sheet1!$1:$1,0))</f>
        <v>0</v>
      </c>
      <c r="G419" t="str">
        <f>INDEX(Sheet1!$A:$J,MATCH('index match'!$D419,Sheet1!$C:$C,0),MATCH('index match'!G$2,Sheet1!$1:$1,0))</f>
        <v>Old</v>
      </c>
      <c r="K419" t="str">
        <v>Alissa Armstrong</v>
      </c>
      <c r="L419" t="str">
        <f>INDEX(Sheet1!$A:$J,MATCH('index match'!$K419,Sheet1!$C:$C,0),MATCH('index match'!L$2,Sheet1!$A$1:$J$1,0))</f>
        <v>Armstrong</v>
      </c>
      <c r="M419">
        <f>INDEX(Sheet1!$A:$J,MATCH('index match'!$K419,Sheet1!$C:$C,0),MATCH('index match'!M$2,Sheet1!$A$1:$J$1,0))</f>
        <v>3</v>
      </c>
      <c r="N419" t="str">
        <f>INDEX(Sheet1!$A:$J,MATCH('index match'!$K419,Sheet1!$C:$C,0),MATCH('index match'!N$2,Sheet1!$A$1:$J$1,0))</f>
        <v>Middle Age</v>
      </c>
    </row>
    <row r="420" spans="4:14" x14ac:dyDescent="0.25">
      <c r="D420" t="str">
        <v>Clark Owens</v>
      </c>
      <c r="E420" t="str">
        <f>INDEX(Sheet1!$A:$J,MATCH('index match'!$D420,Sheet1!$C:$C,0),MATCH('index match'!E$2,Sheet1!$1:$1,0))</f>
        <v>Owens</v>
      </c>
      <c r="F420">
        <f>INDEX(Sheet1!$A:$J,MATCH('index match'!$D420,Sheet1!$C:$C,0),MATCH('index match'!F$2,Sheet1!$1:$1,0))</f>
        <v>3</v>
      </c>
      <c r="G420" t="str">
        <f>INDEX(Sheet1!$A:$J,MATCH('index match'!$D420,Sheet1!$C:$C,0),MATCH('index match'!G$2,Sheet1!$1:$1,0))</f>
        <v>Young</v>
      </c>
      <c r="K420" t="str">
        <v>Alina Henderson</v>
      </c>
      <c r="L420" t="str">
        <f>INDEX(Sheet1!$A:$J,MATCH('index match'!$K420,Sheet1!$C:$C,0),MATCH('index match'!L$2,Sheet1!$A$1:$J$1,0))</f>
        <v>Henderson</v>
      </c>
      <c r="M420">
        <f>INDEX(Sheet1!$A:$J,MATCH('index match'!$K420,Sheet1!$C:$C,0),MATCH('index match'!M$2,Sheet1!$A$1:$J$1,0))</f>
        <v>0</v>
      </c>
      <c r="N420" t="str">
        <f>INDEX(Sheet1!$A:$J,MATCH('index match'!$K420,Sheet1!$C:$C,0),MATCH('index match'!N$2,Sheet1!$A$1:$J$1,0))</f>
        <v>Middle Age</v>
      </c>
    </row>
    <row r="421" spans="4:14" x14ac:dyDescent="0.25">
      <c r="D421" t="str">
        <v>April Walker</v>
      </c>
      <c r="E421" t="str">
        <f>INDEX(Sheet1!$A:$J,MATCH('index match'!$D421,Sheet1!$C:$C,0),MATCH('index match'!E$2,Sheet1!$1:$1,0))</f>
        <v>Walker</v>
      </c>
      <c r="F421">
        <f>INDEX(Sheet1!$A:$J,MATCH('index match'!$D421,Sheet1!$C:$C,0),MATCH('index match'!F$2,Sheet1!$1:$1,0))</f>
        <v>1</v>
      </c>
      <c r="G421" t="str">
        <f>INDEX(Sheet1!$A:$J,MATCH('index match'!$D421,Sheet1!$C:$C,0),MATCH('index match'!G$2,Sheet1!$1:$1,0))</f>
        <v>Old</v>
      </c>
      <c r="K421" t="str">
        <v>Julia Taylor</v>
      </c>
      <c r="L421" t="str">
        <f>INDEX(Sheet1!$A:$J,MATCH('index match'!$K421,Sheet1!$C:$C,0),MATCH('index match'!L$2,Sheet1!$A$1:$J$1,0))</f>
        <v>Taylor</v>
      </c>
      <c r="M421">
        <f>INDEX(Sheet1!$A:$J,MATCH('index match'!$K421,Sheet1!$C:$C,0),MATCH('index match'!M$2,Sheet1!$A$1:$J$1,0))</f>
        <v>1</v>
      </c>
      <c r="N421" t="str">
        <f>INDEX(Sheet1!$A:$J,MATCH('index match'!$K421,Sheet1!$C:$C,0),MATCH('index match'!N$2,Sheet1!$A$1:$J$1,0))</f>
        <v>Middle Age</v>
      </c>
    </row>
    <row r="422" spans="4:14" x14ac:dyDescent="0.25">
      <c r="D422" t="str">
        <v>Adrian Carter</v>
      </c>
      <c r="E422" t="str">
        <f>INDEX(Sheet1!$A:$J,MATCH('index match'!$D422,Sheet1!$C:$C,0),MATCH('index match'!E$2,Sheet1!$1:$1,0))</f>
        <v>Carter</v>
      </c>
      <c r="F422">
        <f>INDEX(Sheet1!$A:$J,MATCH('index match'!$D422,Sheet1!$C:$C,0),MATCH('index match'!F$2,Sheet1!$1:$1,0))</f>
        <v>3</v>
      </c>
      <c r="G422" t="str">
        <f>INDEX(Sheet1!$A:$J,MATCH('index match'!$D422,Sheet1!$C:$C,0),MATCH('index match'!G$2,Sheet1!$1:$1,0))</f>
        <v>Young</v>
      </c>
      <c r="K422" t="str">
        <v>Rubie Bailey</v>
      </c>
      <c r="L422" t="str">
        <f>INDEX(Sheet1!$A:$J,MATCH('index match'!$K422,Sheet1!$C:$C,0),MATCH('index match'!L$2,Sheet1!$A$1:$J$1,0))</f>
        <v>Bailey</v>
      </c>
      <c r="M422">
        <f>INDEX(Sheet1!$A:$J,MATCH('index match'!$K422,Sheet1!$C:$C,0),MATCH('index match'!M$2,Sheet1!$A$1:$J$1,0))</f>
        <v>5</v>
      </c>
      <c r="N422" t="str">
        <f>INDEX(Sheet1!$A:$J,MATCH('index match'!$K422,Sheet1!$C:$C,0),MATCH('index match'!N$2,Sheet1!$A$1:$J$1,0))</f>
        <v>Old</v>
      </c>
    </row>
    <row r="423" spans="4:14" x14ac:dyDescent="0.25">
      <c r="D423" t="str">
        <v>Alen Carroll</v>
      </c>
      <c r="E423" t="str">
        <f>INDEX(Sheet1!$A:$J,MATCH('index match'!$D423,Sheet1!$C:$C,0),MATCH('index match'!E$2,Sheet1!$1:$1,0))</f>
        <v>Carroll</v>
      </c>
      <c r="F423">
        <f>INDEX(Sheet1!$A:$J,MATCH('index match'!$D423,Sheet1!$C:$C,0),MATCH('index match'!F$2,Sheet1!$1:$1,0))</f>
        <v>0</v>
      </c>
      <c r="G423" t="str">
        <f>INDEX(Sheet1!$A:$J,MATCH('index match'!$D423,Sheet1!$C:$C,0),MATCH('index match'!G$2,Sheet1!$1:$1,0))</f>
        <v>Old</v>
      </c>
      <c r="K423" t="str">
        <v>William Richardson</v>
      </c>
      <c r="L423" t="str">
        <f>INDEX(Sheet1!$A:$J,MATCH('index match'!$K423,Sheet1!$C:$C,0),MATCH('index match'!L$2,Sheet1!$A$1:$J$1,0))</f>
        <v>Richardson</v>
      </c>
      <c r="M423">
        <f>INDEX(Sheet1!$A:$J,MATCH('index match'!$K423,Sheet1!$C:$C,0),MATCH('index match'!M$2,Sheet1!$A$1:$J$1,0))</f>
        <v>0</v>
      </c>
      <c r="N423" t="str">
        <f>INDEX(Sheet1!$A:$J,MATCH('index match'!$K423,Sheet1!$C:$C,0),MATCH('index match'!N$2,Sheet1!$A$1:$J$1,0))</f>
        <v>Young</v>
      </c>
    </row>
    <row r="424" spans="4:14" x14ac:dyDescent="0.25">
      <c r="D424" t="str">
        <v>Brooke Taylor</v>
      </c>
      <c r="E424" t="str">
        <f>INDEX(Sheet1!$A:$J,MATCH('index match'!$D424,Sheet1!$C:$C,0),MATCH('index match'!E$2,Sheet1!$1:$1,0))</f>
        <v>Taylor</v>
      </c>
      <c r="F424">
        <f>INDEX(Sheet1!$A:$J,MATCH('index match'!$D424,Sheet1!$C:$C,0),MATCH('index match'!F$2,Sheet1!$1:$1,0))</f>
        <v>3</v>
      </c>
      <c r="G424" t="str">
        <f>INDEX(Sheet1!$A:$J,MATCH('index match'!$D424,Sheet1!$C:$C,0),MATCH('index match'!G$2,Sheet1!$1:$1,0))</f>
        <v>Middle Age</v>
      </c>
      <c r="K424" t="str">
        <v>Edith Edwards</v>
      </c>
      <c r="L424" t="str">
        <f>INDEX(Sheet1!$A:$J,MATCH('index match'!$K424,Sheet1!$C:$C,0),MATCH('index match'!L$2,Sheet1!$A$1:$J$1,0))</f>
        <v>Edwards</v>
      </c>
      <c r="M424">
        <f>INDEX(Sheet1!$A:$J,MATCH('index match'!$K424,Sheet1!$C:$C,0),MATCH('index match'!M$2,Sheet1!$A$1:$J$1,0))</f>
        <v>3</v>
      </c>
      <c r="N424" t="str">
        <f>INDEX(Sheet1!$A:$J,MATCH('index match'!$K424,Sheet1!$C:$C,0),MATCH('index match'!N$2,Sheet1!$A$1:$J$1,0))</f>
        <v>Middle Age</v>
      </c>
    </row>
    <row r="425" spans="4:14" x14ac:dyDescent="0.25">
      <c r="D425" t="str">
        <v>Agata Higgins</v>
      </c>
      <c r="E425" t="str">
        <f>INDEX(Sheet1!$A:$J,MATCH('index match'!$D425,Sheet1!$C:$C,0),MATCH('index match'!E$2,Sheet1!$1:$1,0))</f>
        <v>Higgins</v>
      </c>
      <c r="F425">
        <f>INDEX(Sheet1!$A:$J,MATCH('index match'!$D425,Sheet1!$C:$C,0),MATCH('index match'!F$2,Sheet1!$1:$1,0))</f>
        <v>1</v>
      </c>
      <c r="G425" t="str">
        <f>INDEX(Sheet1!$A:$J,MATCH('index match'!$D425,Sheet1!$C:$C,0),MATCH('index match'!G$2,Sheet1!$1:$1,0))</f>
        <v>Old</v>
      </c>
      <c r="K425" t="str">
        <v>Arthur Smith</v>
      </c>
      <c r="L425" t="str">
        <f>INDEX(Sheet1!$A:$J,MATCH('index match'!$K425,Sheet1!$C:$C,0),MATCH('index match'!L$2,Sheet1!$A$1:$J$1,0))</f>
        <v>Smith</v>
      </c>
      <c r="M425">
        <f>INDEX(Sheet1!$A:$J,MATCH('index match'!$K425,Sheet1!$C:$C,0),MATCH('index match'!M$2,Sheet1!$A$1:$J$1,0))</f>
        <v>1</v>
      </c>
      <c r="N425" t="str">
        <f>INDEX(Sheet1!$A:$J,MATCH('index match'!$K425,Sheet1!$C:$C,0),MATCH('index match'!N$2,Sheet1!$A$1:$J$1,0))</f>
        <v>Old</v>
      </c>
    </row>
    <row r="426" spans="4:14" x14ac:dyDescent="0.25">
      <c r="D426" t="str">
        <v>Justin Cole</v>
      </c>
      <c r="E426" t="str">
        <f>INDEX(Sheet1!$A:$J,MATCH('index match'!$D426,Sheet1!$C:$C,0),MATCH('index match'!E$2,Sheet1!$1:$1,0))</f>
        <v>Cole</v>
      </c>
      <c r="F426">
        <f>INDEX(Sheet1!$A:$J,MATCH('index match'!$D426,Sheet1!$C:$C,0),MATCH('index match'!F$2,Sheet1!$1:$1,0))</f>
        <v>3</v>
      </c>
      <c r="G426" t="str">
        <f>INDEX(Sheet1!$A:$J,MATCH('index match'!$D426,Sheet1!$C:$C,0),MATCH('index match'!G$2,Sheet1!$1:$1,0))</f>
        <v>Old</v>
      </c>
      <c r="K426" t="str">
        <v>Camila Carter</v>
      </c>
      <c r="L426" t="str">
        <f>INDEX(Sheet1!$A:$J,MATCH('index match'!$K426,Sheet1!$C:$C,0),MATCH('index match'!L$2,Sheet1!$A$1:$J$1,0))</f>
        <v>Carter</v>
      </c>
      <c r="M426">
        <f>INDEX(Sheet1!$A:$J,MATCH('index match'!$K426,Sheet1!$C:$C,0),MATCH('index match'!M$2,Sheet1!$A$1:$J$1,0))</f>
        <v>0</v>
      </c>
      <c r="N426" t="str">
        <f>INDEX(Sheet1!$A:$J,MATCH('index match'!$K426,Sheet1!$C:$C,0),MATCH('index match'!N$2,Sheet1!$A$1:$J$1,0))</f>
        <v>Old</v>
      </c>
    </row>
    <row r="427" spans="4:14" x14ac:dyDescent="0.25">
      <c r="D427" t="str">
        <v>Kellan Elliott</v>
      </c>
      <c r="E427" t="str">
        <f>INDEX(Sheet1!$A:$J,MATCH('index match'!$D427,Sheet1!$C:$C,0),MATCH('index match'!E$2,Sheet1!$1:$1,0))</f>
        <v>Elliott</v>
      </c>
      <c r="F427">
        <f>INDEX(Sheet1!$A:$J,MATCH('index match'!$D427,Sheet1!$C:$C,0),MATCH('index match'!F$2,Sheet1!$1:$1,0))</f>
        <v>0</v>
      </c>
      <c r="G427" t="str">
        <f>INDEX(Sheet1!$A:$J,MATCH('index match'!$D427,Sheet1!$C:$C,0),MATCH('index match'!G$2,Sheet1!$1:$1,0))</f>
        <v>Young</v>
      </c>
      <c r="K427" t="str">
        <v>Dale Richards</v>
      </c>
      <c r="L427" t="str">
        <f>INDEX(Sheet1!$A:$J,MATCH('index match'!$K427,Sheet1!$C:$C,0),MATCH('index match'!L$2,Sheet1!$A$1:$J$1,0))</f>
        <v>Richards</v>
      </c>
      <c r="M427">
        <f>INDEX(Sheet1!$A:$J,MATCH('index match'!$K427,Sheet1!$C:$C,0),MATCH('index match'!M$2,Sheet1!$A$1:$J$1,0))</f>
        <v>1</v>
      </c>
      <c r="N427" t="str">
        <f>INDEX(Sheet1!$A:$J,MATCH('index match'!$K427,Sheet1!$C:$C,0),MATCH('index match'!N$2,Sheet1!$A$1:$J$1,0))</f>
        <v>Young</v>
      </c>
    </row>
    <row r="428" spans="4:14" x14ac:dyDescent="0.25">
      <c r="D428" t="str">
        <v>Maddie Cooper</v>
      </c>
      <c r="E428" t="str">
        <f>INDEX(Sheet1!$A:$J,MATCH('index match'!$D428,Sheet1!$C:$C,0),MATCH('index match'!E$2,Sheet1!$1:$1,0))</f>
        <v>Cooper</v>
      </c>
      <c r="F428">
        <f>INDEX(Sheet1!$A:$J,MATCH('index match'!$D428,Sheet1!$C:$C,0),MATCH('index match'!F$2,Sheet1!$1:$1,0))</f>
        <v>1</v>
      </c>
      <c r="G428" t="str">
        <f>INDEX(Sheet1!$A:$J,MATCH('index match'!$D428,Sheet1!$C:$C,0),MATCH('index match'!G$2,Sheet1!$1:$1,0))</f>
        <v>Middle Age</v>
      </c>
      <c r="K428" t="str">
        <v>Abigail Fowler</v>
      </c>
      <c r="L428" t="str">
        <f>INDEX(Sheet1!$A:$J,MATCH('index match'!$K428,Sheet1!$C:$C,0),MATCH('index match'!L$2,Sheet1!$A$1:$J$1,0))</f>
        <v>Fowler</v>
      </c>
      <c r="M428">
        <f>INDEX(Sheet1!$A:$J,MATCH('index match'!$K428,Sheet1!$C:$C,0),MATCH('index match'!M$2,Sheet1!$A$1:$J$1,0))</f>
        <v>0</v>
      </c>
      <c r="N428" t="str">
        <f>INDEX(Sheet1!$A:$J,MATCH('index match'!$K428,Sheet1!$C:$C,0),MATCH('index match'!N$2,Sheet1!$A$1:$J$1,0))</f>
        <v>Middle Age</v>
      </c>
    </row>
    <row r="429" spans="4:14" x14ac:dyDescent="0.25">
      <c r="D429" t="str">
        <v>Aida Gibson</v>
      </c>
      <c r="E429" t="str">
        <f>INDEX(Sheet1!$A:$J,MATCH('index match'!$D429,Sheet1!$C:$C,0),MATCH('index match'!E$2,Sheet1!$1:$1,0))</f>
        <v>Gibson</v>
      </c>
      <c r="F429">
        <f>INDEX(Sheet1!$A:$J,MATCH('index match'!$D429,Sheet1!$C:$C,0),MATCH('index match'!F$2,Sheet1!$1:$1,0))</f>
        <v>3</v>
      </c>
      <c r="G429" t="str">
        <f>INDEX(Sheet1!$A:$J,MATCH('index match'!$D429,Sheet1!$C:$C,0),MATCH('index match'!G$2,Sheet1!$1:$1,0))</f>
        <v>Middle Age</v>
      </c>
      <c r="K429" t="str">
        <v>Mike Miller</v>
      </c>
      <c r="L429" t="str">
        <f>INDEX(Sheet1!$A:$J,MATCH('index match'!$K429,Sheet1!$C:$C,0),MATCH('index match'!L$2,Sheet1!$A$1:$J$1,0))</f>
        <v>Miller</v>
      </c>
      <c r="M429">
        <f>INDEX(Sheet1!$A:$J,MATCH('index match'!$K429,Sheet1!$C:$C,0),MATCH('index match'!M$2,Sheet1!$A$1:$J$1,0))</f>
        <v>3</v>
      </c>
      <c r="N429" t="str">
        <f>INDEX(Sheet1!$A:$J,MATCH('index match'!$K429,Sheet1!$C:$C,0),MATCH('index match'!N$2,Sheet1!$A$1:$J$1,0))</f>
        <v>Old</v>
      </c>
    </row>
    <row r="430" spans="4:14" x14ac:dyDescent="0.25">
      <c r="D430" t="str">
        <v>Vivian Taylor</v>
      </c>
      <c r="E430" t="str">
        <f>INDEX(Sheet1!$A:$J,MATCH('index match'!$D430,Sheet1!$C:$C,0),MATCH('index match'!E$2,Sheet1!$1:$1,0))</f>
        <v>Taylor</v>
      </c>
      <c r="F430">
        <f>INDEX(Sheet1!$A:$J,MATCH('index match'!$D430,Sheet1!$C:$C,0),MATCH('index match'!F$2,Sheet1!$1:$1,0))</f>
        <v>4</v>
      </c>
      <c r="G430" t="str">
        <f>INDEX(Sheet1!$A:$J,MATCH('index match'!$D430,Sheet1!$C:$C,0),MATCH('index match'!G$2,Sheet1!$1:$1,0))</f>
        <v>Middle Age</v>
      </c>
      <c r="K430" t="str">
        <v>Chester Smith</v>
      </c>
      <c r="L430" t="str">
        <f>INDEX(Sheet1!$A:$J,MATCH('index match'!$K430,Sheet1!$C:$C,0),MATCH('index match'!L$2,Sheet1!$A$1:$J$1,0))</f>
        <v>Smith</v>
      </c>
      <c r="M430">
        <f>INDEX(Sheet1!$A:$J,MATCH('index match'!$K430,Sheet1!$C:$C,0),MATCH('index match'!M$2,Sheet1!$A$1:$J$1,0))</f>
        <v>0</v>
      </c>
      <c r="N430" t="str">
        <f>INDEX(Sheet1!$A:$J,MATCH('index match'!$K430,Sheet1!$C:$C,0),MATCH('index match'!N$2,Sheet1!$A$1:$J$1,0))</f>
        <v>Middle Age</v>
      </c>
    </row>
    <row r="431" spans="4:14" x14ac:dyDescent="0.25">
      <c r="D431" t="str">
        <v>Emily Thomas</v>
      </c>
      <c r="E431" t="str">
        <f>INDEX(Sheet1!$A:$J,MATCH('index match'!$D431,Sheet1!$C:$C,0),MATCH('index match'!E$2,Sheet1!$1:$1,0))</f>
        <v>Thomas</v>
      </c>
      <c r="F431">
        <f>INDEX(Sheet1!$A:$J,MATCH('index match'!$D431,Sheet1!$C:$C,0),MATCH('index match'!F$2,Sheet1!$1:$1,0))</f>
        <v>0</v>
      </c>
      <c r="G431" t="str">
        <f>INDEX(Sheet1!$A:$J,MATCH('index match'!$D431,Sheet1!$C:$C,0),MATCH('index match'!G$2,Sheet1!$1:$1,0))</f>
        <v>Young</v>
      </c>
      <c r="K431" t="str">
        <v>Miranda Spencer</v>
      </c>
      <c r="L431" t="str">
        <f>INDEX(Sheet1!$A:$J,MATCH('index match'!$K431,Sheet1!$C:$C,0),MATCH('index match'!L$2,Sheet1!$A$1:$J$1,0))</f>
        <v>Spencer</v>
      </c>
      <c r="M431">
        <f>INDEX(Sheet1!$A:$J,MATCH('index match'!$K431,Sheet1!$C:$C,0),MATCH('index match'!M$2,Sheet1!$A$1:$J$1,0))</f>
        <v>1</v>
      </c>
      <c r="N431" t="str">
        <f>INDEX(Sheet1!$A:$J,MATCH('index match'!$K431,Sheet1!$C:$C,0),MATCH('index match'!N$2,Sheet1!$A$1:$J$1,0))</f>
        <v>Middle Age</v>
      </c>
    </row>
    <row r="432" spans="4:14" x14ac:dyDescent="0.25">
      <c r="D432" t="str">
        <v>Fiona Hawkins</v>
      </c>
      <c r="E432" t="str">
        <f>INDEX(Sheet1!$A:$J,MATCH('index match'!$D432,Sheet1!$C:$C,0),MATCH('index match'!E$2,Sheet1!$1:$1,0))</f>
        <v>Hawkins</v>
      </c>
      <c r="F432">
        <f>INDEX(Sheet1!$A:$J,MATCH('index match'!$D432,Sheet1!$C:$C,0),MATCH('index match'!F$2,Sheet1!$1:$1,0))</f>
        <v>0</v>
      </c>
      <c r="G432" t="str">
        <f>INDEX(Sheet1!$A:$J,MATCH('index match'!$D432,Sheet1!$C:$C,0),MATCH('index match'!G$2,Sheet1!$1:$1,0))</f>
        <v>Old</v>
      </c>
      <c r="K432" t="str">
        <v>Frederick Craig</v>
      </c>
      <c r="L432" t="str">
        <f>INDEX(Sheet1!$A:$J,MATCH('index match'!$K432,Sheet1!$C:$C,0),MATCH('index match'!L$2,Sheet1!$A$1:$J$1,0))</f>
        <v>Craig</v>
      </c>
      <c r="M432">
        <f>INDEX(Sheet1!$A:$J,MATCH('index match'!$K432,Sheet1!$C:$C,0),MATCH('index match'!M$2,Sheet1!$A$1:$J$1,0))</f>
        <v>1</v>
      </c>
      <c r="N432" t="str">
        <f>INDEX(Sheet1!$A:$J,MATCH('index match'!$K432,Sheet1!$C:$C,0),MATCH('index match'!N$2,Sheet1!$A$1:$J$1,0))</f>
        <v>Middle Age</v>
      </c>
    </row>
    <row r="433" spans="4:14" x14ac:dyDescent="0.25">
      <c r="D433" t="str">
        <v>Robert Andrews</v>
      </c>
      <c r="E433" t="str">
        <f>INDEX(Sheet1!$A:$J,MATCH('index match'!$D433,Sheet1!$C:$C,0),MATCH('index match'!E$2,Sheet1!$1:$1,0))</f>
        <v>Andrews</v>
      </c>
      <c r="F433">
        <f>INDEX(Sheet1!$A:$J,MATCH('index match'!$D433,Sheet1!$C:$C,0),MATCH('index match'!F$2,Sheet1!$1:$1,0))</f>
        <v>0</v>
      </c>
      <c r="G433" t="str">
        <f>INDEX(Sheet1!$A:$J,MATCH('index match'!$D433,Sheet1!$C:$C,0),MATCH('index match'!G$2,Sheet1!$1:$1,0))</f>
        <v>Young</v>
      </c>
      <c r="K433" t="str">
        <v>Emma Wright</v>
      </c>
      <c r="L433" t="str">
        <f>INDEX(Sheet1!$A:$J,MATCH('index match'!$K433,Sheet1!$C:$C,0),MATCH('index match'!L$2,Sheet1!$A$1:$J$1,0))</f>
        <v>Wright</v>
      </c>
      <c r="M433">
        <f>INDEX(Sheet1!$A:$J,MATCH('index match'!$K433,Sheet1!$C:$C,0),MATCH('index match'!M$2,Sheet1!$A$1:$J$1,0))</f>
        <v>0</v>
      </c>
      <c r="N433" t="str">
        <f>INDEX(Sheet1!$A:$J,MATCH('index match'!$K433,Sheet1!$C:$C,0),MATCH('index match'!N$2,Sheet1!$A$1:$J$1,0))</f>
        <v>Middle Age</v>
      </c>
    </row>
    <row r="434" spans="4:14" x14ac:dyDescent="0.25">
      <c r="D434" t="str">
        <v>Kirsten Allen</v>
      </c>
      <c r="E434" t="str">
        <f>INDEX(Sheet1!$A:$J,MATCH('index match'!$D434,Sheet1!$C:$C,0),MATCH('index match'!E$2,Sheet1!$1:$1,0))</f>
        <v>Allen</v>
      </c>
      <c r="F434">
        <f>INDEX(Sheet1!$A:$J,MATCH('index match'!$D434,Sheet1!$C:$C,0),MATCH('index match'!F$2,Sheet1!$1:$1,0))</f>
        <v>3</v>
      </c>
      <c r="G434" t="str">
        <f>INDEX(Sheet1!$A:$J,MATCH('index match'!$D434,Sheet1!$C:$C,0),MATCH('index match'!G$2,Sheet1!$1:$1,0))</f>
        <v>Middle Age</v>
      </c>
      <c r="K434" t="str">
        <v>Belinda Brown</v>
      </c>
      <c r="L434" t="str">
        <f>INDEX(Sheet1!$A:$J,MATCH('index match'!$K434,Sheet1!$C:$C,0),MATCH('index match'!L$2,Sheet1!$A$1:$J$1,0))</f>
        <v>Brown</v>
      </c>
      <c r="M434">
        <f>INDEX(Sheet1!$A:$J,MATCH('index match'!$K434,Sheet1!$C:$C,0),MATCH('index match'!M$2,Sheet1!$A$1:$J$1,0))</f>
        <v>1</v>
      </c>
      <c r="N434" t="str">
        <f>INDEX(Sheet1!$A:$J,MATCH('index match'!$K434,Sheet1!$C:$C,0),MATCH('index match'!N$2,Sheet1!$A$1:$J$1,0))</f>
        <v>Middle Age</v>
      </c>
    </row>
    <row r="435" spans="4:14" x14ac:dyDescent="0.25">
      <c r="D435" t="str">
        <v>Roman Foster</v>
      </c>
      <c r="E435" t="str">
        <f>INDEX(Sheet1!$A:$J,MATCH('index match'!$D435,Sheet1!$C:$C,0),MATCH('index match'!E$2,Sheet1!$1:$1,0))</f>
        <v>Foster</v>
      </c>
      <c r="F435">
        <f>INDEX(Sheet1!$A:$J,MATCH('index match'!$D435,Sheet1!$C:$C,0),MATCH('index match'!F$2,Sheet1!$1:$1,0))</f>
        <v>0</v>
      </c>
      <c r="G435" t="str">
        <f>INDEX(Sheet1!$A:$J,MATCH('index match'!$D435,Sheet1!$C:$C,0),MATCH('index match'!G$2,Sheet1!$1:$1,0))</f>
        <v>Middle Age</v>
      </c>
      <c r="K435" t="str">
        <v>Ryan Bennett</v>
      </c>
      <c r="L435" t="str">
        <f>INDEX(Sheet1!$A:$J,MATCH('index match'!$K435,Sheet1!$C:$C,0),MATCH('index match'!L$2,Sheet1!$A$1:$J$1,0))</f>
        <v>Bennett</v>
      </c>
      <c r="M435">
        <f>INDEX(Sheet1!$A:$J,MATCH('index match'!$K435,Sheet1!$C:$C,0),MATCH('index match'!M$2,Sheet1!$A$1:$J$1,0))</f>
        <v>0</v>
      </c>
      <c r="N435" t="str">
        <f>INDEX(Sheet1!$A:$J,MATCH('index match'!$K435,Sheet1!$C:$C,0),MATCH('index match'!N$2,Sheet1!$A$1:$J$1,0))</f>
        <v>Old</v>
      </c>
    </row>
    <row r="436" spans="4:14" x14ac:dyDescent="0.25">
      <c r="D436" t="str">
        <v>Lyndon Watson</v>
      </c>
      <c r="E436" t="str">
        <f>INDEX(Sheet1!$A:$J,MATCH('index match'!$D436,Sheet1!$C:$C,0),MATCH('index match'!E$2,Sheet1!$1:$1,0))</f>
        <v>Watson</v>
      </c>
      <c r="F436">
        <f>INDEX(Sheet1!$A:$J,MATCH('index match'!$D436,Sheet1!$C:$C,0),MATCH('index match'!F$2,Sheet1!$1:$1,0))</f>
        <v>4</v>
      </c>
      <c r="G436" t="str">
        <f>INDEX(Sheet1!$A:$J,MATCH('index match'!$D436,Sheet1!$C:$C,0),MATCH('index match'!G$2,Sheet1!$1:$1,0))</f>
        <v>Young</v>
      </c>
      <c r="K436" t="str">
        <v>Amelia Barrett</v>
      </c>
      <c r="L436" t="str">
        <f>INDEX(Sheet1!$A:$J,MATCH('index match'!$K436,Sheet1!$C:$C,0),MATCH('index match'!L$2,Sheet1!$A$1:$J$1,0))</f>
        <v>Barrett</v>
      </c>
      <c r="M436">
        <f>INDEX(Sheet1!$A:$J,MATCH('index match'!$K436,Sheet1!$C:$C,0),MATCH('index match'!M$2,Sheet1!$A$1:$J$1,0))</f>
        <v>1</v>
      </c>
      <c r="N436" t="str">
        <f>INDEX(Sheet1!$A:$J,MATCH('index match'!$K436,Sheet1!$C:$C,0),MATCH('index match'!N$2,Sheet1!$A$1:$J$1,0))</f>
        <v>Young</v>
      </c>
    </row>
    <row r="437" spans="4:14" x14ac:dyDescent="0.25">
      <c r="D437" t="str">
        <v>Edith Bailey</v>
      </c>
      <c r="E437" t="str">
        <f>INDEX(Sheet1!$A:$J,MATCH('index match'!$D437,Sheet1!$C:$C,0),MATCH('index match'!E$2,Sheet1!$1:$1,0))</f>
        <v>Bailey</v>
      </c>
      <c r="F437">
        <f>INDEX(Sheet1!$A:$J,MATCH('index match'!$D437,Sheet1!$C:$C,0),MATCH('index match'!F$2,Sheet1!$1:$1,0))</f>
        <v>0</v>
      </c>
      <c r="G437" t="str">
        <f>INDEX(Sheet1!$A:$J,MATCH('index match'!$D437,Sheet1!$C:$C,0),MATCH('index match'!G$2,Sheet1!$1:$1,0))</f>
        <v>Young</v>
      </c>
      <c r="K437" t="str">
        <v>Alberta Robinson</v>
      </c>
      <c r="L437" t="str">
        <f>INDEX(Sheet1!$A:$J,MATCH('index match'!$K437,Sheet1!$C:$C,0),MATCH('index match'!L$2,Sheet1!$A$1:$J$1,0))</f>
        <v>Robinson</v>
      </c>
      <c r="M437">
        <f>INDEX(Sheet1!$A:$J,MATCH('index match'!$K437,Sheet1!$C:$C,0),MATCH('index match'!M$2,Sheet1!$A$1:$J$1,0))</f>
        <v>4</v>
      </c>
      <c r="N437" t="str">
        <f>INDEX(Sheet1!$A:$J,MATCH('index match'!$K437,Sheet1!$C:$C,0),MATCH('index match'!N$2,Sheet1!$A$1:$J$1,0))</f>
        <v>Middle Age</v>
      </c>
    </row>
    <row r="438" spans="4:14" x14ac:dyDescent="0.25">
      <c r="D438" t="str">
        <v>Edward Kelly</v>
      </c>
      <c r="E438" t="str">
        <f>INDEX(Sheet1!$A:$J,MATCH('index match'!$D438,Sheet1!$C:$C,0),MATCH('index match'!E$2,Sheet1!$1:$1,0))</f>
        <v>Kelly</v>
      </c>
      <c r="F438">
        <f>INDEX(Sheet1!$A:$J,MATCH('index match'!$D438,Sheet1!$C:$C,0),MATCH('index match'!F$2,Sheet1!$1:$1,0))</f>
        <v>3</v>
      </c>
      <c r="G438" t="str">
        <f>INDEX(Sheet1!$A:$J,MATCH('index match'!$D438,Sheet1!$C:$C,0),MATCH('index match'!G$2,Sheet1!$1:$1,0))</f>
        <v>Middle Age</v>
      </c>
      <c r="K438" t="str">
        <v>Brooke Walker</v>
      </c>
      <c r="L438" t="str">
        <f>INDEX(Sheet1!$A:$J,MATCH('index match'!$K438,Sheet1!$C:$C,0),MATCH('index match'!L$2,Sheet1!$A$1:$J$1,0))</f>
        <v>Walker</v>
      </c>
      <c r="M438">
        <f>INDEX(Sheet1!$A:$J,MATCH('index match'!$K438,Sheet1!$C:$C,0),MATCH('index match'!M$2,Sheet1!$A$1:$J$1,0))</f>
        <v>5</v>
      </c>
      <c r="N438" t="str">
        <f>INDEX(Sheet1!$A:$J,MATCH('index match'!$K438,Sheet1!$C:$C,0),MATCH('index match'!N$2,Sheet1!$A$1:$J$1,0))</f>
        <v>Middle Age</v>
      </c>
    </row>
    <row r="439" spans="4:14" x14ac:dyDescent="0.25">
      <c r="D439" t="str">
        <v>Jessica Moore</v>
      </c>
      <c r="E439" t="str">
        <f>INDEX(Sheet1!$A:$J,MATCH('index match'!$D439,Sheet1!$C:$C,0),MATCH('index match'!E$2,Sheet1!$1:$1,0))</f>
        <v>Moore</v>
      </c>
      <c r="F439">
        <f>INDEX(Sheet1!$A:$J,MATCH('index match'!$D439,Sheet1!$C:$C,0),MATCH('index match'!F$2,Sheet1!$1:$1,0))</f>
        <v>1</v>
      </c>
      <c r="G439" t="str">
        <f>INDEX(Sheet1!$A:$J,MATCH('index match'!$D439,Sheet1!$C:$C,0),MATCH('index match'!G$2,Sheet1!$1:$1,0))</f>
        <v>Middle Age</v>
      </c>
      <c r="K439" t="str">
        <v>Briony Higgins</v>
      </c>
      <c r="L439" t="str">
        <f>INDEX(Sheet1!$A:$J,MATCH('index match'!$K439,Sheet1!$C:$C,0),MATCH('index match'!L$2,Sheet1!$A$1:$J$1,0))</f>
        <v>Higgins</v>
      </c>
      <c r="M439">
        <f>INDEX(Sheet1!$A:$J,MATCH('index match'!$K439,Sheet1!$C:$C,0),MATCH('index match'!M$2,Sheet1!$A$1:$J$1,0))</f>
        <v>0</v>
      </c>
      <c r="N439" t="str">
        <f>INDEX(Sheet1!$A:$J,MATCH('index match'!$K439,Sheet1!$C:$C,0),MATCH('index match'!N$2,Sheet1!$A$1:$J$1,0))</f>
        <v>Young</v>
      </c>
    </row>
    <row r="440" spans="4:14" x14ac:dyDescent="0.25">
      <c r="D440" t="str">
        <v>Arnold Robinson</v>
      </c>
      <c r="E440" t="str">
        <f>INDEX(Sheet1!$A:$J,MATCH('index match'!$D440,Sheet1!$C:$C,0),MATCH('index match'!E$2,Sheet1!$1:$1,0))</f>
        <v>Robinson</v>
      </c>
      <c r="F440">
        <f>INDEX(Sheet1!$A:$J,MATCH('index match'!$D440,Sheet1!$C:$C,0),MATCH('index match'!F$2,Sheet1!$1:$1,0))</f>
        <v>1</v>
      </c>
      <c r="G440" t="str">
        <f>INDEX(Sheet1!$A:$J,MATCH('index match'!$D440,Sheet1!$C:$C,0),MATCH('index match'!G$2,Sheet1!$1:$1,0))</f>
        <v>Middle Age</v>
      </c>
      <c r="K440" t="str">
        <v>Tara Owens</v>
      </c>
      <c r="L440" t="str">
        <f>INDEX(Sheet1!$A:$J,MATCH('index match'!$K440,Sheet1!$C:$C,0),MATCH('index match'!L$2,Sheet1!$A$1:$J$1,0))</f>
        <v>Owens</v>
      </c>
      <c r="M440">
        <f>INDEX(Sheet1!$A:$J,MATCH('index match'!$K440,Sheet1!$C:$C,0),MATCH('index match'!M$2,Sheet1!$A$1:$J$1,0))</f>
        <v>2</v>
      </c>
      <c r="N440" t="str">
        <f>INDEX(Sheet1!$A:$J,MATCH('index match'!$K440,Sheet1!$C:$C,0),MATCH('index match'!N$2,Sheet1!$A$1:$J$1,0))</f>
        <v>Middle Age</v>
      </c>
    </row>
    <row r="441" spans="4:14" x14ac:dyDescent="0.25">
      <c r="D441" t="str">
        <v>Lucia Gray</v>
      </c>
      <c r="E441" t="str">
        <f>INDEX(Sheet1!$A:$J,MATCH('index match'!$D441,Sheet1!$C:$C,0),MATCH('index match'!E$2,Sheet1!$1:$1,0))</f>
        <v>Gray</v>
      </c>
      <c r="F441">
        <f>INDEX(Sheet1!$A:$J,MATCH('index match'!$D441,Sheet1!$C:$C,0),MATCH('index match'!F$2,Sheet1!$1:$1,0))</f>
        <v>3</v>
      </c>
      <c r="G441" t="str">
        <f>INDEX(Sheet1!$A:$J,MATCH('index match'!$D441,Sheet1!$C:$C,0),MATCH('index match'!G$2,Sheet1!$1:$1,0))</f>
        <v>Old</v>
      </c>
      <c r="K441" t="str">
        <v>Adele Adams</v>
      </c>
      <c r="L441" t="str">
        <f>INDEX(Sheet1!$A:$J,MATCH('index match'!$K441,Sheet1!$C:$C,0),MATCH('index match'!L$2,Sheet1!$A$1:$J$1,0))</f>
        <v>Adams</v>
      </c>
      <c r="M441">
        <f>INDEX(Sheet1!$A:$J,MATCH('index match'!$K441,Sheet1!$C:$C,0),MATCH('index match'!M$2,Sheet1!$A$1:$J$1,0))</f>
        <v>4</v>
      </c>
      <c r="N441" t="str">
        <f>INDEX(Sheet1!$A:$J,MATCH('index match'!$K441,Sheet1!$C:$C,0),MATCH('index match'!N$2,Sheet1!$A$1:$J$1,0))</f>
        <v>Old</v>
      </c>
    </row>
    <row r="442" spans="4:14" x14ac:dyDescent="0.25">
      <c r="D442" t="str">
        <v>James Johnston</v>
      </c>
      <c r="E442" t="str">
        <f>INDEX(Sheet1!$A:$J,MATCH('index match'!$D442,Sheet1!$C:$C,0),MATCH('index match'!E$2,Sheet1!$1:$1,0))</f>
        <v>Johnston</v>
      </c>
      <c r="F442">
        <f>INDEX(Sheet1!$A:$J,MATCH('index match'!$D442,Sheet1!$C:$C,0),MATCH('index match'!F$2,Sheet1!$1:$1,0))</f>
        <v>0</v>
      </c>
      <c r="G442" t="str">
        <f>INDEX(Sheet1!$A:$J,MATCH('index match'!$D442,Sheet1!$C:$C,0),MATCH('index match'!G$2,Sheet1!$1:$1,0))</f>
        <v>Middle Age</v>
      </c>
      <c r="K442" t="str">
        <v>Byron Tucker</v>
      </c>
      <c r="L442" t="str">
        <f>INDEX(Sheet1!$A:$J,MATCH('index match'!$K442,Sheet1!$C:$C,0),MATCH('index match'!L$2,Sheet1!$A$1:$J$1,0))</f>
        <v>Tucker</v>
      </c>
      <c r="M442">
        <f>INDEX(Sheet1!$A:$J,MATCH('index match'!$K442,Sheet1!$C:$C,0),MATCH('index match'!M$2,Sheet1!$A$1:$J$1,0))</f>
        <v>5</v>
      </c>
      <c r="N442" t="str">
        <f>INDEX(Sheet1!$A:$J,MATCH('index match'!$K442,Sheet1!$C:$C,0),MATCH('index match'!N$2,Sheet1!$A$1:$J$1,0))</f>
        <v>Middle Age</v>
      </c>
    </row>
    <row r="443" spans="4:14" x14ac:dyDescent="0.25">
      <c r="D443" t="str">
        <v>Oliver Robinson</v>
      </c>
      <c r="E443" t="str">
        <f>INDEX(Sheet1!$A:$J,MATCH('index match'!$D443,Sheet1!$C:$C,0),MATCH('index match'!E$2,Sheet1!$1:$1,0))</f>
        <v>Robinson</v>
      </c>
      <c r="F443">
        <f>INDEX(Sheet1!$A:$J,MATCH('index match'!$D443,Sheet1!$C:$C,0),MATCH('index match'!F$2,Sheet1!$1:$1,0))</f>
        <v>0</v>
      </c>
      <c r="G443" t="str">
        <f>INDEX(Sheet1!$A:$J,MATCH('index match'!$D443,Sheet1!$C:$C,0),MATCH('index match'!G$2,Sheet1!$1:$1,0))</f>
        <v>Old</v>
      </c>
      <c r="K443" t="str">
        <v>Eddy Hamilton</v>
      </c>
      <c r="L443" t="str">
        <f>INDEX(Sheet1!$A:$J,MATCH('index match'!$K443,Sheet1!$C:$C,0),MATCH('index match'!L$2,Sheet1!$A$1:$J$1,0))</f>
        <v>Hamilton</v>
      </c>
      <c r="M443">
        <f>INDEX(Sheet1!$A:$J,MATCH('index match'!$K443,Sheet1!$C:$C,0),MATCH('index match'!M$2,Sheet1!$A$1:$J$1,0))</f>
        <v>4</v>
      </c>
      <c r="N443" t="str">
        <f>INDEX(Sheet1!$A:$J,MATCH('index match'!$K443,Sheet1!$C:$C,0),MATCH('index match'!N$2,Sheet1!$A$1:$J$1,0))</f>
        <v>Old</v>
      </c>
    </row>
    <row r="444" spans="4:14" x14ac:dyDescent="0.25">
      <c r="D444" t="str">
        <v>Alberta Wells</v>
      </c>
      <c r="E444" t="str">
        <f>INDEX(Sheet1!$A:$J,MATCH('index match'!$D444,Sheet1!$C:$C,0),MATCH('index match'!E$2,Sheet1!$1:$1,0))</f>
        <v>Wells</v>
      </c>
      <c r="F444">
        <f>INDEX(Sheet1!$A:$J,MATCH('index match'!$D444,Sheet1!$C:$C,0),MATCH('index match'!F$2,Sheet1!$1:$1,0))</f>
        <v>0</v>
      </c>
      <c r="G444" t="str">
        <f>INDEX(Sheet1!$A:$J,MATCH('index match'!$D444,Sheet1!$C:$C,0),MATCH('index match'!G$2,Sheet1!$1:$1,0))</f>
        <v>Middle Age</v>
      </c>
      <c r="K444" t="str">
        <v>Paige Murphy</v>
      </c>
      <c r="L444" t="str">
        <f>INDEX(Sheet1!$A:$J,MATCH('index match'!$K444,Sheet1!$C:$C,0),MATCH('index match'!L$2,Sheet1!$A$1:$J$1,0))</f>
        <v>Murphy</v>
      </c>
      <c r="M444">
        <f>INDEX(Sheet1!$A:$J,MATCH('index match'!$K444,Sheet1!$C:$C,0),MATCH('index match'!M$2,Sheet1!$A$1:$J$1,0))</f>
        <v>0</v>
      </c>
      <c r="N444" t="str">
        <f>INDEX(Sheet1!$A:$J,MATCH('index match'!$K444,Sheet1!$C:$C,0),MATCH('index match'!N$2,Sheet1!$A$1:$J$1,0))</f>
        <v>Middle Age</v>
      </c>
    </row>
    <row r="445" spans="4:14" x14ac:dyDescent="0.25">
      <c r="D445" t="str">
        <v>Aiden Cameron</v>
      </c>
      <c r="E445" t="str">
        <f>INDEX(Sheet1!$A:$J,MATCH('index match'!$D445,Sheet1!$C:$C,0),MATCH('index match'!E$2,Sheet1!$1:$1,0))</f>
        <v>Cameron</v>
      </c>
      <c r="F445">
        <f>INDEX(Sheet1!$A:$J,MATCH('index match'!$D445,Sheet1!$C:$C,0),MATCH('index match'!F$2,Sheet1!$1:$1,0))</f>
        <v>3</v>
      </c>
      <c r="G445" t="str">
        <f>INDEX(Sheet1!$A:$J,MATCH('index match'!$D445,Sheet1!$C:$C,0),MATCH('index match'!G$2,Sheet1!$1:$1,0))</f>
        <v>Old</v>
      </c>
      <c r="K445" t="str">
        <v>James Carroll</v>
      </c>
      <c r="L445" t="str">
        <f>INDEX(Sheet1!$A:$J,MATCH('index match'!$K445,Sheet1!$C:$C,0),MATCH('index match'!L$2,Sheet1!$A$1:$J$1,0))</f>
        <v>Carroll</v>
      </c>
      <c r="M445">
        <f>INDEX(Sheet1!$A:$J,MATCH('index match'!$K445,Sheet1!$C:$C,0),MATCH('index match'!M$2,Sheet1!$A$1:$J$1,0))</f>
        <v>3</v>
      </c>
      <c r="N445" t="str">
        <f>INDEX(Sheet1!$A:$J,MATCH('index match'!$K445,Sheet1!$C:$C,0),MATCH('index match'!N$2,Sheet1!$A$1:$J$1,0))</f>
        <v>Middle Age</v>
      </c>
    </row>
    <row r="446" spans="4:14" x14ac:dyDescent="0.25">
      <c r="D446" t="str">
        <v>Adrianna Kelley</v>
      </c>
      <c r="E446" t="str">
        <f>INDEX(Sheet1!$A:$J,MATCH('index match'!$D446,Sheet1!$C:$C,0),MATCH('index match'!E$2,Sheet1!$1:$1,0))</f>
        <v>Kelley</v>
      </c>
      <c r="F446">
        <f>INDEX(Sheet1!$A:$J,MATCH('index match'!$D446,Sheet1!$C:$C,0),MATCH('index match'!F$2,Sheet1!$1:$1,0))</f>
        <v>3</v>
      </c>
      <c r="G446" t="str">
        <f>INDEX(Sheet1!$A:$J,MATCH('index match'!$D446,Sheet1!$C:$C,0),MATCH('index match'!G$2,Sheet1!$1:$1,0))</f>
        <v>Middle Age</v>
      </c>
      <c r="K446" t="str">
        <v>David Rogers</v>
      </c>
      <c r="L446" t="str">
        <f>INDEX(Sheet1!$A:$J,MATCH('index match'!$K446,Sheet1!$C:$C,0),MATCH('index match'!L$2,Sheet1!$A$1:$J$1,0))</f>
        <v>Rogers</v>
      </c>
      <c r="M446">
        <f>INDEX(Sheet1!$A:$J,MATCH('index match'!$K446,Sheet1!$C:$C,0),MATCH('index match'!M$2,Sheet1!$A$1:$J$1,0))</f>
        <v>1</v>
      </c>
      <c r="N446" t="str">
        <f>INDEX(Sheet1!$A:$J,MATCH('index match'!$K446,Sheet1!$C:$C,0),MATCH('index match'!N$2,Sheet1!$A$1:$J$1,0))</f>
        <v>Middle Age</v>
      </c>
    </row>
    <row r="447" spans="4:14" x14ac:dyDescent="0.25">
      <c r="D447" t="str">
        <v>Justin Perry</v>
      </c>
      <c r="E447" t="str">
        <f>INDEX(Sheet1!$A:$J,MATCH('index match'!$D447,Sheet1!$C:$C,0),MATCH('index match'!E$2,Sheet1!$1:$1,0))</f>
        <v>Perry</v>
      </c>
      <c r="F447">
        <f>INDEX(Sheet1!$A:$J,MATCH('index match'!$D447,Sheet1!$C:$C,0),MATCH('index match'!F$2,Sheet1!$1:$1,0))</f>
        <v>0</v>
      </c>
      <c r="G447" t="str">
        <f>INDEX(Sheet1!$A:$J,MATCH('index match'!$D447,Sheet1!$C:$C,0),MATCH('index match'!G$2,Sheet1!$1:$1,0))</f>
        <v>Middle Age</v>
      </c>
      <c r="K447" t="str">
        <v>Edith Wright</v>
      </c>
      <c r="L447" t="str">
        <f>INDEX(Sheet1!$A:$J,MATCH('index match'!$K447,Sheet1!$C:$C,0),MATCH('index match'!L$2,Sheet1!$A$1:$J$1,0))</f>
        <v>Wright</v>
      </c>
      <c r="M447">
        <f>INDEX(Sheet1!$A:$J,MATCH('index match'!$K447,Sheet1!$C:$C,0),MATCH('index match'!M$2,Sheet1!$A$1:$J$1,0))</f>
        <v>4</v>
      </c>
      <c r="N447" t="str">
        <f>INDEX(Sheet1!$A:$J,MATCH('index match'!$K447,Sheet1!$C:$C,0),MATCH('index match'!N$2,Sheet1!$A$1:$J$1,0))</f>
        <v>Middle Age</v>
      </c>
    </row>
    <row r="448" spans="4:14" x14ac:dyDescent="0.25">
      <c r="D448" t="str">
        <v>Arnold Barnes</v>
      </c>
      <c r="E448" t="str">
        <f>INDEX(Sheet1!$A:$J,MATCH('index match'!$D448,Sheet1!$C:$C,0),MATCH('index match'!E$2,Sheet1!$1:$1,0))</f>
        <v>Barnes</v>
      </c>
      <c r="F448">
        <f>INDEX(Sheet1!$A:$J,MATCH('index match'!$D448,Sheet1!$C:$C,0),MATCH('index match'!F$2,Sheet1!$1:$1,0))</f>
        <v>2</v>
      </c>
      <c r="G448" t="str">
        <f>INDEX(Sheet1!$A:$J,MATCH('index match'!$D448,Sheet1!$C:$C,0),MATCH('index match'!G$2,Sheet1!$1:$1,0))</f>
        <v>Middle Age</v>
      </c>
      <c r="K448" t="str">
        <v>Leonardo Brooks</v>
      </c>
      <c r="L448" t="str">
        <f>INDEX(Sheet1!$A:$J,MATCH('index match'!$K448,Sheet1!$C:$C,0),MATCH('index match'!L$2,Sheet1!$A$1:$J$1,0))</f>
        <v>Brooks</v>
      </c>
      <c r="M448">
        <f>INDEX(Sheet1!$A:$J,MATCH('index match'!$K448,Sheet1!$C:$C,0),MATCH('index match'!M$2,Sheet1!$A$1:$J$1,0))</f>
        <v>5</v>
      </c>
      <c r="N448" t="str">
        <f>INDEX(Sheet1!$A:$J,MATCH('index match'!$K448,Sheet1!$C:$C,0),MATCH('index match'!N$2,Sheet1!$A$1:$J$1,0))</f>
        <v>Middle Age</v>
      </c>
    </row>
    <row r="449" spans="4:14" x14ac:dyDescent="0.25">
      <c r="D449" t="str">
        <v>Jack Robinson</v>
      </c>
      <c r="E449" t="str">
        <f>INDEX(Sheet1!$A:$J,MATCH('index match'!$D449,Sheet1!$C:$C,0),MATCH('index match'!E$2,Sheet1!$1:$1,0))</f>
        <v>Robinson</v>
      </c>
      <c r="F449">
        <f>INDEX(Sheet1!$A:$J,MATCH('index match'!$D449,Sheet1!$C:$C,0),MATCH('index match'!F$2,Sheet1!$1:$1,0))</f>
        <v>4</v>
      </c>
      <c r="G449" t="str">
        <f>INDEX(Sheet1!$A:$J,MATCH('index match'!$D449,Sheet1!$C:$C,0),MATCH('index match'!G$2,Sheet1!$1:$1,0))</f>
        <v>Old</v>
      </c>
      <c r="K449" t="str">
        <v>Sarah Dixon</v>
      </c>
      <c r="L449" t="str">
        <f>INDEX(Sheet1!$A:$J,MATCH('index match'!$K449,Sheet1!$C:$C,0),MATCH('index match'!L$2,Sheet1!$A$1:$J$1,0))</f>
        <v>Dixon</v>
      </c>
      <c r="M449">
        <f>INDEX(Sheet1!$A:$J,MATCH('index match'!$K449,Sheet1!$C:$C,0),MATCH('index match'!M$2,Sheet1!$A$1:$J$1,0))</f>
        <v>2</v>
      </c>
      <c r="N449" t="str">
        <f>INDEX(Sheet1!$A:$J,MATCH('index match'!$K449,Sheet1!$C:$C,0),MATCH('index match'!N$2,Sheet1!$A$1:$J$1,0))</f>
        <v>Middle Age</v>
      </c>
    </row>
    <row r="450" spans="4:14" x14ac:dyDescent="0.25">
      <c r="D450" t="str">
        <v>Derek Taylor</v>
      </c>
      <c r="E450" t="str">
        <f>INDEX(Sheet1!$A:$J,MATCH('index match'!$D450,Sheet1!$C:$C,0),MATCH('index match'!E$2,Sheet1!$1:$1,0))</f>
        <v>Taylor</v>
      </c>
      <c r="F450">
        <f>INDEX(Sheet1!$A:$J,MATCH('index match'!$D450,Sheet1!$C:$C,0),MATCH('index match'!F$2,Sheet1!$1:$1,0))</f>
        <v>1</v>
      </c>
      <c r="G450" t="str">
        <f>INDEX(Sheet1!$A:$J,MATCH('index match'!$D450,Sheet1!$C:$C,0),MATCH('index match'!G$2,Sheet1!$1:$1,0))</f>
        <v>Young</v>
      </c>
      <c r="K450" t="str">
        <v>Evelyn Tucker</v>
      </c>
      <c r="L450" t="str">
        <f>INDEX(Sheet1!$A:$J,MATCH('index match'!$K450,Sheet1!$C:$C,0),MATCH('index match'!L$2,Sheet1!$A$1:$J$1,0))</f>
        <v>Tucker</v>
      </c>
      <c r="M450">
        <f>INDEX(Sheet1!$A:$J,MATCH('index match'!$K450,Sheet1!$C:$C,0),MATCH('index match'!M$2,Sheet1!$A$1:$J$1,0))</f>
        <v>0</v>
      </c>
      <c r="N450" t="str">
        <f>INDEX(Sheet1!$A:$J,MATCH('index match'!$K450,Sheet1!$C:$C,0),MATCH('index match'!N$2,Sheet1!$A$1:$J$1,0))</f>
        <v>Middle Age</v>
      </c>
    </row>
    <row r="451" spans="4:14" x14ac:dyDescent="0.25">
      <c r="D451" t="str">
        <v>Julian Myers</v>
      </c>
      <c r="E451" t="str">
        <f>INDEX(Sheet1!$A:$J,MATCH('index match'!$D451,Sheet1!$C:$C,0),MATCH('index match'!E$2,Sheet1!$1:$1,0))</f>
        <v>Myers</v>
      </c>
      <c r="F451">
        <f>INDEX(Sheet1!$A:$J,MATCH('index match'!$D451,Sheet1!$C:$C,0),MATCH('index match'!F$2,Sheet1!$1:$1,0))</f>
        <v>0</v>
      </c>
      <c r="G451" t="str">
        <f>INDEX(Sheet1!$A:$J,MATCH('index match'!$D451,Sheet1!$C:$C,0),MATCH('index match'!G$2,Sheet1!$1:$1,0))</f>
        <v>Young</v>
      </c>
      <c r="K451" t="str">
        <v>Luke Alexander</v>
      </c>
      <c r="L451" t="str">
        <f>INDEX(Sheet1!$A:$J,MATCH('index match'!$K451,Sheet1!$C:$C,0),MATCH('index match'!L$2,Sheet1!$A$1:$J$1,0))</f>
        <v>Alexander</v>
      </c>
      <c r="M451">
        <f>INDEX(Sheet1!$A:$J,MATCH('index match'!$K451,Sheet1!$C:$C,0),MATCH('index match'!M$2,Sheet1!$A$1:$J$1,0))</f>
        <v>2</v>
      </c>
      <c r="N451" t="str">
        <f>INDEX(Sheet1!$A:$J,MATCH('index match'!$K451,Sheet1!$C:$C,0),MATCH('index match'!N$2,Sheet1!$A$1:$J$1,0))</f>
        <v>Middle Age</v>
      </c>
    </row>
    <row r="452" spans="4:14" x14ac:dyDescent="0.25">
      <c r="D452" t="str">
        <v>Penelope Robinson</v>
      </c>
      <c r="E452" t="str">
        <f>INDEX(Sheet1!$A:$J,MATCH('index match'!$D452,Sheet1!$C:$C,0),MATCH('index match'!E$2,Sheet1!$1:$1,0))</f>
        <v>Robinson</v>
      </c>
      <c r="F452">
        <f>INDEX(Sheet1!$A:$J,MATCH('index match'!$D452,Sheet1!$C:$C,0),MATCH('index match'!F$2,Sheet1!$1:$1,0))</f>
        <v>2</v>
      </c>
      <c r="G452" t="str">
        <f>INDEX(Sheet1!$A:$J,MATCH('index match'!$D452,Sheet1!$C:$C,0),MATCH('index match'!G$2,Sheet1!$1:$1,0))</f>
        <v>Middle Age</v>
      </c>
      <c r="K452" t="str">
        <v>Heather Harper</v>
      </c>
      <c r="L452" t="str">
        <f>INDEX(Sheet1!$A:$J,MATCH('index match'!$K452,Sheet1!$C:$C,0),MATCH('index match'!L$2,Sheet1!$A$1:$J$1,0))</f>
        <v>Harper</v>
      </c>
      <c r="M452">
        <f>INDEX(Sheet1!$A:$J,MATCH('index match'!$K452,Sheet1!$C:$C,0),MATCH('index match'!M$2,Sheet1!$A$1:$J$1,0))</f>
        <v>3</v>
      </c>
      <c r="N452" t="str">
        <f>INDEX(Sheet1!$A:$J,MATCH('index match'!$K452,Sheet1!$C:$C,0),MATCH('index match'!N$2,Sheet1!$A$1:$J$1,0))</f>
        <v>Young</v>
      </c>
    </row>
    <row r="453" spans="4:14" x14ac:dyDescent="0.25">
      <c r="D453" t="str">
        <v>Sydney Craig</v>
      </c>
      <c r="E453" t="str">
        <f>INDEX(Sheet1!$A:$J,MATCH('index match'!$D453,Sheet1!$C:$C,0),MATCH('index match'!E$2,Sheet1!$1:$1,0))</f>
        <v>Craig</v>
      </c>
      <c r="F453">
        <f>INDEX(Sheet1!$A:$J,MATCH('index match'!$D453,Sheet1!$C:$C,0),MATCH('index match'!F$2,Sheet1!$1:$1,0))</f>
        <v>1</v>
      </c>
      <c r="G453" t="str">
        <f>INDEX(Sheet1!$A:$J,MATCH('index match'!$D453,Sheet1!$C:$C,0),MATCH('index match'!G$2,Sheet1!$1:$1,0))</f>
        <v>Middle Age</v>
      </c>
      <c r="K453" t="str">
        <v>Fiona Harper</v>
      </c>
      <c r="L453" t="str">
        <f>INDEX(Sheet1!$A:$J,MATCH('index match'!$K453,Sheet1!$C:$C,0),MATCH('index match'!L$2,Sheet1!$A$1:$J$1,0))</f>
        <v>Harper</v>
      </c>
      <c r="M453">
        <f>INDEX(Sheet1!$A:$J,MATCH('index match'!$K453,Sheet1!$C:$C,0),MATCH('index match'!M$2,Sheet1!$A$1:$J$1,0))</f>
        <v>5</v>
      </c>
      <c r="N453" t="str">
        <f>INDEX(Sheet1!$A:$J,MATCH('index match'!$K453,Sheet1!$C:$C,0),MATCH('index match'!N$2,Sheet1!$A$1:$J$1,0))</f>
        <v>Middle Age</v>
      </c>
    </row>
    <row r="454" spans="4:14" x14ac:dyDescent="0.25">
      <c r="D454" t="str">
        <v>Olivia Murray</v>
      </c>
      <c r="E454" t="str">
        <f>INDEX(Sheet1!$A:$J,MATCH('index match'!$D454,Sheet1!$C:$C,0),MATCH('index match'!E$2,Sheet1!$1:$1,0))</f>
        <v>Murray</v>
      </c>
      <c r="F454">
        <f>INDEX(Sheet1!$A:$J,MATCH('index match'!$D454,Sheet1!$C:$C,0),MATCH('index match'!F$2,Sheet1!$1:$1,0))</f>
        <v>1</v>
      </c>
      <c r="G454" t="str">
        <f>INDEX(Sheet1!$A:$J,MATCH('index match'!$D454,Sheet1!$C:$C,0),MATCH('index match'!G$2,Sheet1!$1:$1,0))</f>
        <v>Middle Age</v>
      </c>
      <c r="K454" t="str">
        <v>Max Tucker</v>
      </c>
      <c r="L454" t="str">
        <f>INDEX(Sheet1!$A:$J,MATCH('index match'!$K454,Sheet1!$C:$C,0),MATCH('index match'!L$2,Sheet1!$A$1:$J$1,0))</f>
        <v>Tucker</v>
      </c>
      <c r="M454">
        <f>INDEX(Sheet1!$A:$J,MATCH('index match'!$K454,Sheet1!$C:$C,0),MATCH('index match'!M$2,Sheet1!$A$1:$J$1,0))</f>
        <v>0</v>
      </c>
      <c r="N454" t="str">
        <f>INDEX(Sheet1!$A:$J,MATCH('index match'!$K454,Sheet1!$C:$C,0),MATCH('index match'!N$2,Sheet1!$A$1:$J$1,0))</f>
        <v>Middle Age</v>
      </c>
    </row>
    <row r="455" spans="4:14" x14ac:dyDescent="0.25">
      <c r="D455" t="str">
        <v>Jordan Allen</v>
      </c>
      <c r="E455" t="str">
        <f>INDEX(Sheet1!$A:$J,MATCH('index match'!$D455,Sheet1!$C:$C,0),MATCH('index match'!E$2,Sheet1!$1:$1,0))</f>
        <v>Allen</v>
      </c>
      <c r="F455">
        <f>INDEX(Sheet1!$A:$J,MATCH('index match'!$D455,Sheet1!$C:$C,0),MATCH('index match'!F$2,Sheet1!$1:$1,0))</f>
        <v>1</v>
      </c>
      <c r="G455" t="str">
        <f>INDEX(Sheet1!$A:$J,MATCH('index match'!$D455,Sheet1!$C:$C,0),MATCH('index match'!G$2,Sheet1!$1:$1,0))</f>
        <v>Old</v>
      </c>
      <c r="K455" t="str">
        <v>Carlos Fowler</v>
      </c>
      <c r="L455" t="str">
        <f>INDEX(Sheet1!$A:$J,MATCH('index match'!$K455,Sheet1!$C:$C,0),MATCH('index match'!L$2,Sheet1!$A$1:$J$1,0))</f>
        <v>Fowler</v>
      </c>
      <c r="M455">
        <f>INDEX(Sheet1!$A:$J,MATCH('index match'!$K455,Sheet1!$C:$C,0),MATCH('index match'!M$2,Sheet1!$A$1:$J$1,0))</f>
        <v>4</v>
      </c>
      <c r="N455" t="str">
        <f>INDEX(Sheet1!$A:$J,MATCH('index match'!$K455,Sheet1!$C:$C,0),MATCH('index match'!N$2,Sheet1!$A$1:$J$1,0))</f>
        <v>Young</v>
      </c>
    </row>
    <row r="456" spans="4:14" x14ac:dyDescent="0.25">
      <c r="D456" t="str">
        <v>Agata Barnes</v>
      </c>
      <c r="E456" t="str">
        <f>INDEX(Sheet1!$A:$J,MATCH('index match'!$D456,Sheet1!$C:$C,0),MATCH('index match'!E$2,Sheet1!$1:$1,0))</f>
        <v>Barnes</v>
      </c>
      <c r="F456">
        <f>INDEX(Sheet1!$A:$J,MATCH('index match'!$D456,Sheet1!$C:$C,0),MATCH('index match'!F$2,Sheet1!$1:$1,0))</f>
        <v>1</v>
      </c>
      <c r="G456" t="str">
        <f>INDEX(Sheet1!$A:$J,MATCH('index match'!$D456,Sheet1!$C:$C,0),MATCH('index match'!G$2,Sheet1!$1:$1,0))</f>
        <v>Young</v>
      </c>
      <c r="K456" t="str">
        <v>Dominik Carroll</v>
      </c>
      <c r="L456" t="str">
        <f>INDEX(Sheet1!$A:$J,MATCH('index match'!$K456,Sheet1!$C:$C,0),MATCH('index match'!L$2,Sheet1!$A$1:$J$1,0))</f>
        <v>Carroll</v>
      </c>
      <c r="M456">
        <f>INDEX(Sheet1!$A:$J,MATCH('index match'!$K456,Sheet1!$C:$C,0),MATCH('index match'!M$2,Sheet1!$A$1:$J$1,0))</f>
        <v>2</v>
      </c>
      <c r="N456" t="str">
        <f>INDEX(Sheet1!$A:$J,MATCH('index match'!$K456,Sheet1!$C:$C,0),MATCH('index match'!N$2,Sheet1!$A$1:$J$1,0))</f>
        <v>Young</v>
      </c>
    </row>
    <row r="457" spans="4:14" x14ac:dyDescent="0.25">
      <c r="D457" t="str">
        <v>Bruce Wright</v>
      </c>
      <c r="E457" t="str">
        <f>INDEX(Sheet1!$A:$J,MATCH('index match'!$D457,Sheet1!$C:$C,0),MATCH('index match'!E$2,Sheet1!$1:$1,0))</f>
        <v>Wright</v>
      </c>
      <c r="F457">
        <f>INDEX(Sheet1!$A:$J,MATCH('index match'!$D457,Sheet1!$C:$C,0),MATCH('index match'!F$2,Sheet1!$1:$1,0))</f>
        <v>3</v>
      </c>
      <c r="G457" t="str">
        <f>INDEX(Sheet1!$A:$J,MATCH('index match'!$D457,Sheet1!$C:$C,0),MATCH('index match'!G$2,Sheet1!$1:$1,0))</f>
        <v>Middle Age</v>
      </c>
      <c r="K457" t="str">
        <v>Ned Morgan</v>
      </c>
      <c r="L457" t="str">
        <f>INDEX(Sheet1!$A:$J,MATCH('index match'!$K457,Sheet1!$C:$C,0),MATCH('index match'!L$2,Sheet1!$A$1:$J$1,0))</f>
        <v>Morgan</v>
      </c>
      <c r="M457">
        <f>INDEX(Sheet1!$A:$J,MATCH('index match'!$K457,Sheet1!$C:$C,0),MATCH('index match'!M$2,Sheet1!$A$1:$J$1,0))</f>
        <v>3</v>
      </c>
      <c r="N457" t="str">
        <f>INDEX(Sheet1!$A:$J,MATCH('index match'!$K457,Sheet1!$C:$C,0),MATCH('index match'!N$2,Sheet1!$A$1:$J$1,0))</f>
        <v>Middle Age</v>
      </c>
    </row>
    <row r="458" spans="4:14" x14ac:dyDescent="0.25">
      <c r="D458" t="str">
        <v>Jared Barnes</v>
      </c>
      <c r="E458" t="str">
        <f>INDEX(Sheet1!$A:$J,MATCH('index match'!$D458,Sheet1!$C:$C,0),MATCH('index match'!E$2,Sheet1!$1:$1,0))</f>
        <v>Barnes</v>
      </c>
      <c r="F458">
        <f>INDEX(Sheet1!$A:$J,MATCH('index match'!$D458,Sheet1!$C:$C,0),MATCH('index match'!F$2,Sheet1!$1:$1,0))</f>
        <v>3</v>
      </c>
      <c r="G458" t="str">
        <f>INDEX(Sheet1!$A:$J,MATCH('index match'!$D458,Sheet1!$C:$C,0),MATCH('index match'!G$2,Sheet1!$1:$1,0))</f>
        <v>Young</v>
      </c>
      <c r="K458" t="str">
        <v>Jessica Wells</v>
      </c>
      <c r="L458" t="str">
        <f>INDEX(Sheet1!$A:$J,MATCH('index match'!$K458,Sheet1!$C:$C,0),MATCH('index match'!L$2,Sheet1!$A$1:$J$1,0))</f>
        <v>Wells</v>
      </c>
      <c r="M458">
        <f>INDEX(Sheet1!$A:$J,MATCH('index match'!$K458,Sheet1!$C:$C,0),MATCH('index match'!M$2,Sheet1!$A$1:$J$1,0))</f>
        <v>4</v>
      </c>
      <c r="N458" t="str">
        <f>INDEX(Sheet1!$A:$J,MATCH('index match'!$K458,Sheet1!$C:$C,0),MATCH('index match'!N$2,Sheet1!$A$1:$J$1,0))</f>
        <v>Old</v>
      </c>
    </row>
    <row r="459" spans="4:14" x14ac:dyDescent="0.25">
      <c r="D459" t="str">
        <v>Samantha Anderson</v>
      </c>
      <c r="E459" t="str">
        <f>INDEX(Sheet1!$A:$J,MATCH('index match'!$D459,Sheet1!$C:$C,0),MATCH('index match'!E$2,Sheet1!$1:$1,0))</f>
        <v>Anderson</v>
      </c>
      <c r="F459">
        <f>INDEX(Sheet1!$A:$J,MATCH('index match'!$D459,Sheet1!$C:$C,0),MATCH('index match'!F$2,Sheet1!$1:$1,0))</f>
        <v>3</v>
      </c>
      <c r="G459" t="str">
        <f>INDEX(Sheet1!$A:$J,MATCH('index match'!$D459,Sheet1!$C:$C,0),MATCH('index match'!G$2,Sheet1!$1:$1,0))</f>
        <v>Old</v>
      </c>
      <c r="K459" t="str">
        <v>Frederick Henderson</v>
      </c>
      <c r="L459" t="str">
        <f>INDEX(Sheet1!$A:$J,MATCH('index match'!$K459,Sheet1!$C:$C,0),MATCH('index match'!L$2,Sheet1!$A$1:$J$1,0))</f>
        <v>Henderson</v>
      </c>
      <c r="M459">
        <f>INDEX(Sheet1!$A:$J,MATCH('index match'!$K459,Sheet1!$C:$C,0),MATCH('index match'!M$2,Sheet1!$A$1:$J$1,0))</f>
        <v>5</v>
      </c>
      <c r="N459" t="str">
        <f>INDEX(Sheet1!$A:$J,MATCH('index match'!$K459,Sheet1!$C:$C,0),MATCH('index match'!N$2,Sheet1!$A$1:$J$1,0))</f>
        <v>Middle Age</v>
      </c>
    </row>
    <row r="460" spans="4:14" x14ac:dyDescent="0.25">
      <c r="D460" t="str">
        <v>Violet Dixon</v>
      </c>
      <c r="E460" t="str">
        <f>INDEX(Sheet1!$A:$J,MATCH('index match'!$D460,Sheet1!$C:$C,0),MATCH('index match'!E$2,Sheet1!$1:$1,0))</f>
        <v>Dixon</v>
      </c>
      <c r="F460">
        <f>INDEX(Sheet1!$A:$J,MATCH('index match'!$D460,Sheet1!$C:$C,0),MATCH('index match'!F$2,Sheet1!$1:$1,0))</f>
        <v>4</v>
      </c>
      <c r="G460" t="str">
        <f>INDEX(Sheet1!$A:$J,MATCH('index match'!$D460,Sheet1!$C:$C,0),MATCH('index match'!G$2,Sheet1!$1:$1,0))</f>
        <v>Old</v>
      </c>
      <c r="K460" t="str">
        <v>Tony Douglas</v>
      </c>
      <c r="L460" t="str">
        <f>INDEX(Sheet1!$A:$J,MATCH('index match'!$K460,Sheet1!$C:$C,0),MATCH('index match'!L$2,Sheet1!$A$1:$J$1,0))</f>
        <v>Douglas</v>
      </c>
      <c r="M460">
        <f>INDEX(Sheet1!$A:$J,MATCH('index match'!$K460,Sheet1!$C:$C,0),MATCH('index match'!M$2,Sheet1!$A$1:$J$1,0))</f>
        <v>0</v>
      </c>
      <c r="N460" t="str">
        <f>INDEX(Sheet1!$A:$J,MATCH('index match'!$K460,Sheet1!$C:$C,0),MATCH('index match'!N$2,Sheet1!$A$1:$J$1,0))</f>
        <v>Middle Age</v>
      </c>
    </row>
    <row r="461" spans="4:14" x14ac:dyDescent="0.25">
      <c r="D461" t="str">
        <v>Jared Ellis</v>
      </c>
      <c r="E461" t="str">
        <f>INDEX(Sheet1!$A:$J,MATCH('index match'!$D461,Sheet1!$C:$C,0),MATCH('index match'!E$2,Sheet1!$1:$1,0))</f>
        <v>Ellis</v>
      </c>
      <c r="F461">
        <f>INDEX(Sheet1!$A:$J,MATCH('index match'!$D461,Sheet1!$C:$C,0),MATCH('index match'!F$2,Sheet1!$1:$1,0))</f>
        <v>0</v>
      </c>
      <c r="G461" t="str">
        <f>INDEX(Sheet1!$A:$J,MATCH('index match'!$D461,Sheet1!$C:$C,0),MATCH('index match'!G$2,Sheet1!$1:$1,0))</f>
        <v>Young</v>
      </c>
      <c r="K461" t="str">
        <v>Ted Foster</v>
      </c>
      <c r="L461" t="str">
        <f>INDEX(Sheet1!$A:$J,MATCH('index match'!$K461,Sheet1!$C:$C,0),MATCH('index match'!L$2,Sheet1!$A$1:$J$1,0))</f>
        <v>Foster</v>
      </c>
      <c r="M461">
        <f>INDEX(Sheet1!$A:$J,MATCH('index match'!$K461,Sheet1!$C:$C,0),MATCH('index match'!M$2,Sheet1!$A$1:$J$1,0))</f>
        <v>5</v>
      </c>
      <c r="N461" t="str">
        <f>INDEX(Sheet1!$A:$J,MATCH('index match'!$K461,Sheet1!$C:$C,0),MATCH('index match'!N$2,Sheet1!$A$1:$J$1,0))</f>
        <v>Middle Age</v>
      </c>
    </row>
    <row r="462" spans="4:14" x14ac:dyDescent="0.25">
      <c r="D462" t="str">
        <v>Samantha Foster</v>
      </c>
      <c r="E462" t="str">
        <f>INDEX(Sheet1!$A:$J,MATCH('index match'!$D462,Sheet1!$C:$C,0),MATCH('index match'!E$2,Sheet1!$1:$1,0))</f>
        <v>Foster</v>
      </c>
      <c r="F462">
        <f>INDEX(Sheet1!$A:$J,MATCH('index match'!$D462,Sheet1!$C:$C,0),MATCH('index match'!F$2,Sheet1!$1:$1,0))</f>
        <v>0</v>
      </c>
      <c r="G462" t="str">
        <f>INDEX(Sheet1!$A:$J,MATCH('index match'!$D462,Sheet1!$C:$C,0),MATCH('index match'!G$2,Sheet1!$1:$1,0))</f>
        <v>Young</v>
      </c>
      <c r="K462" t="str">
        <v>Carl Walker</v>
      </c>
      <c r="L462" t="str">
        <f>INDEX(Sheet1!$A:$J,MATCH('index match'!$K462,Sheet1!$C:$C,0),MATCH('index match'!L$2,Sheet1!$A$1:$J$1,0))</f>
        <v>Walker</v>
      </c>
      <c r="M462">
        <f>INDEX(Sheet1!$A:$J,MATCH('index match'!$K462,Sheet1!$C:$C,0),MATCH('index match'!M$2,Sheet1!$A$1:$J$1,0))</f>
        <v>3</v>
      </c>
      <c r="N462" t="str">
        <f>INDEX(Sheet1!$A:$J,MATCH('index match'!$K462,Sheet1!$C:$C,0),MATCH('index match'!N$2,Sheet1!$A$1:$J$1,0))</f>
        <v>Young</v>
      </c>
    </row>
    <row r="463" spans="4:14" x14ac:dyDescent="0.25">
      <c r="D463" t="str">
        <v>Tess Williams</v>
      </c>
      <c r="E463" t="str">
        <f>INDEX(Sheet1!$A:$J,MATCH('index match'!$D463,Sheet1!$C:$C,0),MATCH('index match'!E$2,Sheet1!$1:$1,0))</f>
        <v>Williams</v>
      </c>
      <c r="F463">
        <f>INDEX(Sheet1!$A:$J,MATCH('index match'!$D463,Sheet1!$C:$C,0),MATCH('index match'!F$2,Sheet1!$1:$1,0))</f>
        <v>5</v>
      </c>
      <c r="G463" t="str">
        <f>INDEX(Sheet1!$A:$J,MATCH('index match'!$D463,Sheet1!$C:$C,0),MATCH('index match'!G$2,Sheet1!$1:$1,0))</f>
        <v>Old</v>
      </c>
      <c r="K463" t="str">
        <v>Aldus Higgins</v>
      </c>
      <c r="L463" t="str">
        <f>INDEX(Sheet1!$A:$J,MATCH('index match'!$K463,Sheet1!$C:$C,0),MATCH('index match'!L$2,Sheet1!$A$1:$J$1,0))</f>
        <v>Higgins</v>
      </c>
      <c r="M463">
        <f>INDEX(Sheet1!$A:$J,MATCH('index match'!$K463,Sheet1!$C:$C,0),MATCH('index match'!M$2,Sheet1!$A$1:$J$1,0))</f>
        <v>5</v>
      </c>
      <c r="N463" t="str">
        <f>INDEX(Sheet1!$A:$J,MATCH('index match'!$K463,Sheet1!$C:$C,0),MATCH('index match'!N$2,Sheet1!$A$1:$J$1,0))</f>
        <v>Old</v>
      </c>
    </row>
    <row r="464" spans="4:14" x14ac:dyDescent="0.25">
      <c r="D464" t="str">
        <v>Darcy Myers</v>
      </c>
      <c r="E464" t="str">
        <f>INDEX(Sheet1!$A:$J,MATCH('index match'!$D464,Sheet1!$C:$C,0),MATCH('index match'!E$2,Sheet1!$1:$1,0))</f>
        <v>Myers</v>
      </c>
      <c r="F464">
        <f>INDEX(Sheet1!$A:$J,MATCH('index match'!$D464,Sheet1!$C:$C,0),MATCH('index match'!F$2,Sheet1!$1:$1,0))</f>
        <v>2</v>
      </c>
      <c r="G464" t="str">
        <f>INDEX(Sheet1!$A:$J,MATCH('index match'!$D464,Sheet1!$C:$C,0),MATCH('index match'!G$2,Sheet1!$1:$1,0))</f>
        <v>Middle Age</v>
      </c>
      <c r="K464" t="str">
        <v>Derek Adams</v>
      </c>
      <c r="L464" t="str">
        <f>INDEX(Sheet1!$A:$J,MATCH('index match'!$K464,Sheet1!$C:$C,0),MATCH('index match'!L$2,Sheet1!$A$1:$J$1,0))</f>
        <v>Adams</v>
      </c>
      <c r="M464">
        <f>INDEX(Sheet1!$A:$J,MATCH('index match'!$K464,Sheet1!$C:$C,0),MATCH('index match'!M$2,Sheet1!$A$1:$J$1,0))</f>
        <v>0</v>
      </c>
      <c r="N464" t="str">
        <f>INDEX(Sheet1!$A:$J,MATCH('index match'!$K464,Sheet1!$C:$C,0),MATCH('index match'!N$2,Sheet1!$A$1:$J$1,0))</f>
        <v>Middle Age</v>
      </c>
    </row>
    <row r="465" spans="4:14" x14ac:dyDescent="0.25">
      <c r="D465" t="str">
        <v>Thomas Chapman</v>
      </c>
      <c r="E465" t="str">
        <f>INDEX(Sheet1!$A:$J,MATCH('index match'!$D465,Sheet1!$C:$C,0),MATCH('index match'!E$2,Sheet1!$1:$1,0))</f>
        <v>Chapman</v>
      </c>
      <c r="F465">
        <f>INDEX(Sheet1!$A:$J,MATCH('index match'!$D465,Sheet1!$C:$C,0),MATCH('index match'!F$2,Sheet1!$1:$1,0))</f>
        <v>1</v>
      </c>
      <c r="G465" t="str">
        <f>INDEX(Sheet1!$A:$J,MATCH('index match'!$D465,Sheet1!$C:$C,0),MATCH('index match'!G$2,Sheet1!$1:$1,0))</f>
        <v>Middle Age</v>
      </c>
      <c r="K465" t="str">
        <v>Arthur Stevens</v>
      </c>
      <c r="L465" t="str">
        <f>INDEX(Sheet1!$A:$J,MATCH('index match'!$K465,Sheet1!$C:$C,0),MATCH('index match'!L$2,Sheet1!$A$1:$J$1,0))</f>
        <v>Stevens</v>
      </c>
      <c r="M465">
        <f>INDEX(Sheet1!$A:$J,MATCH('index match'!$K465,Sheet1!$C:$C,0),MATCH('index match'!M$2,Sheet1!$A$1:$J$1,0))</f>
        <v>1</v>
      </c>
      <c r="N465" t="str">
        <f>INDEX(Sheet1!$A:$J,MATCH('index match'!$K465,Sheet1!$C:$C,0),MATCH('index match'!N$2,Sheet1!$A$1:$J$1,0))</f>
        <v>Young</v>
      </c>
    </row>
    <row r="466" spans="4:14" x14ac:dyDescent="0.25">
      <c r="D466" t="str">
        <v>Arnold Johnston</v>
      </c>
      <c r="E466" t="str">
        <f>INDEX(Sheet1!$A:$J,MATCH('index match'!$D466,Sheet1!$C:$C,0),MATCH('index match'!E$2,Sheet1!$1:$1,0))</f>
        <v>Johnston</v>
      </c>
      <c r="F466">
        <f>INDEX(Sheet1!$A:$J,MATCH('index match'!$D466,Sheet1!$C:$C,0),MATCH('index match'!F$2,Sheet1!$1:$1,0))</f>
        <v>0</v>
      </c>
      <c r="G466" t="str">
        <f>INDEX(Sheet1!$A:$J,MATCH('index match'!$D466,Sheet1!$C:$C,0),MATCH('index match'!G$2,Sheet1!$1:$1,0))</f>
        <v>Middle Age</v>
      </c>
      <c r="K466" t="str">
        <v>Brooke Morrison</v>
      </c>
      <c r="L466" t="str">
        <f>INDEX(Sheet1!$A:$J,MATCH('index match'!$K466,Sheet1!$C:$C,0),MATCH('index match'!L$2,Sheet1!$A$1:$J$1,0))</f>
        <v>Morrison</v>
      </c>
      <c r="M466">
        <f>INDEX(Sheet1!$A:$J,MATCH('index match'!$K466,Sheet1!$C:$C,0),MATCH('index match'!M$2,Sheet1!$A$1:$J$1,0))</f>
        <v>5</v>
      </c>
      <c r="N466" t="str">
        <f>INDEX(Sheet1!$A:$J,MATCH('index match'!$K466,Sheet1!$C:$C,0),MATCH('index match'!N$2,Sheet1!$A$1:$J$1,0))</f>
        <v>Old</v>
      </c>
    </row>
    <row r="467" spans="4:14" x14ac:dyDescent="0.25">
      <c r="D467" t="str">
        <v>Lyndon Murphy</v>
      </c>
      <c r="E467" t="str">
        <f>INDEX(Sheet1!$A:$J,MATCH('index match'!$D467,Sheet1!$C:$C,0),MATCH('index match'!E$2,Sheet1!$1:$1,0))</f>
        <v>Murphy</v>
      </c>
      <c r="F467">
        <f>INDEX(Sheet1!$A:$J,MATCH('index match'!$D467,Sheet1!$C:$C,0),MATCH('index match'!F$2,Sheet1!$1:$1,0))</f>
        <v>5</v>
      </c>
      <c r="G467" t="str">
        <f>INDEX(Sheet1!$A:$J,MATCH('index match'!$D467,Sheet1!$C:$C,0),MATCH('index match'!G$2,Sheet1!$1:$1,0))</f>
        <v>Old</v>
      </c>
      <c r="K467" t="str">
        <v>Tiana Thompson</v>
      </c>
      <c r="L467" t="str">
        <f>INDEX(Sheet1!$A:$J,MATCH('index match'!$K467,Sheet1!$C:$C,0),MATCH('index match'!L$2,Sheet1!$A$1:$J$1,0))</f>
        <v>Thompson</v>
      </c>
      <c r="M467">
        <f>INDEX(Sheet1!$A:$J,MATCH('index match'!$K467,Sheet1!$C:$C,0),MATCH('index match'!M$2,Sheet1!$A$1:$J$1,0))</f>
        <v>1</v>
      </c>
      <c r="N467" t="str">
        <f>INDEX(Sheet1!$A:$J,MATCH('index match'!$K467,Sheet1!$C:$C,0),MATCH('index match'!N$2,Sheet1!$A$1:$J$1,0))</f>
        <v>Middle Age</v>
      </c>
    </row>
    <row r="468" spans="4:14" x14ac:dyDescent="0.25">
      <c r="D468" t="str">
        <v>Lyndon Fowler</v>
      </c>
      <c r="E468" t="str">
        <f>INDEX(Sheet1!$A:$J,MATCH('index match'!$D468,Sheet1!$C:$C,0),MATCH('index match'!E$2,Sheet1!$1:$1,0))</f>
        <v>Fowler</v>
      </c>
      <c r="F468">
        <f>INDEX(Sheet1!$A:$J,MATCH('index match'!$D468,Sheet1!$C:$C,0),MATCH('index match'!F$2,Sheet1!$1:$1,0))</f>
        <v>1</v>
      </c>
      <c r="G468" t="str">
        <f>INDEX(Sheet1!$A:$J,MATCH('index match'!$D468,Sheet1!$C:$C,0),MATCH('index match'!G$2,Sheet1!$1:$1,0))</f>
        <v>Middle Age</v>
      </c>
      <c r="K468" t="str">
        <v>Julia Ferguson</v>
      </c>
      <c r="L468" t="str">
        <f>INDEX(Sheet1!$A:$J,MATCH('index match'!$K468,Sheet1!$C:$C,0),MATCH('index match'!L$2,Sheet1!$A$1:$J$1,0))</f>
        <v>Ferguson</v>
      </c>
      <c r="M468">
        <f>INDEX(Sheet1!$A:$J,MATCH('index match'!$K468,Sheet1!$C:$C,0),MATCH('index match'!M$2,Sheet1!$A$1:$J$1,0))</f>
        <v>1</v>
      </c>
      <c r="N468" t="str">
        <f>INDEX(Sheet1!$A:$J,MATCH('index match'!$K468,Sheet1!$C:$C,0),MATCH('index match'!N$2,Sheet1!$A$1:$J$1,0))</f>
        <v>Old</v>
      </c>
    </row>
    <row r="469" spans="4:14" x14ac:dyDescent="0.25">
      <c r="D469" t="str">
        <v>Hailey Cole</v>
      </c>
      <c r="E469" t="str">
        <f>INDEX(Sheet1!$A:$J,MATCH('index match'!$D469,Sheet1!$C:$C,0),MATCH('index match'!E$2,Sheet1!$1:$1,0))</f>
        <v>Cole</v>
      </c>
      <c r="F469">
        <f>INDEX(Sheet1!$A:$J,MATCH('index match'!$D469,Sheet1!$C:$C,0),MATCH('index match'!F$2,Sheet1!$1:$1,0))</f>
        <v>4</v>
      </c>
      <c r="G469" t="str">
        <f>INDEX(Sheet1!$A:$J,MATCH('index match'!$D469,Sheet1!$C:$C,0),MATCH('index match'!G$2,Sheet1!$1:$1,0))</f>
        <v>Middle Age</v>
      </c>
      <c r="K469" t="str">
        <v>Rebecca Holmes</v>
      </c>
      <c r="L469" t="str">
        <f>INDEX(Sheet1!$A:$J,MATCH('index match'!$K469,Sheet1!$C:$C,0),MATCH('index match'!L$2,Sheet1!$A$1:$J$1,0))</f>
        <v>Holmes</v>
      </c>
      <c r="M469">
        <f>INDEX(Sheet1!$A:$J,MATCH('index match'!$K469,Sheet1!$C:$C,0),MATCH('index match'!M$2,Sheet1!$A$1:$J$1,0))</f>
        <v>3</v>
      </c>
      <c r="N469" t="str">
        <f>INDEX(Sheet1!$A:$J,MATCH('index match'!$K469,Sheet1!$C:$C,0),MATCH('index match'!N$2,Sheet1!$A$1:$J$1,0))</f>
        <v>Middle Age</v>
      </c>
    </row>
    <row r="470" spans="4:14" x14ac:dyDescent="0.25">
      <c r="D470" t="str">
        <v>Maddie Jones</v>
      </c>
      <c r="E470" t="str">
        <f>INDEX(Sheet1!$A:$J,MATCH('index match'!$D470,Sheet1!$C:$C,0),MATCH('index match'!E$2,Sheet1!$1:$1,0))</f>
        <v>Jones</v>
      </c>
      <c r="F470">
        <f>INDEX(Sheet1!$A:$J,MATCH('index match'!$D470,Sheet1!$C:$C,0),MATCH('index match'!F$2,Sheet1!$1:$1,0))</f>
        <v>2</v>
      </c>
      <c r="G470" t="str">
        <f>INDEX(Sheet1!$A:$J,MATCH('index match'!$D470,Sheet1!$C:$C,0),MATCH('index match'!G$2,Sheet1!$1:$1,0))</f>
        <v>Middle Age</v>
      </c>
      <c r="K470" t="str">
        <v>Fiona Kelly</v>
      </c>
      <c r="L470" t="str">
        <f>INDEX(Sheet1!$A:$J,MATCH('index match'!$K470,Sheet1!$C:$C,0),MATCH('index match'!L$2,Sheet1!$A$1:$J$1,0))</f>
        <v>Kelly</v>
      </c>
      <c r="M470">
        <f>INDEX(Sheet1!$A:$J,MATCH('index match'!$K470,Sheet1!$C:$C,0),MATCH('index match'!M$2,Sheet1!$A$1:$J$1,0))</f>
        <v>5</v>
      </c>
      <c r="N470" t="str">
        <f>INDEX(Sheet1!$A:$J,MATCH('index match'!$K470,Sheet1!$C:$C,0),MATCH('index match'!N$2,Sheet1!$A$1:$J$1,0))</f>
        <v>Young</v>
      </c>
    </row>
    <row r="471" spans="4:14" x14ac:dyDescent="0.25">
      <c r="D471" t="str">
        <v>Cherry Barnes</v>
      </c>
      <c r="E471" t="str">
        <f>INDEX(Sheet1!$A:$J,MATCH('index match'!$D471,Sheet1!$C:$C,0),MATCH('index match'!E$2,Sheet1!$1:$1,0))</f>
        <v>Barnes</v>
      </c>
      <c r="F471">
        <f>INDEX(Sheet1!$A:$J,MATCH('index match'!$D471,Sheet1!$C:$C,0),MATCH('index match'!F$2,Sheet1!$1:$1,0))</f>
        <v>3</v>
      </c>
      <c r="G471" t="str">
        <f>INDEX(Sheet1!$A:$J,MATCH('index match'!$D471,Sheet1!$C:$C,0),MATCH('index match'!G$2,Sheet1!$1:$1,0))</f>
        <v>Old</v>
      </c>
      <c r="K471" t="str">
        <v>Adison Elliott</v>
      </c>
      <c r="L471" t="str">
        <f>INDEX(Sheet1!$A:$J,MATCH('index match'!$K471,Sheet1!$C:$C,0),MATCH('index match'!L$2,Sheet1!$A$1:$J$1,0))</f>
        <v>Elliott</v>
      </c>
      <c r="M471">
        <f>INDEX(Sheet1!$A:$J,MATCH('index match'!$K471,Sheet1!$C:$C,0),MATCH('index match'!M$2,Sheet1!$A$1:$J$1,0))</f>
        <v>1</v>
      </c>
      <c r="N471" t="str">
        <f>INDEX(Sheet1!$A:$J,MATCH('index match'!$K471,Sheet1!$C:$C,0),MATCH('index match'!N$2,Sheet1!$A$1:$J$1,0))</f>
        <v>Old</v>
      </c>
    </row>
    <row r="472" spans="4:14" x14ac:dyDescent="0.25">
      <c r="D472" t="str">
        <v>Thomas Baker</v>
      </c>
      <c r="E472" t="str">
        <f>INDEX(Sheet1!$A:$J,MATCH('index match'!$D472,Sheet1!$C:$C,0),MATCH('index match'!E$2,Sheet1!$1:$1,0))</f>
        <v>Baker</v>
      </c>
      <c r="F472">
        <f>INDEX(Sheet1!$A:$J,MATCH('index match'!$D472,Sheet1!$C:$C,0),MATCH('index match'!F$2,Sheet1!$1:$1,0))</f>
        <v>3</v>
      </c>
      <c r="G472" t="str">
        <f>INDEX(Sheet1!$A:$J,MATCH('index match'!$D472,Sheet1!$C:$C,0),MATCH('index match'!G$2,Sheet1!$1:$1,0))</f>
        <v>Young</v>
      </c>
      <c r="K472" t="str">
        <v>Eric Hamilton</v>
      </c>
      <c r="L472" t="str">
        <f>INDEX(Sheet1!$A:$J,MATCH('index match'!$K472,Sheet1!$C:$C,0),MATCH('index match'!L$2,Sheet1!$A$1:$J$1,0))</f>
        <v>Hamilton</v>
      </c>
      <c r="M472">
        <f>INDEX(Sheet1!$A:$J,MATCH('index match'!$K472,Sheet1!$C:$C,0),MATCH('index match'!M$2,Sheet1!$A$1:$J$1,0))</f>
        <v>2</v>
      </c>
      <c r="N472" t="str">
        <f>INDEX(Sheet1!$A:$J,MATCH('index match'!$K472,Sheet1!$C:$C,0),MATCH('index match'!N$2,Sheet1!$A$1:$J$1,0))</f>
        <v>Young</v>
      </c>
    </row>
    <row r="473" spans="4:14" x14ac:dyDescent="0.25">
      <c r="D473" t="str">
        <v>Violet Ellis</v>
      </c>
      <c r="E473" t="str">
        <f>INDEX(Sheet1!$A:$J,MATCH('index match'!$D473,Sheet1!$C:$C,0),MATCH('index match'!E$2,Sheet1!$1:$1,0))</f>
        <v>Ellis</v>
      </c>
      <c r="F473">
        <f>INDEX(Sheet1!$A:$J,MATCH('index match'!$D473,Sheet1!$C:$C,0),MATCH('index match'!F$2,Sheet1!$1:$1,0))</f>
        <v>1</v>
      </c>
      <c r="G473" t="str">
        <f>INDEX(Sheet1!$A:$J,MATCH('index match'!$D473,Sheet1!$C:$C,0),MATCH('index match'!G$2,Sheet1!$1:$1,0))</f>
        <v>Old</v>
      </c>
      <c r="K473" t="str">
        <v>Byron Warren</v>
      </c>
      <c r="L473" t="str">
        <f>INDEX(Sheet1!$A:$J,MATCH('index match'!$K473,Sheet1!$C:$C,0),MATCH('index match'!L$2,Sheet1!$A$1:$J$1,0))</f>
        <v>Warren</v>
      </c>
      <c r="M473">
        <f>INDEX(Sheet1!$A:$J,MATCH('index match'!$K473,Sheet1!$C:$C,0),MATCH('index match'!M$2,Sheet1!$A$1:$J$1,0))</f>
        <v>4</v>
      </c>
      <c r="N473" t="str">
        <f>INDEX(Sheet1!$A:$J,MATCH('index match'!$K473,Sheet1!$C:$C,0),MATCH('index match'!N$2,Sheet1!$A$1:$J$1,0))</f>
        <v>Old</v>
      </c>
    </row>
    <row r="474" spans="4:14" x14ac:dyDescent="0.25">
      <c r="D474" t="str">
        <v>Alfred Ryan</v>
      </c>
      <c r="E474" t="str">
        <f>INDEX(Sheet1!$A:$J,MATCH('index match'!$D474,Sheet1!$C:$C,0),MATCH('index match'!E$2,Sheet1!$1:$1,0))</f>
        <v>Ryan</v>
      </c>
      <c r="F474">
        <f>INDEX(Sheet1!$A:$J,MATCH('index match'!$D474,Sheet1!$C:$C,0),MATCH('index match'!F$2,Sheet1!$1:$1,0))</f>
        <v>4</v>
      </c>
      <c r="G474" t="str">
        <f>INDEX(Sheet1!$A:$J,MATCH('index match'!$D474,Sheet1!$C:$C,0),MATCH('index match'!G$2,Sheet1!$1:$1,0))</f>
        <v>Young</v>
      </c>
      <c r="K474" t="str">
        <v>Sydney Douglas</v>
      </c>
      <c r="L474" t="str">
        <f>INDEX(Sheet1!$A:$J,MATCH('index match'!$K474,Sheet1!$C:$C,0),MATCH('index match'!L$2,Sheet1!$A$1:$J$1,0))</f>
        <v>Douglas</v>
      </c>
      <c r="M474">
        <f>INDEX(Sheet1!$A:$J,MATCH('index match'!$K474,Sheet1!$C:$C,0),MATCH('index match'!M$2,Sheet1!$A$1:$J$1,0))</f>
        <v>0</v>
      </c>
      <c r="N474" t="str">
        <f>INDEX(Sheet1!$A:$J,MATCH('index match'!$K474,Sheet1!$C:$C,0),MATCH('index match'!N$2,Sheet1!$A$1:$J$1,0))</f>
        <v>Young</v>
      </c>
    </row>
    <row r="475" spans="4:14" x14ac:dyDescent="0.25">
      <c r="D475" t="str">
        <v>Aiden Nelson</v>
      </c>
      <c r="E475" t="str">
        <f>INDEX(Sheet1!$A:$J,MATCH('index match'!$D475,Sheet1!$C:$C,0),MATCH('index match'!E$2,Sheet1!$1:$1,0))</f>
        <v>Nelson</v>
      </c>
      <c r="F475">
        <f>INDEX(Sheet1!$A:$J,MATCH('index match'!$D475,Sheet1!$C:$C,0),MATCH('index match'!F$2,Sheet1!$1:$1,0))</f>
        <v>0</v>
      </c>
      <c r="G475" t="str">
        <f>INDEX(Sheet1!$A:$J,MATCH('index match'!$D475,Sheet1!$C:$C,0),MATCH('index match'!G$2,Sheet1!$1:$1,0))</f>
        <v>Middle Age</v>
      </c>
      <c r="K475" t="str">
        <v>William Miller</v>
      </c>
      <c r="L475" t="str">
        <f>INDEX(Sheet1!$A:$J,MATCH('index match'!$K475,Sheet1!$C:$C,0),MATCH('index match'!L$2,Sheet1!$A$1:$J$1,0))</f>
        <v>Miller</v>
      </c>
      <c r="M475">
        <f>INDEX(Sheet1!$A:$J,MATCH('index match'!$K475,Sheet1!$C:$C,0),MATCH('index match'!M$2,Sheet1!$A$1:$J$1,0))</f>
        <v>1</v>
      </c>
      <c r="N475" t="str">
        <f>INDEX(Sheet1!$A:$J,MATCH('index match'!$K475,Sheet1!$C:$C,0),MATCH('index match'!N$2,Sheet1!$A$1:$J$1,0))</f>
        <v>Middle Age</v>
      </c>
    </row>
    <row r="476" spans="4:14" x14ac:dyDescent="0.25">
      <c r="D476" t="str">
        <v>Jenna Montgomery</v>
      </c>
      <c r="E476" t="str">
        <f>INDEX(Sheet1!$A:$J,MATCH('index match'!$D476,Sheet1!$C:$C,0),MATCH('index match'!E$2,Sheet1!$1:$1,0))</f>
        <v>Montgomery</v>
      </c>
      <c r="F476">
        <f>INDEX(Sheet1!$A:$J,MATCH('index match'!$D476,Sheet1!$C:$C,0),MATCH('index match'!F$2,Sheet1!$1:$1,0))</f>
        <v>5</v>
      </c>
      <c r="G476" t="str">
        <f>INDEX(Sheet1!$A:$J,MATCH('index match'!$D476,Sheet1!$C:$C,0),MATCH('index match'!G$2,Sheet1!$1:$1,0))</f>
        <v>Old</v>
      </c>
      <c r="K476" t="str">
        <v>Edgar Wilson</v>
      </c>
      <c r="L476" t="str">
        <f>INDEX(Sheet1!$A:$J,MATCH('index match'!$K476,Sheet1!$C:$C,0),MATCH('index match'!L$2,Sheet1!$A$1:$J$1,0))</f>
        <v>Wilson</v>
      </c>
      <c r="M476">
        <f>INDEX(Sheet1!$A:$J,MATCH('index match'!$K476,Sheet1!$C:$C,0),MATCH('index match'!M$2,Sheet1!$A$1:$J$1,0))</f>
        <v>5</v>
      </c>
      <c r="N476" t="str">
        <f>INDEX(Sheet1!$A:$J,MATCH('index match'!$K476,Sheet1!$C:$C,0),MATCH('index match'!N$2,Sheet1!$A$1:$J$1,0))</f>
        <v>Middle Age</v>
      </c>
    </row>
    <row r="477" spans="4:14" x14ac:dyDescent="0.25">
      <c r="D477" t="str">
        <v>William Brown</v>
      </c>
      <c r="E477" t="str">
        <f>INDEX(Sheet1!$A:$J,MATCH('index match'!$D477,Sheet1!$C:$C,0),MATCH('index match'!E$2,Sheet1!$1:$1,0))</f>
        <v>Brown</v>
      </c>
      <c r="F477">
        <f>INDEX(Sheet1!$A:$J,MATCH('index match'!$D477,Sheet1!$C:$C,0),MATCH('index match'!F$2,Sheet1!$1:$1,0))</f>
        <v>5</v>
      </c>
      <c r="G477" t="str">
        <f>INDEX(Sheet1!$A:$J,MATCH('index match'!$D477,Sheet1!$C:$C,0),MATCH('index match'!G$2,Sheet1!$1:$1,0))</f>
        <v>Middle Age</v>
      </c>
      <c r="K477" t="str">
        <v>Paige Tucker</v>
      </c>
      <c r="L477" t="str">
        <f>INDEX(Sheet1!$A:$J,MATCH('index match'!$K477,Sheet1!$C:$C,0),MATCH('index match'!L$2,Sheet1!$A$1:$J$1,0))</f>
        <v>Tucker</v>
      </c>
      <c r="M477">
        <f>INDEX(Sheet1!$A:$J,MATCH('index match'!$K477,Sheet1!$C:$C,0),MATCH('index match'!M$2,Sheet1!$A$1:$J$1,0))</f>
        <v>2</v>
      </c>
      <c r="N477" t="str">
        <f>INDEX(Sheet1!$A:$J,MATCH('index match'!$K477,Sheet1!$C:$C,0),MATCH('index match'!N$2,Sheet1!$A$1:$J$1,0))</f>
        <v>Young</v>
      </c>
    </row>
    <row r="478" spans="4:14" x14ac:dyDescent="0.25">
      <c r="D478" t="str">
        <v>Kellan Crawford</v>
      </c>
      <c r="E478" t="str">
        <f>INDEX(Sheet1!$A:$J,MATCH('index match'!$D478,Sheet1!$C:$C,0),MATCH('index match'!E$2,Sheet1!$1:$1,0))</f>
        <v>Crawford</v>
      </c>
      <c r="F478">
        <f>INDEX(Sheet1!$A:$J,MATCH('index match'!$D478,Sheet1!$C:$C,0),MATCH('index match'!F$2,Sheet1!$1:$1,0))</f>
        <v>1</v>
      </c>
      <c r="G478" t="str">
        <f>INDEX(Sheet1!$A:$J,MATCH('index match'!$D478,Sheet1!$C:$C,0),MATCH('index match'!G$2,Sheet1!$1:$1,0))</f>
        <v>Middle Age</v>
      </c>
      <c r="K478" t="str">
        <v>Antony Roberts</v>
      </c>
      <c r="L478" t="str">
        <f>INDEX(Sheet1!$A:$J,MATCH('index match'!$K478,Sheet1!$C:$C,0),MATCH('index match'!L$2,Sheet1!$A$1:$J$1,0))</f>
        <v>Roberts</v>
      </c>
      <c r="M478">
        <f>INDEX(Sheet1!$A:$J,MATCH('index match'!$K478,Sheet1!$C:$C,0),MATCH('index match'!M$2,Sheet1!$A$1:$J$1,0))</f>
        <v>3</v>
      </c>
      <c r="N478" t="str">
        <f>INDEX(Sheet1!$A:$J,MATCH('index match'!$K478,Sheet1!$C:$C,0),MATCH('index match'!N$2,Sheet1!$A$1:$J$1,0))</f>
        <v>Middle Age</v>
      </c>
    </row>
    <row r="479" spans="4:14" x14ac:dyDescent="0.25">
      <c r="D479" t="str">
        <v>Deanna Adams</v>
      </c>
      <c r="E479" t="str">
        <f>INDEX(Sheet1!$A:$J,MATCH('index match'!$D479,Sheet1!$C:$C,0),MATCH('index match'!E$2,Sheet1!$1:$1,0))</f>
        <v>Adams</v>
      </c>
      <c r="F479">
        <f>INDEX(Sheet1!$A:$J,MATCH('index match'!$D479,Sheet1!$C:$C,0),MATCH('index match'!F$2,Sheet1!$1:$1,0))</f>
        <v>0</v>
      </c>
      <c r="G479" t="str">
        <f>INDEX(Sheet1!$A:$J,MATCH('index match'!$D479,Sheet1!$C:$C,0),MATCH('index match'!G$2,Sheet1!$1:$1,0))</f>
        <v>Middle Age</v>
      </c>
      <c r="K479" t="str">
        <v>Adison Hall</v>
      </c>
      <c r="L479" t="str">
        <f>INDEX(Sheet1!$A:$J,MATCH('index match'!$K479,Sheet1!$C:$C,0),MATCH('index match'!L$2,Sheet1!$A$1:$J$1,0))</f>
        <v>Hall</v>
      </c>
      <c r="M479">
        <f>INDEX(Sheet1!$A:$J,MATCH('index match'!$K479,Sheet1!$C:$C,0),MATCH('index match'!M$2,Sheet1!$A$1:$J$1,0))</f>
        <v>2</v>
      </c>
      <c r="N479" t="str">
        <f>INDEX(Sheet1!$A:$J,MATCH('index match'!$K479,Sheet1!$C:$C,0),MATCH('index match'!N$2,Sheet1!$A$1:$J$1,0))</f>
        <v>Middle Age</v>
      </c>
    </row>
    <row r="480" spans="4:14" x14ac:dyDescent="0.25">
      <c r="D480" t="str">
        <v>Antony Higgins</v>
      </c>
      <c r="E480" t="str">
        <f>INDEX(Sheet1!$A:$J,MATCH('index match'!$D480,Sheet1!$C:$C,0),MATCH('index match'!E$2,Sheet1!$1:$1,0))</f>
        <v>Higgins</v>
      </c>
      <c r="F480">
        <f>INDEX(Sheet1!$A:$J,MATCH('index match'!$D480,Sheet1!$C:$C,0),MATCH('index match'!F$2,Sheet1!$1:$1,0))</f>
        <v>3</v>
      </c>
      <c r="G480" t="str">
        <f>INDEX(Sheet1!$A:$J,MATCH('index match'!$D480,Sheet1!$C:$C,0),MATCH('index match'!G$2,Sheet1!$1:$1,0))</f>
        <v>Middle Age</v>
      </c>
      <c r="K480" t="str">
        <v>Oscar Alexander</v>
      </c>
      <c r="L480" t="str">
        <f>INDEX(Sheet1!$A:$J,MATCH('index match'!$K480,Sheet1!$C:$C,0),MATCH('index match'!L$2,Sheet1!$A$1:$J$1,0))</f>
        <v>Alexander</v>
      </c>
      <c r="M480">
        <f>INDEX(Sheet1!$A:$J,MATCH('index match'!$K480,Sheet1!$C:$C,0),MATCH('index match'!M$2,Sheet1!$A$1:$J$1,0))</f>
        <v>1</v>
      </c>
      <c r="N480" t="str">
        <f>INDEX(Sheet1!$A:$J,MATCH('index match'!$K480,Sheet1!$C:$C,0),MATCH('index match'!N$2,Sheet1!$A$1:$J$1,0))</f>
        <v>Middle Age</v>
      </c>
    </row>
    <row r="481" spans="4:14" x14ac:dyDescent="0.25">
      <c r="D481" t="str">
        <v>Patrick Evans</v>
      </c>
      <c r="E481" t="str">
        <f>INDEX(Sheet1!$A:$J,MATCH('index match'!$D481,Sheet1!$C:$C,0),MATCH('index match'!E$2,Sheet1!$1:$1,0))</f>
        <v>Evans</v>
      </c>
      <c r="F481">
        <f>INDEX(Sheet1!$A:$J,MATCH('index match'!$D481,Sheet1!$C:$C,0),MATCH('index match'!F$2,Sheet1!$1:$1,0))</f>
        <v>3</v>
      </c>
      <c r="G481" t="str">
        <f>INDEX(Sheet1!$A:$J,MATCH('index match'!$D481,Sheet1!$C:$C,0),MATCH('index match'!G$2,Sheet1!$1:$1,0))</f>
        <v>Young</v>
      </c>
      <c r="K481" t="str">
        <v>Jessica Fowler</v>
      </c>
      <c r="L481" t="str">
        <f>INDEX(Sheet1!$A:$J,MATCH('index match'!$K481,Sheet1!$C:$C,0),MATCH('index match'!L$2,Sheet1!$A$1:$J$1,0))</f>
        <v>Fowler</v>
      </c>
      <c r="M481">
        <f>INDEX(Sheet1!$A:$J,MATCH('index match'!$K481,Sheet1!$C:$C,0),MATCH('index match'!M$2,Sheet1!$A$1:$J$1,0))</f>
        <v>4</v>
      </c>
      <c r="N481" t="str">
        <f>INDEX(Sheet1!$A:$J,MATCH('index match'!$K481,Sheet1!$C:$C,0),MATCH('index match'!N$2,Sheet1!$A$1:$J$1,0))</f>
        <v>Middle Age</v>
      </c>
    </row>
    <row r="482" spans="4:14" x14ac:dyDescent="0.25">
      <c r="D482" t="str">
        <v>Tess Elliott</v>
      </c>
      <c r="E482" t="str">
        <f>INDEX(Sheet1!$A:$J,MATCH('index match'!$D482,Sheet1!$C:$C,0),MATCH('index match'!E$2,Sheet1!$1:$1,0))</f>
        <v>Elliott</v>
      </c>
      <c r="F482">
        <f>INDEX(Sheet1!$A:$J,MATCH('index match'!$D482,Sheet1!$C:$C,0),MATCH('index match'!F$2,Sheet1!$1:$1,0))</f>
        <v>2</v>
      </c>
      <c r="G482" t="str">
        <f>INDEX(Sheet1!$A:$J,MATCH('index match'!$D482,Sheet1!$C:$C,0),MATCH('index match'!G$2,Sheet1!$1:$1,0))</f>
        <v>Middle Age</v>
      </c>
      <c r="K482" t="str">
        <v>Lucas Jones</v>
      </c>
      <c r="L482" t="str">
        <f>INDEX(Sheet1!$A:$J,MATCH('index match'!$K482,Sheet1!$C:$C,0),MATCH('index match'!L$2,Sheet1!$A$1:$J$1,0))</f>
        <v>Jones</v>
      </c>
      <c r="M482">
        <f>INDEX(Sheet1!$A:$J,MATCH('index match'!$K482,Sheet1!$C:$C,0),MATCH('index match'!M$2,Sheet1!$A$1:$J$1,0))</f>
        <v>1</v>
      </c>
      <c r="N482" t="str">
        <f>INDEX(Sheet1!$A:$J,MATCH('index match'!$K482,Sheet1!$C:$C,0),MATCH('index match'!N$2,Sheet1!$A$1:$J$1,0))</f>
        <v>Old</v>
      </c>
    </row>
    <row r="483" spans="4:14" x14ac:dyDescent="0.25">
      <c r="D483" t="str">
        <v>Dexter Robinson</v>
      </c>
      <c r="E483" t="str">
        <f>INDEX(Sheet1!$A:$J,MATCH('index match'!$D483,Sheet1!$C:$C,0),MATCH('index match'!E$2,Sheet1!$1:$1,0))</f>
        <v>Robinson</v>
      </c>
      <c r="F483">
        <f>INDEX(Sheet1!$A:$J,MATCH('index match'!$D483,Sheet1!$C:$C,0),MATCH('index match'!F$2,Sheet1!$1:$1,0))</f>
        <v>5</v>
      </c>
      <c r="G483" t="str">
        <f>INDEX(Sheet1!$A:$J,MATCH('index match'!$D483,Sheet1!$C:$C,0),MATCH('index match'!G$2,Sheet1!$1:$1,0))</f>
        <v>Young</v>
      </c>
      <c r="K483" t="str">
        <v>Vivian Casey</v>
      </c>
      <c r="L483" t="str">
        <f>INDEX(Sheet1!$A:$J,MATCH('index match'!$K483,Sheet1!$C:$C,0),MATCH('index match'!L$2,Sheet1!$A$1:$J$1,0))</f>
        <v>Casey</v>
      </c>
      <c r="M483">
        <f>INDEX(Sheet1!$A:$J,MATCH('index match'!$K483,Sheet1!$C:$C,0),MATCH('index match'!M$2,Sheet1!$A$1:$J$1,0))</f>
        <v>5</v>
      </c>
      <c r="N483" t="str">
        <f>INDEX(Sheet1!$A:$J,MATCH('index match'!$K483,Sheet1!$C:$C,0),MATCH('index match'!N$2,Sheet1!$A$1:$J$1,0))</f>
        <v>Middle Age</v>
      </c>
    </row>
    <row r="484" spans="4:14" x14ac:dyDescent="0.25">
      <c r="D484" t="str">
        <v>Roman Payne</v>
      </c>
      <c r="E484" t="str">
        <f>INDEX(Sheet1!$A:$J,MATCH('index match'!$D484,Sheet1!$C:$C,0),MATCH('index match'!E$2,Sheet1!$1:$1,0))</f>
        <v>Payne</v>
      </c>
      <c r="F484">
        <f>INDEX(Sheet1!$A:$J,MATCH('index match'!$D484,Sheet1!$C:$C,0),MATCH('index match'!F$2,Sheet1!$1:$1,0))</f>
        <v>0</v>
      </c>
      <c r="G484" t="str">
        <f>INDEX(Sheet1!$A:$J,MATCH('index match'!$D484,Sheet1!$C:$C,0),MATCH('index match'!G$2,Sheet1!$1:$1,0))</f>
        <v>Young</v>
      </c>
      <c r="K484" t="str">
        <v>Anna Tucker</v>
      </c>
      <c r="L484" t="str">
        <f>INDEX(Sheet1!$A:$J,MATCH('index match'!$K484,Sheet1!$C:$C,0),MATCH('index match'!L$2,Sheet1!$A$1:$J$1,0))</f>
        <v>Tucker</v>
      </c>
      <c r="M484">
        <f>INDEX(Sheet1!$A:$J,MATCH('index match'!$K484,Sheet1!$C:$C,0),MATCH('index match'!M$2,Sheet1!$A$1:$J$1,0))</f>
        <v>0</v>
      </c>
      <c r="N484" t="str">
        <f>INDEX(Sheet1!$A:$J,MATCH('index match'!$K484,Sheet1!$C:$C,0),MATCH('index match'!N$2,Sheet1!$A$1:$J$1,0))</f>
        <v>Young</v>
      </c>
    </row>
    <row r="485" spans="4:14" x14ac:dyDescent="0.25">
      <c r="D485" t="str">
        <v>Audrey Johnston</v>
      </c>
      <c r="E485" t="str">
        <f>INDEX(Sheet1!$A:$J,MATCH('index match'!$D485,Sheet1!$C:$C,0),MATCH('index match'!E$2,Sheet1!$1:$1,0))</f>
        <v>Johnston</v>
      </c>
      <c r="F485">
        <f>INDEX(Sheet1!$A:$J,MATCH('index match'!$D485,Sheet1!$C:$C,0),MATCH('index match'!F$2,Sheet1!$1:$1,0))</f>
        <v>3</v>
      </c>
      <c r="G485" t="str">
        <f>INDEX(Sheet1!$A:$J,MATCH('index match'!$D485,Sheet1!$C:$C,0),MATCH('index match'!G$2,Sheet1!$1:$1,0))</f>
        <v>Young</v>
      </c>
      <c r="K485" t="str">
        <v>Adelaide Montgomery</v>
      </c>
      <c r="L485" t="str">
        <f>INDEX(Sheet1!$A:$J,MATCH('index match'!$K485,Sheet1!$C:$C,0),MATCH('index match'!L$2,Sheet1!$A$1:$J$1,0))</f>
        <v>Montgomery</v>
      </c>
      <c r="M485">
        <f>INDEX(Sheet1!$A:$J,MATCH('index match'!$K485,Sheet1!$C:$C,0),MATCH('index match'!M$2,Sheet1!$A$1:$J$1,0))</f>
        <v>2</v>
      </c>
      <c r="N485" t="str">
        <f>INDEX(Sheet1!$A:$J,MATCH('index match'!$K485,Sheet1!$C:$C,0),MATCH('index match'!N$2,Sheet1!$A$1:$J$1,0))</f>
        <v>Young</v>
      </c>
    </row>
    <row r="486" spans="4:14" x14ac:dyDescent="0.25">
      <c r="D486" t="str">
        <v>Adam Hunt</v>
      </c>
      <c r="E486" t="str">
        <f>INDEX(Sheet1!$A:$J,MATCH('index match'!$D486,Sheet1!$C:$C,0),MATCH('index match'!E$2,Sheet1!$1:$1,0))</f>
        <v>Hunt</v>
      </c>
      <c r="F486">
        <f>INDEX(Sheet1!$A:$J,MATCH('index match'!$D486,Sheet1!$C:$C,0),MATCH('index match'!F$2,Sheet1!$1:$1,0))</f>
        <v>0</v>
      </c>
      <c r="G486" t="str">
        <f>INDEX(Sheet1!$A:$J,MATCH('index match'!$D486,Sheet1!$C:$C,0),MATCH('index match'!G$2,Sheet1!$1:$1,0))</f>
        <v>Middle Age</v>
      </c>
      <c r="K486" t="str">
        <v>Rosie Harper</v>
      </c>
      <c r="L486" t="str">
        <f>INDEX(Sheet1!$A:$J,MATCH('index match'!$K486,Sheet1!$C:$C,0),MATCH('index match'!L$2,Sheet1!$A$1:$J$1,0))</f>
        <v>Harper</v>
      </c>
      <c r="M486">
        <f>INDEX(Sheet1!$A:$J,MATCH('index match'!$K486,Sheet1!$C:$C,0),MATCH('index match'!M$2,Sheet1!$A$1:$J$1,0))</f>
        <v>0</v>
      </c>
      <c r="N486" t="str">
        <f>INDEX(Sheet1!$A:$J,MATCH('index match'!$K486,Sheet1!$C:$C,0),MATCH('index match'!N$2,Sheet1!$A$1:$J$1,0))</f>
        <v>Old</v>
      </c>
    </row>
    <row r="487" spans="4:14" x14ac:dyDescent="0.25">
      <c r="D487" t="str">
        <v>Carlos Edwards</v>
      </c>
      <c r="E487" t="str">
        <f>INDEX(Sheet1!$A:$J,MATCH('index match'!$D487,Sheet1!$C:$C,0),MATCH('index match'!E$2,Sheet1!$1:$1,0))</f>
        <v>Edwards</v>
      </c>
      <c r="F487">
        <f>INDEX(Sheet1!$A:$J,MATCH('index match'!$D487,Sheet1!$C:$C,0),MATCH('index match'!F$2,Sheet1!$1:$1,0))</f>
        <v>4</v>
      </c>
      <c r="G487" t="str">
        <f>INDEX(Sheet1!$A:$J,MATCH('index match'!$D487,Sheet1!$C:$C,0),MATCH('index match'!G$2,Sheet1!$1:$1,0))</f>
        <v>Old</v>
      </c>
      <c r="K487" t="str">
        <v>Emily Baker</v>
      </c>
      <c r="L487" t="str">
        <f>INDEX(Sheet1!$A:$J,MATCH('index match'!$K487,Sheet1!$C:$C,0),MATCH('index match'!L$2,Sheet1!$A$1:$J$1,0))</f>
        <v>Baker</v>
      </c>
      <c r="M487">
        <f>INDEX(Sheet1!$A:$J,MATCH('index match'!$K487,Sheet1!$C:$C,0),MATCH('index match'!M$2,Sheet1!$A$1:$J$1,0))</f>
        <v>0</v>
      </c>
      <c r="N487" t="str">
        <f>INDEX(Sheet1!$A:$J,MATCH('index match'!$K487,Sheet1!$C:$C,0),MATCH('index match'!N$2,Sheet1!$A$1:$J$1,0))</f>
        <v>Middle Age</v>
      </c>
    </row>
    <row r="488" spans="4:14" x14ac:dyDescent="0.25">
      <c r="D488" t="str">
        <v>Lyndon Kelley</v>
      </c>
      <c r="E488" t="str">
        <f>INDEX(Sheet1!$A:$J,MATCH('index match'!$D488,Sheet1!$C:$C,0),MATCH('index match'!E$2,Sheet1!$1:$1,0))</f>
        <v>Kelley</v>
      </c>
      <c r="F488">
        <f>INDEX(Sheet1!$A:$J,MATCH('index match'!$D488,Sheet1!$C:$C,0),MATCH('index match'!F$2,Sheet1!$1:$1,0))</f>
        <v>3</v>
      </c>
      <c r="G488" t="str">
        <f>INDEX(Sheet1!$A:$J,MATCH('index match'!$D488,Sheet1!$C:$C,0),MATCH('index match'!G$2,Sheet1!$1:$1,0))</f>
        <v>Middle Age</v>
      </c>
      <c r="K488" t="str">
        <v>Lydia Chapman</v>
      </c>
      <c r="L488" t="str">
        <f>INDEX(Sheet1!$A:$J,MATCH('index match'!$K488,Sheet1!$C:$C,0),MATCH('index match'!L$2,Sheet1!$A$1:$J$1,0))</f>
        <v>Chapman</v>
      </c>
      <c r="M488">
        <f>INDEX(Sheet1!$A:$J,MATCH('index match'!$K488,Sheet1!$C:$C,0),MATCH('index match'!M$2,Sheet1!$A$1:$J$1,0))</f>
        <v>0</v>
      </c>
      <c r="N488" t="str">
        <f>INDEX(Sheet1!$A:$J,MATCH('index match'!$K488,Sheet1!$C:$C,0),MATCH('index match'!N$2,Sheet1!$A$1:$J$1,0))</f>
        <v>Young</v>
      </c>
    </row>
    <row r="489" spans="4:14" x14ac:dyDescent="0.25">
      <c r="D489" t="str">
        <v>Victoria Richards</v>
      </c>
      <c r="E489" t="str">
        <f>INDEX(Sheet1!$A:$J,MATCH('index match'!$D489,Sheet1!$C:$C,0),MATCH('index match'!E$2,Sheet1!$1:$1,0))</f>
        <v>Richards</v>
      </c>
      <c r="F489">
        <f>INDEX(Sheet1!$A:$J,MATCH('index match'!$D489,Sheet1!$C:$C,0),MATCH('index match'!F$2,Sheet1!$1:$1,0))</f>
        <v>1</v>
      </c>
      <c r="G489" t="str">
        <f>INDEX(Sheet1!$A:$J,MATCH('index match'!$D489,Sheet1!$C:$C,0),MATCH('index match'!G$2,Sheet1!$1:$1,0))</f>
        <v>Old</v>
      </c>
      <c r="K489" t="str">
        <v>Aiden Chapman</v>
      </c>
      <c r="L489" t="str">
        <f>INDEX(Sheet1!$A:$J,MATCH('index match'!$K489,Sheet1!$C:$C,0),MATCH('index match'!L$2,Sheet1!$A$1:$J$1,0))</f>
        <v>Chapman</v>
      </c>
      <c r="M489">
        <f>INDEX(Sheet1!$A:$J,MATCH('index match'!$K489,Sheet1!$C:$C,0),MATCH('index match'!M$2,Sheet1!$A$1:$J$1,0))</f>
        <v>1</v>
      </c>
      <c r="N489" t="str">
        <f>INDEX(Sheet1!$A:$J,MATCH('index match'!$K489,Sheet1!$C:$C,0),MATCH('index match'!N$2,Sheet1!$A$1:$J$1,0))</f>
        <v>Middle Age</v>
      </c>
    </row>
    <row r="490" spans="4:14" x14ac:dyDescent="0.25">
      <c r="D490" t="str">
        <v>Bruce Ellis</v>
      </c>
      <c r="E490" t="str">
        <f>INDEX(Sheet1!$A:$J,MATCH('index match'!$D490,Sheet1!$C:$C,0),MATCH('index match'!E$2,Sheet1!$1:$1,0))</f>
        <v>Ellis</v>
      </c>
      <c r="F490">
        <f>INDEX(Sheet1!$A:$J,MATCH('index match'!$D490,Sheet1!$C:$C,0),MATCH('index match'!F$2,Sheet1!$1:$1,0))</f>
        <v>4</v>
      </c>
      <c r="G490" t="str">
        <f>INDEX(Sheet1!$A:$J,MATCH('index match'!$D490,Sheet1!$C:$C,0),MATCH('index match'!G$2,Sheet1!$1:$1,0))</f>
        <v>Middle Age</v>
      </c>
    </row>
    <row r="491" spans="4:14" x14ac:dyDescent="0.25">
      <c r="D491" t="str">
        <v>Preston Harper</v>
      </c>
      <c r="E491" t="str">
        <f>INDEX(Sheet1!$A:$J,MATCH('index match'!$D491,Sheet1!$C:$C,0),MATCH('index match'!E$2,Sheet1!$1:$1,0))</f>
        <v>Harper</v>
      </c>
      <c r="F491">
        <f>INDEX(Sheet1!$A:$J,MATCH('index match'!$D491,Sheet1!$C:$C,0),MATCH('index match'!F$2,Sheet1!$1:$1,0))</f>
        <v>5</v>
      </c>
      <c r="G491" t="str">
        <f>INDEX(Sheet1!$A:$J,MATCH('index match'!$D491,Sheet1!$C:$C,0),MATCH('index match'!G$2,Sheet1!$1:$1,0))</f>
        <v>Old</v>
      </c>
    </row>
    <row r="492" spans="4:14" x14ac:dyDescent="0.25">
      <c r="D492" t="str">
        <v>Roman Cole</v>
      </c>
      <c r="E492" t="str">
        <f>INDEX(Sheet1!$A:$J,MATCH('index match'!$D492,Sheet1!$C:$C,0),MATCH('index match'!E$2,Sheet1!$1:$1,0))</f>
        <v>Cole</v>
      </c>
      <c r="F492">
        <f>INDEX(Sheet1!$A:$J,MATCH('index match'!$D492,Sheet1!$C:$C,0),MATCH('index match'!F$2,Sheet1!$1:$1,0))</f>
        <v>1</v>
      </c>
      <c r="G492" t="str">
        <f>INDEX(Sheet1!$A:$J,MATCH('index match'!$D492,Sheet1!$C:$C,0),MATCH('index match'!G$2,Sheet1!$1:$1,0))</f>
        <v>Middle Age</v>
      </c>
    </row>
    <row r="493" spans="4:14" x14ac:dyDescent="0.25">
      <c r="D493" t="str">
        <v>Chloe Gibson</v>
      </c>
      <c r="E493" t="str">
        <f>INDEX(Sheet1!$A:$J,MATCH('index match'!$D493,Sheet1!$C:$C,0),MATCH('index match'!E$2,Sheet1!$1:$1,0))</f>
        <v>Gibson</v>
      </c>
      <c r="F493">
        <f>INDEX(Sheet1!$A:$J,MATCH('index match'!$D493,Sheet1!$C:$C,0),MATCH('index match'!F$2,Sheet1!$1:$1,0))</f>
        <v>2</v>
      </c>
      <c r="G493" t="str">
        <f>INDEX(Sheet1!$A:$J,MATCH('index match'!$D493,Sheet1!$C:$C,0),MATCH('index match'!G$2,Sheet1!$1:$1,0))</f>
        <v>Middle Age</v>
      </c>
    </row>
    <row r="494" spans="4:14" x14ac:dyDescent="0.25">
      <c r="D494" t="str">
        <v>Amy Wilson</v>
      </c>
      <c r="E494" t="str">
        <f>INDEX(Sheet1!$A:$J,MATCH('index match'!$D494,Sheet1!$C:$C,0),MATCH('index match'!E$2,Sheet1!$1:$1,0))</f>
        <v>Wilson</v>
      </c>
      <c r="F494">
        <f>INDEX(Sheet1!$A:$J,MATCH('index match'!$D494,Sheet1!$C:$C,0),MATCH('index match'!F$2,Sheet1!$1:$1,0))</f>
        <v>3</v>
      </c>
      <c r="G494" t="str">
        <f>INDEX(Sheet1!$A:$J,MATCH('index match'!$D494,Sheet1!$C:$C,0),MATCH('index match'!G$2,Sheet1!$1:$1,0))</f>
        <v>Middle Age</v>
      </c>
    </row>
    <row r="495" spans="4:14" x14ac:dyDescent="0.25">
      <c r="D495" t="str">
        <v>Nicholas Taylor</v>
      </c>
      <c r="E495" t="str">
        <f>INDEX(Sheet1!$A:$J,MATCH('index match'!$D495,Sheet1!$C:$C,0),MATCH('index match'!E$2,Sheet1!$1:$1,0))</f>
        <v>Taylor</v>
      </c>
      <c r="F495">
        <f>INDEX(Sheet1!$A:$J,MATCH('index match'!$D495,Sheet1!$C:$C,0),MATCH('index match'!F$2,Sheet1!$1:$1,0))</f>
        <v>4</v>
      </c>
      <c r="G495" t="str">
        <f>INDEX(Sheet1!$A:$J,MATCH('index match'!$D495,Sheet1!$C:$C,0),MATCH('index match'!G$2,Sheet1!$1:$1,0))</f>
        <v>Young</v>
      </c>
    </row>
    <row r="496" spans="4:14" x14ac:dyDescent="0.25">
      <c r="D496" t="str">
        <v>Edwin Crawford</v>
      </c>
      <c r="E496" t="str">
        <f>INDEX(Sheet1!$A:$J,MATCH('index match'!$D496,Sheet1!$C:$C,0),MATCH('index match'!E$2,Sheet1!$1:$1,0))</f>
        <v>Crawford</v>
      </c>
      <c r="F496">
        <f>INDEX(Sheet1!$A:$J,MATCH('index match'!$D496,Sheet1!$C:$C,0),MATCH('index match'!F$2,Sheet1!$1:$1,0))</f>
        <v>4</v>
      </c>
      <c r="G496" t="str">
        <f>INDEX(Sheet1!$A:$J,MATCH('index match'!$D496,Sheet1!$C:$C,0),MATCH('index match'!G$2,Sheet1!$1:$1,0))</f>
        <v>Middle Age</v>
      </c>
    </row>
    <row r="497" spans="4:7" x14ac:dyDescent="0.25">
      <c r="D497" t="str">
        <v>Ashton Williams</v>
      </c>
      <c r="E497" t="str">
        <f>INDEX(Sheet1!$A:$J,MATCH('index match'!$D497,Sheet1!$C:$C,0),MATCH('index match'!E$2,Sheet1!$1:$1,0))</f>
        <v>Williams</v>
      </c>
      <c r="F497">
        <f>INDEX(Sheet1!$A:$J,MATCH('index match'!$D497,Sheet1!$C:$C,0),MATCH('index match'!F$2,Sheet1!$1:$1,0))</f>
        <v>5</v>
      </c>
      <c r="G497" t="str">
        <f>INDEX(Sheet1!$A:$J,MATCH('index match'!$D497,Sheet1!$C:$C,0),MATCH('index match'!G$2,Sheet1!$1:$1,0))</f>
        <v>Young</v>
      </c>
    </row>
    <row r="498" spans="4:7" x14ac:dyDescent="0.25">
      <c r="D498" t="str">
        <v>Cadie Richards</v>
      </c>
      <c r="E498" t="str">
        <f>INDEX(Sheet1!$A:$J,MATCH('index match'!$D498,Sheet1!$C:$C,0),MATCH('index match'!E$2,Sheet1!$1:$1,0))</f>
        <v>Richards</v>
      </c>
      <c r="F498">
        <f>INDEX(Sheet1!$A:$J,MATCH('index match'!$D498,Sheet1!$C:$C,0),MATCH('index match'!F$2,Sheet1!$1:$1,0))</f>
        <v>3</v>
      </c>
      <c r="G498" t="str">
        <f>INDEX(Sheet1!$A:$J,MATCH('index match'!$D498,Sheet1!$C:$C,0),MATCH('index match'!G$2,Sheet1!$1:$1,0))</f>
        <v>Middle Age</v>
      </c>
    </row>
    <row r="499" spans="4:7" x14ac:dyDescent="0.25">
      <c r="D499" t="str">
        <v>Reid Scott</v>
      </c>
      <c r="E499" t="str">
        <f>INDEX(Sheet1!$A:$J,MATCH('index match'!$D499,Sheet1!$C:$C,0),MATCH('index match'!E$2,Sheet1!$1:$1,0))</f>
        <v>Scott</v>
      </c>
      <c r="F499">
        <f>INDEX(Sheet1!$A:$J,MATCH('index match'!$D499,Sheet1!$C:$C,0),MATCH('index match'!F$2,Sheet1!$1:$1,0))</f>
        <v>5</v>
      </c>
      <c r="G499" t="str">
        <f>INDEX(Sheet1!$A:$J,MATCH('index match'!$D499,Sheet1!$C:$C,0),MATCH('index match'!G$2,Sheet1!$1:$1,0))</f>
        <v>Middle Age</v>
      </c>
    </row>
    <row r="500" spans="4:7" x14ac:dyDescent="0.25">
      <c r="D500" t="str">
        <v>Briony Tucker</v>
      </c>
      <c r="E500" t="str">
        <f>INDEX(Sheet1!$A:$J,MATCH('index match'!$D500,Sheet1!$C:$C,0),MATCH('index match'!E$2,Sheet1!$1:$1,0))</f>
        <v>Tucker</v>
      </c>
      <c r="F500">
        <f>INDEX(Sheet1!$A:$J,MATCH('index match'!$D500,Sheet1!$C:$C,0),MATCH('index match'!F$2,Sheet1!$1:$1,0))</f>
        <v>1</v>
      </c>
      <c r="G500" t="str">
        <f>INDEX(Sheet1!$A:$J,MATCH('index match'!$D500,Sheet1!$C:$C,0),MATCH('index match'!G$2,Sheet1!$1:$1,0))</f>
        <v>Middle Age</v>
      </c>
    </row>
    <row r="501" spans="4:7" x14ac:dyDescent="0.25">
      <c r="D501" t="str">
        <v>Emily Smith</v>
      </c>
      <c r="E501" t="str">
        <f>INDEX(Sheet1!$A:$J,MATCH('index match'!$D501,Sheet1!$C:$C,0),MATCH('index match'!E$2,Sheet1!$1:$1,0))</f>
        <v>Smith</v>
      </c>
      <c r="F501">
        <f>INDEX(Sheet1!$A:$J,MATCH('index match'!$D501,Sheet1!$C:$C,0),MATCH('index match'!F$2,Sheet1!$1:$1,0))</f>
        <v>3</v>
      </c>
      <c r="G501" t="str">
        <f>INDEX(Sheet1!$A:$J,MATCH('index match'!$D501,Sheet1!$C:$C,0),MATCH('index match'!G$2,Sheet1!$1:$1,0))</f>
        <v>Middle Age</v>
      </c>
    </row>
    <row r="502" spans="4:7" x14ac:dyDescent="0.25">
      <c r="D502" t="str">
        <v>Aiden Foster</v>
      </c>
      <c r="E502" t="str">
        <f>INDEX(Sheet1!$A:$J,MATCH('index match'!$D502,Sheet1!$C:$C,0),MATCH('index match'!E$2,Sheet1!$1:$1,0))</f>
        <v>Foster</v>
      </c>
      <c r="F502">
        <f>INDEX(Sheet1!$A:$J,MATCH('index match'!$D502,Sheet1!$C:$C,0),MATCH('index match'!F$2,Sheet1!$1:$1,0))</f>
        <v>2</v>
      </c>
      <c r="G502" t="str">
        <f>INDEX(Sheet1!$A:$J,MATCH('index match'!$D502,Sheet1!$C:$C,0),MATCH('index match'!G$2,Sheet1!$1:$1,0))</f>
        <v>Old</v>
      </c>
    </row>
    <row r="503" spans="4:7" x14ac:dyDescent="0.25">
      <c r="D503" t="str">
        <v>Elise Wells</v>
      </c>
      <c r="E503" t="str">
        <f>INDEX(Sheet1!$A:$J,MATCH('index match'!$D503,Sheet1!$C:$C,0),MATCH('index match'!E$2,Sheet1!$1:$1,0))</f>
        <v>Wells</v>
      </c>
      <c r="F503">
        <f>INDEX(Sheet1!$A:$J,MATCH('index match'!$D503,Sheet1!$C:$C,0),MATCH('index match'!F$2,Sheet1!$1:$1,0))</f>
        <v>1</v>
      </c>
      <c r="G503" t="str">
        <f>INDEX(Sheet1!$A:$J,MATCH('index match'!$D503,Sheet1!$C:$C,0),MATCH('index match'!G$2,Sheet1!$1:$1,0))</f>
        <v>Middle Age</v>
      </c>
    </row>
    <row r="504" spans="4:7" x14ac:dyDescent="0.25">
      <c r="D504" t="str">
        <v>Steven Andrews</v>
      </c>
      <c r="E504" t="str">
        <f>INDEX(Sheet1!$A:$J,MATCH('index match'!$D504,Sheet1!$C:$C,0),MATCH('index match'!E$2,Sheet1!$1:$1,0))</f>
        <v>Andrews</v>
      </c>
      <c r="F504">
        <f>INDEX(Sheet1!$A:$J,MATCH('index match'!$D504,Sheet1!$C:$C,0),MATCH('index match'!F$2,Sheet1!$1:$1,0))</f>
        <v>0</v>
      </c>
      <c r="G504" t="str">
        <f>INDEX(Sheet1!$A:$J,MATCH('index match'!$D504,Sheet1!$C:$C,0),MATCH('index match'!G$2,Sheet1!$1:$1,0))</f>
        <v>Old</v>
      </c>
    </row>
    <row r="505" spans="4:7" x14ac:dyDescent="0.25">
      <c r="D505" t="str">
        <v>Alexia Gray</v>
      </c>
      <c r="E505" t="str">
        <f>INDEX(Sheet1!$A:$J,MATCH('index match'!$D505,Sheet1!$C:$C,0),MATCH('index match'!E$2,Sheet1!$1:$1,0))</f>
        <v>Gray</v>
      </c>
      <c r="F505">
        <f>INDEX(Sheet1!$A:$J,MATCH('index match'!$D505,Sheet1!$C:$C,0),MATCH('index match'!F$2,Sheet1!$1:$1,0))</f>
        <v>2</v>
      </c>
      <c r="G505" t="str">
        <f>INDEX(Sheet1!$A:$J,MATCH('index match'!$D505,Sheet1!$C:$C,0),MATCH('index match'!G$2,Sheet1!$1:$1,0))</f>
        <v>Middle Age</v>
      </c>
    </row>
    <row r="506" spans="4:7" x14ac:dyDescent="0.25">
      <c r="D506" t="str">
        <v>Jasmine Anderson</v>
      </c>
      <c r="E506" t="str">
        <f>INDEX(Sheet1!$A:$J,MATCH('index match'!$D506,Sheet1!$C:$C,0),MATCH('index match'!E$2,Sheet1!$1:$1,0))</f>
        <v>Anderson</v>
      </c>
      <c r="F506">
        <f>INDEX(Sheet1!$A:$J,MATCH('index match'!$D506,Sheet1!$C:$C,0),MATCH('index match'!F$2,Sheet1!$1:$1,0))</f>
        <v>1</v>
      </c>
      <c r="G506" t="str">
        <f>INDEX(Sheet1!$A:$J,MATCH('index match'!$D506,Sheet1!$C:$C,0),MATCH('index match'!G$2,Sheet1!$1:$1,0))</f>
        <v>Middle Age</v>
      </c>
    </row>
    <row r="507" spans="4:7" x14ac:dyDescent="0.25">
      <c r="D507" t="str">
        <v>Ryan Thomas</v>
      </c>
      <c r="E507" t="str">
        <f>INDEX(Sheet1!$A:$J,MATCH('index match'!$D507,Sheet1!$C:$C,0),MATCH('index match'!E$2,Sheet1!$1:$1,0))</f>
        <v>Thomas</v>
      </c>
      <c r="F507">
        <f>INDEX(Sheet1!$A:$J,MATCH('index match'!$D507,Sheet1!$C:$C,0),MATCH('index match'!F$2,Sheet1!$1:$1,0))</f>
        <v>4</v>
      </c>
      <c r="G507" t="str">
        <f>INDEX(Sheet1!$A:$J,MATCH('index match'!$D507,Sheet1!$C:$C,0),MATCH('index match'!G$2,Sheet1!$1:$1,0))</f>
        <v>Old</v>
      </c>
    </row>
    <row r="508" spans="4:7" x14ac:dyDescent="0.25">
      <c r="D508" t="str">
        <v>Roman Martin</v>
      </c>
      <c r="E508" t="str">
        <f>INDEX(Sheet1!$A:$J,MATCH('index match'!$D508,Sheet1!$C:$C,0),MATCH('index match'!E$2,Sheet1!$1:$1,0))</f>
        <v>Martin</v>
      </c>
      <c r="F508">
        <f>INDEX(Sheet1!$A:$J,MATCH('index match'!$D508,Sheet1!$C:$C,0),MATCH('index match'!F$2,Sheet1!$1:$1,0))</f>
        <v>4</v>
      </c>
      <c r="G508" t="str">
        <f>INDEX(Sheet1!$A:$J,MATCH('index match'!$D508,Sheet1!$C:$C,0),MATCH('index match'!G$2,Sheet1!$1:$1,0))</f>
        <v>Young</v>
      </c>
    </row>
    <row r="509" spans="4:7" x14ac:dyDescent="0.25">
      <c r="D509" t="str">
        <v>Penelope Gibson</v>
      </c>
      <c r="E509" t="str">
        <f>INDEX(Sheet1!$A:$J,MATCH('index match'!$D509,Sheet1!$C:$C,0),MATCH('index match'!E$2,Sheet1!$1:$1,0))</f>
        <v>Gibson</v>
      </c>
      <c r="F509">
        <f>INDEX(Sheet1!$A:$J,MATCH('index match'!$D509,Sheet1!$C:$C,0),MATCH('index match'!F$2,Sheet1!$1:$1,0))</f>
        <v>3</v>
      </c>
      <c r="G509" t="str">
        <f>INDEX(Sheet1!$A:$J,MATCH('index match'!$D509,Sheet1!$C:$C,0),MATCH('index match'!G$2,Sheet1!$1:$1,0))</f>
        <v>Middle Age</v>
      </c>
    </row>
    <row r="510" spans="4:7" x14ac:dyDescent="0.25">
      <c r="D510" t="str">
        <v>Lucia Holmes</v>
      </c>
      <c r="E510" t="str">
        <f>INDEX(Sheet1!$A:$J,MATCH('index match'!$D510,Sheet1!$C:$C,0),MATCH('index match'!E$2,Sheet1!$1:$1,0))</f>
        <v>Holmes</v>
      </c>
      <c r="F510">
        <f>INDEX(Sheet1!$A:$J,MATCH('index match'!$D510,Sheet1!$C:$C,0),MATCH('index match'!F$2,Sheet1!$1:$1,0))</f>
        <v>4</v>
      </c>
      <c r="G510" t="str">
        <f>INDEX(Sheet1!$A:$J,MATCH('index match'!$D510,Sheet1!$C:$C,0),MATCH('index match'!G$2,Sheet1!$1:$1,0))</f>
        <v>Middle Age</v>
      </c>
    </row>
    <row r="511" spans="4:7" x14ac:dyDescent="0.25">
      <c r="D511" t="str">
        <v>Sophia Ferguson</v>
      </c>
      <c r="E511" t="str">
        <f>INDEX(Sheet1!$A:$J,MATCH('index match'!$D511,Sheet1!$C:$C,0),MATCH('index match'!E$2,Sheet1!$1:$1,0))</f>
        <v>Ferguson</v>
      </c>
      <c r="F511">
        <f>INDEX(Sheet1!$A:$J,MATCH('index match'!$D511,Sheet1!$C:$C,0),MATCH('index match'!F$2,Sheet1!$1:$1,0))</f>
        <v>5</v>
      </c>
      <c r="G511" t="str">
        <f>INDEX(Sheet1!$A:$J,MATCH('index match'!$D511,Sheet1!$C:$C,0),MATCH('index match'!G$2,Sheet1!$1:$1,0))</f>
        <v>Middle Age</v>
      </c>
    </row>
    <row r="512" spans="4:7" x14ac:dyDescent="0.25">
      <c r="D512" t="str">
        <v>Fenton Stewart</v>
      </c>
      <c r="E512" t="str">
        <f>INDEX(Sheet1!$A:$J,MATCH('index match'!$D512,Sheet1!$C:$C,0),MATCH('index match'!E$2,Sheet1!$1:$1,0))</f>
        <v>Stewart</v>
      </c>
      <c r="F512">
        <f>INDEX(Sheet1!$A:$J,MATCH('index match'!$D512,Sheet1!$C:$C,0),MATCH('index match'!F$2,Sheet1!$1:$1,0))</f>
        <v>5</v>
      </c>
      <c r="G512" t="str">
        <f>INDEX(Sheet1!$A:$J,MATCH('index match'!$D512,Sheet1!$C:$C,0),MATCH('index match'!G$2,Sheet1!$1:$1,0))</f>
        <v>Old</v>
      </c>
    </row>
    <row r="513" spans="4:7" x14ac:dyDescent="0.25">
      <c r="D513" t="str">
        <v>Alina Cameron</v>
      </c>
      <c r="E513" t="str">
        <f>INDEX(Sheet1!$A:$J,MATCH('index match'!$D513,Sheet1!$C:$C,0),MATCH('index match'!E$2,Sheet1!$1:$1,0))</f>
        <v>Cameron</v>
      </c>
      <c r="F513">
        <f>INDEX(Sheet1!$A:$J,MATCH('index match'!$D513,Sheet1!$C:$C,0),MATCH('index match'!F$2,Sheet1!$1:$1,0))</f>
        <v>4</v>
      </c>
      <c r="G513" t="str">
        <f>INDEX(Sheet1!$A:$J,MATCH('index match'!$D513,Sheet1!$C:$C,0),MATCH('index match'!G$2,Sheet1!$1:$1,0))</f>
        <v>Middle Age</v>
      </c>
    </row>
    <row r="514" spans="4:7" x14ac:dyDescent="0.25">
      <c r="D514" t="str">
        <v>Rosie Douglas</v>
      </c>
      <c r="E514" t="str">
        <f>INDEX(Sheet1!$A:$J,MATCH('index match'!$D514,Sheet1!$C:$C,0),MATCH('index match'!E$2,Sheet1!$1:$1,0))</f>
        <v>Douglas</v>
      </c>
      <c r="F514">
        <f>INDEX(Sheet1!$A:$J,MATCH('index match'!$D514,Sheet1!$C:$C,0),MATCH('index match'!F$2,Sheet1!$1:$1,0))</f>
        <v>5</v>
      </c>
      <c r="G514" t="str">
        <f>INDEX(Sheet1!$A:$J,MATCH('index match'!$D514,Sheet1!$C:$C,0),MATCH('index match'!G$2,Sheet1!$1:$1,0))</f>
        <v>Young</v>
      </c>
    </row>
    <row r="515" spans="4:7" x14ac:dyDescent="0.25">
      <c r="D515" t="str">
        <v>Dexter Williams</v>
      </c>
      <c r="E515" t="str">
        <f>INDEX(Sheet1!$A:$J,MATCH('index match'!$D515,Sheet1!$C:$C,0),MATCH('index match'!E$2,Sheet1!$1:$1,0))</f>
        <v>Williams</v>
      </c>
      <c r="F515">
        <f>INDEX(Sheet1!$A:$J,MATCH('index match'!$D515,Sheet1!$C:$C,0),MATCH('index match'!F$2,Sheet1!$1:$1,0))</f>
        <v>0</v>
      </c>
      <c r="G515" t="str">
        <f>INDEX(Sheet1!$A:$J,MATCH('index match'!$D515,Sheet1!$C:$C,0),MATCH('index match'!G$2,Sheet1!$1:$1,0))</f>
        <v>Old</v>
      </c>
    </row>
  </sheetData>
  <dataValidations count="1">
    <dataValidation type="list" allowBlank="1" showInputMessage="1" showErrorMessage="1" sqref="J2" xr:uid="{450C9480-466F-4A2A-9A61-49168C7D14C5}">
      <formula1>"Single,Married"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03A18-8E82-4B14-9385-549DB942DE03}">
  <dimension ref="C1:L488"/>
  <sheetViews>
    <sheetView workbookViewId="0">
      <selection activeCell="E2" sqref="E2"/>
    </sheetView>
  </sheetViews>
  <sheetFormatPr defaultRowHeight="13.8" x14ac:dyDescent="0.25"/>
  <cols>
    <col min="4" max="4" width="22.09765625" bestFit="1" customWidth="1"/>
    <col min="5" max="5" width="16.296875" customWidth="1"/>
    <col min="6" max="6" width="17.8984375" customWidth="1"/>
    <col min="9" max="9" width="13.796875" bestFit="1" customWidth="1"/>
    <col min="10" max="10" width="22.09765625" bestFit="1" customWidth="1"/>
    <col min="11" max="11" width="14.296875" bestFit="1" customWidth="1"/>
    <col min="12" max="12" width="18.296875" bestFit="1" customWidth="1"/>
  </cols>
  <sheetData>
    <row r="1" spans="3:12" ht="15" x14ac:dyDescent="0.25">
      <c r="C1" s="16" t="s">
        <v>1350</v>
      </c>
      <c r="D1" s="16" t="s">
        <v>1412</v>
      </c>
      <c r="E1" s="16" t="s">
        <v>1413</v>
      </c>
      <c r="F1" s="16" t="s">
        <v>1351</v>
      </c>
      <c r="H1" s="16"/>
      <c r="I1" s="16" t="s">
        <v>1350</v>
      </c>
      <c r="J1" s="16" t="s">
        <v>1412</v>
      </c>
      <c r="K1" s="16" t="s">
        <v>1350</v>
      </c>
      <c r="L1" s="16" t="s">
        <v>1351</v>
      </c>
    </row>
    <row r="2" spans="3:12" x14ac:dyDescent="0.25">
      <c r="C2" t="s">
        <v>1410</v>
      </c>
      <c r="D2" s="18" t="str" cm="1">
        <f t="array" ref="D2:F488">_xlfn._xlws.FILTER(_xlfn._xlws.FILTER(Sheet1!A:J,Sheet1!I:I=Filter!C2),{0,0,1,0,0,0,0,0,1,1})</f>
        <v>Jacob Robinson</v>
      </c>
      <c r="E2" t="str">
        <v>Married</v>
      </c>
      <c r="F2">
        <v>2</v>
      </c>
      <c r="I2" t="s">
        <v>1410</v>
      </c>
      <c r="J2" t="str" cm="1">
        <f t="array" ref="J2:L488">_xlfn._xlws.FILTER(_xlfn._xlws.FILTER(Sheet1!A:J,Sheet1!I:I=Filter!I2),{0,0,1,0,0,0,0,0,1,1})</f>
        <v>Jacob Robinson</v>
      </c>
      <c r="K2" t="str">
        <v>Married</v>
      </c>
      <c r="L2">
        <v>2</v>
      </c>
    </row>
    <row r="3" spans="3:12" x14ac:dyDescent="0.25">
      <c r="D3" s="18" t="str">
        <v>Grace Taylor</v>
      </c>
      <c r="E3" t="str">
        <v>Married</v>
      </c>
      <c r="F3">
        <v>1</v>
      </c>
      <c r="J3" t="str">
        <v>Grace Taylor</v>
      </c>
      <c r="K3" t="str">
        <v>Married</v>
      </c>
      <c r="L3">
        <v>1</v>
      </c>
    </row>
    <row r="4" spans="3:12" x14ac:dyDescent="0.25">
      <c r="D4" s="18" t="str">
        <v>Vanessa Farrell</v>
      </c>
      <c r="E4" t="str">
        <v>Married</v>
      </c>
      <c r="F4">
        <v>2</v>
      </c>
      <c r="J4" t="str">
        <v>Vanessa Farrell</v>
      </c>
      <c r="K4" t="str">
        <v>Married</v>
      </c>
      <c r="L4">
        <v>2</v>
      </c>
    </row>
    <row r="5" spans="3:12" x14ac:dyDescent="0.25">
      <c r="D5" s="18" t="str">
        <v>Fenton Harrison</v>
      </c>
      <c r="E5" t="str">
        <v>Married</v>
      </c>
      <c r="F5">
        <v>0</v>
      </c>
      <c r="J5" t="str">
        <v>Fenton Harrison</v>
      </c>
      <c r="K5" t="str">
        <v>Married</v>
      </c>
      <c r="L5">
        <v>0</v>
      </c>
    </row>
    <row r="6" spans="3:12" x14ac:dyDescent="0.25">
      <c r="D6" s="18" t="str">
        <v>Belinda Spencer</v>
      </c>
      <c r="E6" t="str">
        <v>Married</v>
      </c>
      <c r="F6">
        <v>5</v>
      </c>
      <c r="J6" t="str">
        <v>Belinda Spencer</v>
      </c>
      <c r="K6" t="str">
        <v>Married</v>
      </c>
      <c r="L6">
        <v>5</v>
      </c>
    </row>
    <row r="7" spans="3:12" x14ac:dyDescent="0.25">
      <c r="D7" s="18" t="str">
        <v>Ashton Farrell</v>
      </c>
      <c r="E7" t="str">
        <v>Married</v>
      </c>
      <c r="F7">
        <v>1</v>
      </c>
      <c r="J7" t="str">
        <v>Ashton Farrell</v>
      </c>
      <c r="K7" t="str">
        <v>Married</v>
      </c>
      <c r="L7">
        <v>1</v>
      </c>
    </row>
    <row r="8" spans="3:12" x14ac:dyDescent="0.25">
      <c r="D8" s="18" t="str">
        <v>Kellan Williams</v>
      </c>
      <c r="E8" t="str">
        <v>Married</v>
      </c>
      <c r="F8">
        <v>4</v>
      </c>
      <c r="J8" t="str">
        <v>Kellan Williams</v>
      </c>
      <c r="K8" t="str">
        <v>Married</v>
      </c>
      <c r="L8">
        <v>4</v>
      </c>
    </row>
    <row r="9" spans="3:12" x14ac:dyDescent="0.25">
      <c r="D9" s="18" t="str">
        <v>Tyler Davis</v>
      </c>
      <c r="E9" t="str">
        <v>Married</v>
      </c>
      <c r="F9">
        <v>1</v>
      </c>
      <c r="J9" t="str">
        <v>Tyler Davis</v>
      </c>
      <c r="K9" t="str">
        <v>Married</v>
      </c>
      <c r="L9">
        <v>1</v>
      </c>
    </row>
    <row r="10" spans="3:12" x14ac:dyDescent="0.25">
      <c r="D10" s="18" t="str">
        <v>Edgar Thomas</v>
      </c>
      <c r="E10" t="str">
        <v>Married</v>
      </c>
      <c r="F10">
        <v>3</v>
      </c>
      <c r="J10" t="str">
        <v>Edgar Thomas</v>
      </c>
      <c r="K10" t="str">
        <v>Married</v>
      </c>
      <c r="L10">
        <v>3</v>
      </c>
    </row>
    <row r="11" spans="3:12" x14ac:dyDescent="0.25">
      <c r="D11" s="18" t="str">
        <v>Nicholas Owens</v>
      </c>
      <c r="E11" t="str">
        <v>Married</v>
      </c>
      <c r="F11">
        <v>3</v>
      </c>
      <c r="J11" t="str">
        <v>Nicholas Owens</v>
      </c>
      <c r="K11" t="str">
        <v>Married</v>
      </c>
      <c r="L11">
        <v>3</v>
      </c>
    </row>
    <row r="12" spans="3:12" x14ac:dyDescent="0.25">
      <c r="D12" s="18" t="str">
        <v>Sawyer Carter</v>
      </c>
      <c r="E12" t="str">
        <v>Married</v>
      </c>
      <c r="F12">
        <v>4</v>
      </c>
      <c r="J12" t="str">
        <v>Sawyer Carter</v>
      </c>
      <c r="K12" t="str">
        <v>Married</v>
      </c>
      <c r="L12">
        <v>4</v>
      </c>
    </row>
    <row r="13" spans="3:12" x14ac:dyDescent="0.25">
      <c r="D13" s="18" t="str">
        <v>Lyndon Parker</v>
      </c>
      <c r="E13" t="str">
        <v>Married</v>
      </c>
      <c r="F13">
        <v>1</v>
      </c>
      <c r="J13" t="str">
        <v>Lyndon Parker</v>
      </c>
      <c r="K13" t="str">
        <v>Married</v>
      </c>
      <c r="L13">
        <v>1</v>
      </c>
    </row>
    <row r="14" spans="3:12" x14ac:dyDescent="0.25">
      <c r="D14" s="18" t="str">
        <v>Sofia Barnes</v>
      </c>
      <c r="E14" t="str">
        <v>Married</v>
      </c>
      <c r="F14">
        <v>5</v>
      </c>
      <c r="J14" t="str">
        <v>Sofia Barnes</v>
      </c>
      <c r="K14" t="str">
        <v>Married</v>
      </c>
      <c r="L14">
        <v>5</v>
      </c>
    </row>
    <row r="15" spans="3:12" x14ac:dyDescent="0.25">
      <c r="D15" s="18" t="str">
        <v>Walter Allen</v>
      </c>
      <c r="E15" t="str">
        <v>Married</v>
      </c>
      <c r="F15">
        <v>5</v>
      </c>
      <c r="J15" t="str">
        <v>Walter Allen</v>
      </c>
      <c r="K15" t="str">
        <v>Married</v>
      </c>
      <c r="L15">
        <v>5</v>
      </c>
    </row>
    <row r="16" spans="3:12" x14ac:dyDescent="0.25">
      <c r="D16" s="18" t="str">
        <v>Kimberly Payne</v>
      </c>
      <c r="E16" t="str">
        <v>Married</v>
      </c>
      <c r="F16">
        <v>3</v>
      </c>
      <c r="J16" t="str">
        <v>Kimberly Payne</v>
      </c>
      <c r="K16" t="str">
        <v>Married</v>
      </c>
      <c r="L16">
        <v>3</v>
      </c>
    </row>
    <row r="17" spans="4:12" x14ac:dyDescent="0.25">
      <c r="D17" s="18" t="str">
        <v>Edward Stewart</v>
      </c>
      <c r="E17" t="str">
        <v>Married</v>
      </c>
      <c r="F17">
        <v>1</v>
      </c>
      <c r="J17" t="str">
        <v>Edward Stewart</v>
      </c>
      <c r="K17" t="str">
        <v>Married</v>
      </c>
      <c r="L17">
        <v>1</v>
      </c>
    </row>
    <row r="18" spans="4:12" x14ac:dyDescent="0.25">
      <c r="D18" s="18" t="str">
        <v>Frederick Johnson</v>
      </c>
      <c r="E18" t="str">
        <v>Married</v>
      </c>
      <c r="F18">
        <v>2</v>
      </c>
      <c r="J18" t="str">
        <v>Frederick Johnson</v>
      </c>
      <c r="K18" t="str">
        <v>Married</v>
      </c>
      <c r="L18">
        <v>2</v>
      </c>
    </row>
    <row r="19" spans="4:12" x14ac:dyDescent="0.25">
      <c r="D19" s="18" t="str">
        <v>Lucy Davis</v>
      </c>
      <c r="E19" t="str">
        <v>Married</v>
      </c>
      <c r="F19">
        <v>3</v>
      </c>
      <c r="J19" t="str">
        <v>Lucy Davis</v>
      </c>
      <c r="K19" t="str">
        <v>Married</v>
      </c>
      <c r="L19">
        <v>3</v>
      </c>
    </row>
    <row r="20" spans="4:12" x14ac:dyDescent="0.25">
      <c r="D20" s="18" t="str">
        <v>Adam Nelson</v>
      </c>
      <c r="E20" t="str">
        <v>Married</v>
      </c>
      <c r="F20">
        <v>4</v>
      </c>
      <c r="J20" t="str">
        <v>Adam Nelson</v>
      </c>
      <c r="K20" t="str">
        <v>Married</v>
      </c>
      <c r="L20">
        <v>4</v>
      </c>
    </row>
    <row r="21" spans="4:12" x14ac:dyDescent="0.25">
      <c r="D21" s="18" t="str">
        <v>Tara Brown</v>
      </c>
      <c r="E21" t="str">
        <v>Married</v>
      </c>
      <c r="F21">
        <v>4</v>
      </c>
      <c r="J21" t="str">
        <v>Tara Brown</v>
      </c>
      <c r="K21" t="str">
        <v>Married</v>
      </c>
      <c r="L21">
        <v>4</v>
      </c>
    </row>
    <row r="22" spans="4:12" x14ac:dyDescent="0.25">
      <c r="D22" s="18" t="str">
        <v>Dominik Martin</v>
      </c>
      <c r="E22" t="str">
        <v>Married</v>
      </c>
      <c r="F22">
        <v>3</v>
      </c>
      <c r="J22" t="str">
        <v>Dominik Martin</v>
      </c>
      <c r="K22" t="str">
        <v>Married</v>
      </c>
      <c r="L22">
        <v>3</v>
      </c>
    </row>
    <row r="23" spans="4:12" x14ac:dyDescent="0.25">
      <c r="D23" s="18" t="str">
        <v>Valeria Perry</v>
      </c>
      <c r="E23" t="str">
        <v>Married</v>
      </c>
      <c r="F23">
        <v>5</v>
      </c>
      <c r="J23" t="str">
        <v>Valeria Perry</v>
      </c>
      <c r="K23" t="str">
        <v>Married</v>
      </c>
      <c r="L23">
        <v>5</v>
      </c>
    </row>
    <row r="24" spans="4:12" x14ac:dyDescent="0.25">
      <c r="D24" s="18" t="str">
        <v>Wilson Farrell</v>
      </c>
      <c r="E24" t="str">
        <v>Married</v>
      </c>
      <c r="F24">
        <v>0</v>
      </c>
      <c r="J24" t="str">
        <v>Wilson Farrell</v>
      </c>
      <c r="K24" t="str">
        <v>Married</v>
      </c>
      <c r="L24">
        <v>0</v>
      </c>
    </row>
    <row r="25" spans="4:12" x14ac:dyDescent="0.25">
      <c r="D25" s="18" t="str">
        <v>Emma Farrell</v>
      </c>
      <c r="E25" t="str">
        <v>Married</v>
      </c>
      <c r="F25">
        <v>2</v>
      </c>
      <c r="J25" t="str">
        <v>Emma Farrell</v>
      </c>
      <c r="K25" t="str">
        <v>Married</v>
      </c>
      <c r="L25">
        <v>2</v>
      </c>
    </row>
    <row r="26" spans="4:12" x14ac:dyDescent="0.25">
      <c r="D26" s="18" t="str">
        <v>Fenton Kelly</v>
      </c>
      <c r="E26" t="str">
        <v>Married</v>
      </c>
      <c r="F26">
        <v>4</v>
      </c>
      <c r="J26" t="str">
        <v>Fenton Kelly</v>
      </c>
      <c r="K26" t="str">
        <v>Married</v>
      </c>
      <c r="L26">
        <v>4</v>
      </c>
    </row>
    <row r="27" spans="4:12" x14ac:dyDescent="0.25">
      <c r="D27" s="18" t="str">
        <v>Belinda Dixon</v>
      </c>
      <c r="E27" t="str">
        <v>Married</v>
      </c>
      <c r="F27">
        <v>4</v>
      </c>
      <c r="J27" t="str">
        <v>Belinda Dixon</v>
      </c>
      <c r="K27" t="str">
        <v>Married</v>
      </c>
      <c r="L27">
        <v>4</v>
      </c>
    </row>
    <row r="28" spans="4:12" x14ac:dyDescent="0.25">
      <c r="D28" s="18" t="str">
        <v>Alexia Cooper</v>
      </c>
      <c r="E28" t="str">
        <v>Married</v>
      </c>
      <c r="F28">
        <v>0</v>
      </c>
      <c r="J28" t="str">
        <v>Alexia Cooper</v>
      </c>
      <c r="K28" t="str">
        <v>Married</v>
      </c>
      <c r="L28">
        <v>0</v>
      </c>
    </row>
    <row r="29" spans="4:12" x14ac:dyDescent="0.25">
      <c r="D29" s="18" t="str">
        <v>Tara Brooks</v>
      </c>
      <c r="E29" t="str">
        <v>Married</v>
      </c>
      <c r="F29">
        <v>2</v>
      </c>
      <c r="J29" t="str">
        <v>Tara Brooks</v>
      </c>
      <c r="K29" t="str">
        <v>Married</v>
      </c>
      <c r="L29">
        <v>2</v>
      </c>
    </row>
    <row r="30" spans="4:12" x14ac:dyDescent="0.25">
      <c r="D30" s="18" t="str">
        <v>Mary Stevens</v>
      </c>
      <c r="E30" t="str">
        <v>Married</v>
      </c>
      <c r="F30">
        <v>4</v>
      </c>
      <c r="J30" t="str">
        <v>Mary Stevens</v>
      </c>
      <c r="K30" t="str">
        <v>Married</v>
      </c>
      <c r="L30">
        <v>4</v>
      </c>
    </row>
    <row r="31" spans="4:12" x14ac:dyDescent="0.25">
      <c r="D31" s="18" t="str">
        <v>Brad Kelley</v>
      </c>
      <c r="E31" t="str">
        <v>Married</v>
      </c>
      <c r="F31">
        <v>1</v>
      </c>
      <c r="J31" t="str">
        <v>Brad Kelley</v>
      </c>
      <c r="K31" t="str">
        <v>Married</v>
      </c>
      <c r="L31">
        <v>1</v>
      </c>
    </row>
    <row r="32" spans="4:12" x14ac:dyDescent="0.25">
      <c r="D32" s="18" t="str">
        <v>Jared Carter</v>
      </c>
      <c r="E32" t="str">
        <v>Married</v>
      </c>
      <c r="F32">
        <v>2</v>
      </c>
      <c r="J32" t="str">
        <v>Jared Carter</v>
      </c>
      <c r="K32" t="str">
        <v>Married</v>
      </c>
      <c r="L32">
        <v>2</v>
      </c>
    </row>
    <row r="33" spans="4:12" x14ac:dyDescent="0.25">
      <c r="D33" s="18" t="str">
        <v>Maria Andrews</v>
      </c>
      <c r="E33" t="str">
        <v>Married</v>
      </c>
      <c r="F33">
        <v>3</v>
      </c>
      <c r="J33" t="str">
        <v>Maria Andrews</v>
      </c>
      <c r="K33" t="str">
        <v>Married</v>
      </c>
      <c r="L33">
        <v>3</v>
      </c>
    </row>
    <row r="34" spans="4:12" x14ac:dyDescent="0.25">
      <c r="D34" s="18" t="str">
        <v>April Kelley</v>
      </c>
      <c r="E34" t="str">
        <v>Married</v>
      </c>
      <c r="F34">
        <v>3</v>
      </c>
      <c r="J34" t="str">
        <v>April Kelley</v>
      </c>
      <c r="K34" t="str">
        <v>Married</v>
      </c>
      <c r="L34">
        <v>3</v>
      </c>
    </row>
    <row r="35" spans="4:12" x14ac:dyDescent="0.25">
      <c r="D35" s="18" t="str">
        <v>Grace Hall</v>
      </c>
      <c r="E35" t="str">
        <v>Married</v>
      </c>
      <c r="F35">
        <v>4</v>
      </c>
      <c r="J35" t="str">
        <v>Grace Hall</v>
      </c>
      <c r="K35" t="str">
        <v>Married</v>
      </c>
      <c r="L35">
        <v>4</v>
      </c>
    </row>
    <row r="36" spans="4:12" x14ac:dyDescent="0.25">
      <c r="D36" s="18" t="str">
        <v>Nicole Morgan</v>
      </c>
      <c r="E36" t="str">
        <v>Married</v>
      </c>
      <c r="F36">
        <v>0</v>
      </c>
      <c r="J36" t="str">
        <v>Nicole Morgan</v>
      </c>
      <c r="K36" t="str">
        <v>Married</v>
      </c>
      <c r="L36">
        <v>0</v>
      </c>
    </row>
    <row r="37" spans="4:12" x14ac:dyDescent="0.25">
      <c r="D37" s="18" t="str">
        <v>Isabella Perry</v>
      </c>
      <c r="E37" t="str">
        <v>Married</v>
      </c>
      <c r="F37">
        <v>5</v>
      </c>
      <c r="J37" t="str">
        <v>Isabella Perry</v>
      </c>
      <c r="K37" t="str">
        <v>Married</v>
      </c>
      <c r="L37">
        <v>5</v>
      </c>
    </row>
    <row r="38" spans="4:12" x14ac:dyDescent="0.25">
      <c r="D38" s="18" t="str">
        <v>Eric Perkins</v>
      </c>
      <c r="E38" t="str">
        <v>Married</v>
      </c>
      <c r="F38">
        <v>4</v>
      </c>
      <c r="J38" t="str">
        <v>Eric Perkins</v>
      </c>
      <c r="K38" t="str">
        <v>Married</v>
      </c>
      <c r="L38">
        <v>4</v>
      </c>
    </row>
    <row r="39" spans="4:12" x14ac:dyDescent="0.25">
      <c r="D39" s="18" t="str">
        <v>Samantha Clark</v>
      </c>
      <c r="E39" t="str">
        <v>Married</v>
      </c>
      <c r="F39">
        <v>0</v>
      </c>
      <c r="J39" t="str">
        <v>Samantha Clark</v>
      </c>
      <c r="K39" t="str">
        <v>Married</v>
      </c>
      <c r="L39">
        <v>0</v>
      </c>
    </row>
    <row r="40" spans="4:12" x14ac:dyDescent="0.25">
      <c r="D40" s="18" t="str">
        <v>Miranda Douglas</v>
      </c>
      <c r="E40" t="str">
        <v>Married</v>
      </c>
      <c r="F40">
        <v>3</v>
      </c>
      <c r="J40" t="str">
        <v>Miranda Douglas</v>
      </c>
      <c r="K40" t="str">
        <v>Married</v>
      </c>
      <c r="L40">
        <v>3</v>
      </c>
    </row>
    <row r="41" spans="4:12" x14ac:dyDescent="0.25">
      <c r="D41" s="18" t="str">
        <v>Tony Kelley</v>
      </c>
      <c r="E41" t="str">
        <v>Married</v>
      </c>
      <c r="F41">
        <v>2</v>
      </c>
      <c r="J41" t="str">
        <v>Tony Kelley</v>
      </c>
      <c r="K41" t="str">
        <v>Married</v>
      </c>
      <c r="L41">
        <v>2</v>
      </c>
    </row>
    <row r="42" spans="4:12" x14ac:dyDescent="0.25">
      <c r="D42" s="18" t="str">
        <v>Sarah Higgins</v>
      </c>
      <c r="E42" t="str">
        <v>Married</v>
      </c>
      <c r="F42">
        <v>3</v>
      </c>
      <c r="J42" t="str">
        <v>Sarah Higgins</v>
      </c>
      <c r="K42" t="str">
        <v>Married</v>
      </c>
      <c r="L42">
        <v>3</v>
      </c>
    </row>
    <row r="43" spans="4:12" x14ac:dyDescent="0.25">
      <c r="D43" s="18" t="str">
        <v>Alen Cunningham</v>
      </c>
      <c r="E43" t="str">
        <v>Married</v>
      </c>
      <c r="F43">
        <v>1</v>
      </c>
      <c r="J43" t="str">
        <v>Alen Cunningham</v>
      </c>
      <c r="K43" t="str">
        <v>Married</v>
      </c>
      <c r="L43">
        <v>1</v>
      </c>
    </row>
    <row r="44" spans="4:12" x14ac:dyDescent="0.25">
      <c r="D44" s="18" t="str">
        <v>Michael Higgins</v>
      </c>
      <c r="E44" t="str">
        <v>Married</v>
      </c>
      <c r="F44">
        <v>5</v>
      </c>
      <c r="J44" t="str">
        <v>Michael Higgins</v>
      </c>
      <c r="K44" t="str">
        <v>Married</v>
      </c>
      <c r="L44">
        <v>5</v>
      </c>
    </row>
    <row r="45" spans="4:12" x14ac:dyDescent="0.25">
      <c r="D45" s="18" t="str">
        <v>Maria Cole</v>
      </c>
      <c r="E45" t="str">
        <v>Married</v>
      </c>
      <c r="F45">
        <v>0</v>
      </c>
      <c r="J45" t="str">
        <v>Maria Cole</v>
      </c>
      <c r="K45" t="str">
        <v>Married</v>
      </c>
      <c r="L45">
        <v>0</v>
      </c>
    </row>
    <row r="46" spans="4:12" x14ac:dyDescent="0.25">
      <c r="D46" s="18" t="str">
        <v>Tara Campbell</v>
      </c>
      <c r="E46" t="str">
        <v>Married</v>
      </c>
      <c r="F46">
        <v>4</v>
      </c>
      <c r="J46" t="str">
        <v>Tara Campbell</v>
      </c>
      <c r="K46" t="str">
        <v>Married</v>
      </c>
      <c r="L46">
        <v>4</v>
      </c>
    </row>
    <row r="47" spans="4:12" x14ac:dyDescent="0.25">
      <c r="D47" s="18" t="str">
        <v>Valeria Richardson</v>
      </c>
      <c r="E47" t="str">
        <v>Married</v>
      </c>
      <c r="F47">
        <v>0</v>
      </c>
      <c r="J47" t="str">
        <v>Valeria Richardson</v>
      </c>
      <c r="K47" t="str">
        <v>Married</v>
      </c>
      <c r="L47">
        <v>0</v>
      </c>
    </row>
    <row r="48" spans="4:12" x14ac:dyDescent="0.25">
      <c r="D48" s="18" t="str">
        <v>Andrew Reed</v>
      </c>
      <c r="E48" t="str">
        <v>Married</v>
      </c>
      <c r="F48">
        <v>5</v>
      </c>
      <c r="J48" t="str">
        <v>Andrew Reed</v>
      </c>
      <c r="K48" t="str">
        <v>Married</v>
      </c>
      <c r="L48">
        <v>5</v>
      </c>
    </row>
    <row r="49" spans="4:12" x14ac:dyDescent="0.25">
      <c r="D49" s="18" t="str">
        <v>Vincent Hawkins</v>
      </c>
      <c r="E49" t="str">
        <v>Married</v>
      </c>
      <c r="F49">
        <v>5</v>
      </c>
      <c r="J49" t="str">
        <v>Vincent Hawkins</v>
      </c>
      <c r="K49" t="str">
        <v>Married</v>
      </c>
      <c r="L49">
        <v>5</v>
      </c>
    </row>
    <row r="50" spans="4:12" x14ac:dyDescent="0.25">
      <c r="D50" s="18" t="str">
        <v>Stella Ferguson</v>
      </c>
      <c r="E50" t="str">
        <v>Married</v>
      </c>
      <c r="F50">
        <v>5</v>
      </c>
      <c r="J50" t="str">
        <v>Stella Ferguson</v>
      </c>
      <c r="K50" t="str">
        <v>Married</v>
      </c>
      <c r="L50">
        <v>5</v>
      </c>
    </row>
    <row r="51" spans="4:12" x14ac:dyDescent="0.25">
      <c r="D51" s="18" t="str">
        <v>Sienna Foster</v>
      </c>
      <c r="E51" t="str">
        <v>Married</v>
      </c>
      <c r="F51">
        <v>0</v>
      </c>
      <c r="J51" t="str">
        <v>Sienna Foster</v>
      </c>
      <c r="K51" t="str">
        <v>Married</v>
      </c>
      <c r="L51">
        <v>0</v>
      </c>
    </row>
    <row r="52" spans="4:12" x14ac:dyDescent="0.25">
      <c r="D52" s="18" t="str">
        <v>Amanda Brown</v>
      </c>
      <c r="E52" t="str">
        <v>Married</v>
      </c>
      <c r="F52">
        <v>4</v>
      </c>
      <c r="J52" t="str">
        <v>Amanda Brown</v>
      </c>
      <c r="K52" t="str">
        <v>Married</v>
      </c>
      <c r="L52">
        <v>4</v>
      </c>
    </row>
    <row r="53" spans="4:12" x14ac:dyDescent="0.25">
      <c r="D53" s="18" t="str">
        <v>Victor Holmes</v>
      </c>
      <c r="E53" t="str">
        <v>Married</v>
      </c>
      <c r="F53">
        <v>1</v>
      </c>
      <c r="J53" t="str">
        <v>Victor Holmes</v>
      </c>
      <c r="K53" t="str">
        <v>Married</v>
      </c>
      <c r="L53">
        <v>1</v>
      </c>
    </row>
    <row r="54" spans="4:12" x14ac:dyDescent="0.25">
      <c r="D54" s="18" t="str">
        <v>Arthur Murray</v>
      </c>
      <c r="E54" t="str">
        <v>Married</v>
      </c>
      <c r="F54">
        <v>0</v>
      </c>
      <c r="J54" t="str">
        <v>Arthur Murray</v>
      </c>
      <c r="K54" t="str">
        <v>Married</v>
      </c>
      <c r="L54">
        <v>0</v>
      </c>
    </row>
    <row r="55" spans="4:12" x14ac:dyDescent="0.25">
      <c r="D55" s="18" t="str">
        <v>Chloe Perry</v>
      </c>
      <c r="E55" t="str">
        <v>Married</v>
      </c>
      <c r="F55">
        <v>0</v>
      </c>
      <c r="J55" t="str">
        <v>Chloe Perry</v>
      </c>
      <c r="K55" t="str">
        <v>Married</v>
      </c>
      <c r="L55">
        <v>0</v>
      </c>
    </row>
    <row r="56" spans="4:12" x14ac:dyDescent="0.25">
      <c r="D56" s="18" t="str">
        <v>Hailey Cooper</v>
      </c>
      <c r="E56" t="str">
        <v>Married</v>
      </c>
      <c r="F56">
        <v>1</v>
      </c>
      <c r="J56" t="str">
        <v>Hailey Cooper</v>
      </c>
      <c r="K56" t="str">
        <v>Married</v>
      </c>
      <c r="L56">
        <v>1</v>
      </c>
    </row>
    <row r="57" spans="4:12" x14ac:dyDescent="0.25">
      <c r="D57" s="18" t="str">
        <v>Garry Hall</v>
      </c>
      <c r="E57" t="str">
        <v>Married</v>
      </c>
      <c r="F57">
        <v>2</v>
      </c>
      <c r="J57" t="str">
        <v>Garry Hall</v>
      </c>
      <c r="K57" t="str">
        <v>Married</v>
      </c>
      <c r="L57">
        <v>2</v>
      </c>
    </row>
    <row r="58" spans="4:12" x14ac:dyDescent="0.25">
      <c r="D58" s="18" t="str">
        <v>Eric Harper</v>
      </c>
      <c r="E58" t="str">
        <v>Married</v>
      </c>
      <c r="F58">
        <v>5</v>
      </c>
      <c r="J58" t="str">
        <v>Eric Harper</v>
      </c>
      <c r="K58" t="str">
        <v>Married</v>
      </c>
      <c r="L58">
        <v>5</v>
      </c>
    </row>
    <row r="59" spans="4:12" x14ac:dyDescent="0.25">
      <c r="D59" s="18" t="str">
        <v>Edgar Holmes</v>
      </c>
      <c r="E59" t="str">
        <v>Married</v>
      </c>
      <c r="F59">
        <v>2</v>
      </c>
      <c r="J59" t="str">
        <v>Edgar Holmes</v>
      </c>
      <c r="K59" t="str">
        <v>Married</v>
      </c>
      <c r="L59">
        <v>2</v>
      </c>
    </row>
    <row r="60" spans="4:12" x14ac:dyDescent="0.25">
      <c r="D60" s="18" t="str">
        <v>Arthur Murphy</v>
      </c>
      <c r="E60" t="str">
        <v>Married</v>
      </c>
      <c r="F60">
        <v>5</v>
      </c>
      <c r="J60" t="str">
        <v>Arthur Murphy</v>
      </c>
      <c r="K60" t="str">
        <v>Married</v>
      </c>
      <c r="L60">
        <v>5</v>
      </c>
    </row>
    <row r="61" spans="4:12" x14ac:dyDescent="0.25">
      <c r="D61" s="18" t="str">
        <v>Oliver Cameron</v>
      </c>
      <c r="E61" t="str">
        <v>Married</v>
      </c>
      <c r="F61">
        <v>2</v>
      </c>
      <c r="J61" t="str">
        <v>Oliver Cameron</v>
      </c>
      <c r="K61" t="str">
        <v>Married</v>
      </c>
      <c r="L61">
        <v>2</v>
      </c>
    </row>
    <row r="62" spans="4:12" x14ac:dyDescent="0.25">
      <c r="D62" s="18" t="str">
        <v>Amelia Thomas</v>
      </c>
      <c r="E62" t="str">
        <v>Married</v>
      </c>
      <c r="F62">
        <v>4</v>
      </c>
      <c r="J62" t="str">
        <v>Amelia Thomas</v>
      </c>
      <c r="K62" t="str">
        <v>Married</v>
      </c>
      <c r="L62">
        <v>4</v>
      </c>
    </row>
    <row r="63" spans="4:12" x14ac:dyDescent="0.25">
      <c r="D63" s="18" t="str">
        <v>Miranda Tucker</v>
      </c>
      <c r="E63" t="str">
        <v>Married</v>
      </c>
      <c r="F63">
        <v>3</v>
      </c>
      <c r="J63" t="str">
        <v>Miranda Tucker</v>
      </c>
      <c r="K63" t="str">
        <v>Married</v>
      </c>
      <c r="L63">
        <v>3</v>
      </c>
    </row>
    <row r="64" spans="4:12" x14ac:dyDescent="0.25">
      <c r="D64" s="18" t="str">
        <v>Carina Williams</v>
      </c>
      <c r="E64" t="str">
        <v>Married</v>
      </c>
      <c r="F64">
        <v>4</v>
      </c>
      <c r="J64" t="str">
        <v>Carina Williams</v>
      </c>
      <c r="K64" t="str">
        <v>Married</v>
      </c>
      <c r="L64">
        <v>4</v>
      </c>
    </row>
    <row r="65" spans="4:12" x14ac:dyDescent="0.25">
      <c r="D65" s="18" t="str">
        <v>Arianna Hall</v>
      </c>
      <c r="E65" t="str">
        <v>Married</v>
      </c>
      <c r="F65">
        <v>0</v>
      </c>
      <c r="J65" t="str">
        <v>Arianna Hall</v>
      </c>
      <c r="K65" t="str">
        <v>Married</v>
      </c>
      <c r="L65">
        <v>0</v>
      </c>
    </row>
    <row r="66" spans="4:12" x14ac:dyDescent="0.25">
      <c r="D66" s="18" t="str">
        <v>Ryan Watson</v>
      </c>
      <c r="E66" t="str">
        <v>Married</v>
      </c>
      <c r="F66">
        <v>3</v>
      </c>
      <c r="J66" t="str">
        <v>Ryan Watson</v>
      </c>
      <c r="K66" t="str">
        <v>Married</v>
      </c>
      <c r="L66">
        <v>3</v>
      </c>
    </row>
    <row r="67" spans="4:12" x14ac:dyDescent="0.25">
      <c r="D67" s="18" t="str">
        <v>David Bailey</v>
      </c>
      <c r="E67" t="str">
        <v>Married</v>
      </c>
      <c r="F67">
        <v>4</v>
      </c>
      <c r="J67" t="str">
        <v>David Bailey</v>
      </c>
      <c r="K67" t="str">
        <v>Married</v>
      </c>
      <c r="L67">
        <v>4</v>
      </c>
    </row>
    <row r="68" spans="4:12" x14ac:dyDescent="0.25">
      <c r="D68" s="18" t="str">
        <v>Richard Spencer</v>
      </c>
      <c r="E68" t="str">
        <v>Married</v>
      </c>
      <c r="F68">
        <v>3</v>
      </c>
      <c r="J68" t="str">
        <v>Richard Spencer</v>
      </c>
      <c r="K68" t="str">
        <v>Married</v>
      </c>
      <c r="L68">
        <v>3</v>
      </c>
    </row>
    <row r="69" spans="4:12" x14ac:dyDescent="0.25">
      <c r="D69" s="18" t="str">
        <v>Dominik Miller</v>
      </c>
      <c r="E69" t="str">
        <v>Married</v>
      </c>
      <c r="F69">
        <v>2</v>
      </c>
      <c r="J69" t="str">
        <v>Dominik Miller</v>
      </c>
      <c r="K69" t="str">
        <v>Married</v>
      </c>
      <c r="L69">
        <v>2</v>
      </c>
    </row>
    <row r="70" spans="4:12" x14ac:dyDescent="0.25">
      <c r="D70" s="18" t="str">
        <v>Dominik Montgomery</v>
      </c>
      <c r="E70" t="str">
        <v>Married</v>
      </c>
      <c r="F70">
        <v>1</v>
      </c>
      <c r="J70" t="str">
        <v>Dominik Montgomery</v>
      </c>
      <c r="K70" t="str">
        <v>Married</v>
      </c>
      <c r="L70">
        <v>1</v>
      </c>
    </row>
    <row r="71" spans="4:12" x14ac:dyDescent="0.25">
      <c r="D71" s="18" t="str">
        <v>Jack Brooks</v>
      </c>
      <c r="E71" t="str">
        <v>Married</v>
      </c>
      <c r="F71">
        <v>3</v>
      </c>
      <c r="J71" t="str">
        <v>Jack Brooks</v>
      </c>
      <c r="K71" t="str">
        <v>Married</v>
      </c>
      <c r="L71">
        <v>3</v>
      </c>
    </row>
    <row r="72" spans="4:12" x14ac:dyDescent="0.25">
      <c r="D72" s="18" t="str">
        <v>Eddy Stevens</v>
      </c>
      <c r="E72" t="str">
        <v>Married</v>
      </c>
      <c r="F72">
        <v>0</v>
      </c>
      <c r="J72" t="str">
        <v>Eddy Stevens</v>
      </c>
      <c r="K72" t="str">
        <v>Married</v>
      </c>
      <c r="L72">
        <v>0</v>
      </c>
    </row>
    <row r="73" spans="4:12" x14ac:dyDescent="0.25">
      <c r="D73" s="18" t="str">
        <v>Fiona Phillips</v>
      </c>
      <c r="E73" t="str">
        <v>Married</v>
      </c>
      <c r="F73">
        <v>0</v>
      </c>
      <c r="J73" t="str">
        <v>Fiona Phillips</v>
      </c>
      <c r="K73" t="str">
        <v>Married</v>
      </c>
      <c r="L73">
        <v>0</v>
      </c>
    </row>
    <row r="74" spans="4:12" x14ac:dyDescent="0.25">
      <c r="D74" s="18" t="str">
        <v>Ashton Dixon</v>
      </c>
      <c r="E74" t="str">
        <v>Married</v>
      </c>
      <c r="F74">
        <v>4</v>
      </c>
      <c r="J74" t="str">
        <v>Ashton Dixon</v>
      </c>
      <c r="K74" t="str">
        <v>Married</v>
      </c>
      <c r="L74">
        <v>4</v>
      </c>
    </row>
    <row r="75" spans="4:12" x14ac:dyDescent="0.25">
      <c r="D75" s="18" t="str">
        <v>Elian Ferguson</v>
      </c>
      <c r="E75" t="str">
        <v>Married</v>
      </c>
      <c r="F75">
        <v>5</v>
      </c>
      <c r="J75" t="str">
        <v>Elian Ferguson</v>
      </c>
      <c r="K75" t="str">
        <v>Married</v>
      </c>
      <c r="L75">
        <v>5</v>
      </c>
    </row>
    <row r="76" spans="4:12" x14ac:dyDescent="0.25">
      <c r="D76" s="18" t="str">
        <v>Michael Farrell</v>
      </c>
      <c r="E76" t="str">
        <v>Married</v>
      </c>
      <c r="F76">
        <v>1</v>
      </c>
      <c r="J76" t="str">
        <v>Michael Farrell</v>
      </c>
      <c r="K76" t="str">
        <v>Married</v>
      </c>
      <c r="L76">
        <v>1</v>
      </c>
    </row>
    <row r="77" spans="4:12" x14ac:dyDescent="0.25">
      <c r="D77" s="18" t="str">
        <v>Ada Hall</v>
      </c>
      <c r="E77" t="str">
        <v>Married</v>
      </c>
      <c r="F77">
        <v>5</v>
      </c>
      <c r="J77" t="str">
        <v>Ada Hall</v>
      </c>
      <c r="K77" t="str">
        <v>Married</v>
      </c>
      <c r="L77">
        <v>5</v>
      </c>
    </row>
    <row r="78" spans="4:12" x14ac:dyDescent="0.25">
      <c r="D78" s="18" t="str">
        <v>Myra Grant</v>
      </c>
      <c r="E78" t="str">
        <v>Married</v>
      </c>
      <c r="F78">
        <v>2</v>
      </c>
      <c r="J78" t="str">
        <v>Myra Grant</v>
      </c>
      <c r="K78" t="str">
        <v>Married</v>
      </c>
      <c r="L78">
        <v>2</v>
      </c>
    </row>
    <row r="79" spans="4:12" x14ac:dyDescent="0.25">
      <c r="D79" s="18" t="str">
        <v>Hailey Murphy</v>
      </c>
      <c r="E79" t="str">
        <v>Married</v>
      </c>
      <c r="F79">
        <v>1</v>
      </c>
      <c r="J79" t="str">
        <v>Hailey Murphy</v>
      </c>
      <c r="K79" t="str">
        <v>Married</v>
      </c>
      <c r="L79">
        <v>1</v>
      </c>
    </row>
    <row r="80" spans="4:12" x14ac:dyDescent="0.25">
      <c r="D80" s="18" t="str">
        <v>Paige Moore</v>
      </c>
      <c r="E80" t="str">
        <v>Married</v>
      </c>
      <c r="F80">
        <v>4</v>
      </c>
      <c r="J80" t="str">
        <v>Paige Moore</v>
      </c>
      <c r="K80" t="str">
        <v>Married</v>
      </c>
      <c r="L80">
        <v>4</v>
      </c>
    </row>
    <row r="81" spans="4:12" x14ac:dyDescent="0.25">
      <c r="D81" s="18" t="str">
        <v>Agata Evans</v>
      </c>
      <c r="E81" t="str">
        <v>Married</v>
      </c>
      <c r="F81">
        <v>0</v>
      </c>
      <c r="J81" t="str">
        <v>Agata Evans</v>
      </c>
      <c r="K81" t="str">
        <v>Married</v>
      </c>
      <c r="L81">
        <v>0</v>
      </c>
    </row>
    <row r="82" spans="4:12" x14ac:dyDescent="0.25">
      <c r="D82" s="18" t="str">
        <v>Cherry Anderson</v>
      </c>
      <c r="E82" t="str">
        <v>Married</v>
      </c>
      <c r="F82">
        <v>5</v>
      </c>
      <c r="J82" t="str">
        <v>Cherry Anderson</v>
      </c>
      <c r="K82" t="str">
        <v>Married</v>
      </c>
      <c r="L82">
        <v>5</v>
      </c>
    </row>
    <row r="83" spans="4:12" x14ac:dyDescent="0.25">
      <c r="D83" s="18" t="str">
        <v>Freddie Anderson</v>
      </c>
      <c r="E83" t="str">
        <v>Married</v>
      </c>
      <c r="F83">
        <v>4</v>
      </c>
      <c r="J83" t="str">
        <v>Freddie Anderson</v>
      </c>
      <c r="K83" t="str">
        <v>Married</v>
      </c>
      <c r="L83">
        <v>4</v>
      </c>
    </row>
    <row r="84" spans="4:12" x14ac:dyDescent="0.25">
      <c r="D84" s="18" t="str">
        <v>Catherine Hill</v>
      </c>
      <c r="E84" t="str">
        <v>Married</v>
      </c>
      <c r="F84">
        <v>5</v>
      </c>
      <c r="J84" t="str">
        <v>Catherine Hill</v>
      </c>
      <c r="K84" t="str">
        <v>Married</v>
      </c>
      <c r="L84">
        <v>5</v>
      </c>
    </row>
    <row r="85" spans="4:12" x14ac:dyDescent="0.25">
      <c r="D85" s="18" t="str">
        <v>Vivian Edwards</v>
      </c>
      <c r="E85" t="str">
        <v>Married</v>
      </c>
      <c r="F85">
        <v>5</v>
      </c>
      <c r="J85" t="str">
        <v>Vivian Edwards</v>
      </c>
      <c r="K85" t="str">
        <v>Married</v>
      </c>
      <c r="L85">
        <v>5</v>
      </c>
    </row>
    <row r="86" spans="4:12" x14ac:dyDescent="0.25">
      <c r="D86" s="18" t="str">
        <v>Lilianna Morrison</v>
      </c>
      <c r="E86" t="str">
        <v>Married</v>
      </c>
      <c r="F86">
        <v>4</v>
      </c>
      <c r="J86" t="str">
        <v>Lilianna Morrison</v>
      </c>
      <c r="K86" t="str">
        <v>Married</v>
      </c>
      <c r="L86">
        <v>4</v>
      </c>
    </row>
    <row r="87" spans="4:12" x14ac:dyDescent="0.25">
      <c r="D87" s="18" t="str">
        <v>Henry Gray</v>
      </c>
      <c r="E87" t="str">
        <v>Married</v>
      </c>
      <c r="F87">
        <v>5</v>
      </c>
      <c r="J87" t="str">
        <v>Henry Gray</v>
      </c>
      <c r="K87" t="str">
        <v>Married</v>
      </c>
      <c r="L87">
        <v>5</v>
      </c>
    </row>
    <row r="88" spans="4:12" x14ac:dyDescent="0.25">
      <c r="D88" s="18" t="str">
        <v>Dominik Dixon</v>
      </c>
      <c r="E88" t="str">
        <v>Married</v>
      </c>
      <c r="F88">
        <v>0</v>
      </c>
      <c r="J88" t="str">
        <v>Dominik Dixon</v>
      </c>
      <c r="K88" t="str">
        <v>Married</v>
      </c>
      <c r="L88">
        <v>0</v>
      </c>
    </row>
    <row r="89" spans="4:12" x14ac:dyDescent="0.25">
      <c r="D89" s="18" t="str">
        <v>Rebecca Martin</v>
      </c>
      <c r="E89" t="str">
        <v>Married</v>
      </c>
      <c r="F89">
        <v>0</v>
      </c>
      <c r="J89" t="str">
        <v>Rebecca Martin</v>
      </c>
      <c r="K89" t="str">
        <v>Married</v>
      </c>
      <c r="L89">
        <v>0</v>
      </c>
    </row>
    <row r="90" spans="4:12" x14ac:dyDescent="0.25">
      <c r="D90" s="18" t="str">
        <v>Jordan Farrell</v>
      </c>
      <c r="E90" t="str">
        <v>Married</v>
      </c>
      <c r="F90">
        <v>0</v>
      </c>
      <c r="J90" t="str">
        <v>Jordan Farrell</v>
      </c>
      <c r="K90" t="str">
        <v>Married</v>
      </c>
      <c r="L90">
        <v>0</v>
      </c>
    </row>
    <row r="91" spans="4:12" x14ac:dyDescent="0.25">
      <c r="D91" s="18" t="str">
        <v>Honey Grant</v>
      </c>
      <c r="E91" t="str">
        <v>Married</v>
      </c>
      <c r="F91">
        <v>2</v>
      </c>
      <c r="J91" t="str">
        <v>Honey Grant</v>
      </c>
      <c r="K91" t="str">
        <v>Married</v>
      </c>
      <c r="L91">
        <v>2</v>
      </c>
    </row>
    <row r="92" spans="4:12" x14ac:dyDescent="0.25">
      <c r="D92" s="18" t="str">
        <v>Vanessa Wright</v>
      </c>
      <c r="E92" t="str">
        <v>Married</v>
      </c>
      <c r="F92">
        <v>1</v>
      </c>
      <c r="J92" t="str">
        <v>Vanessa Wright</v>
      </c>
      <c r="K92" t="str">
        <v>Married</v>
      </c>
      <c r="L92">
        <v>1</v>
      </c>
    </row>
    <row r="93" spans="4:12" x14ac:dyDescent="0.25">
      <c r="D93" s="18" t="str">
        <v>James Scott</v>
      </c>
      <c r="E93" t="str">
        <v>Married</v>
      </c>
      <c r="F93">
        <v>0</v>
      </c>
      <c r="J93" t="str">
        <v>James Scott</v>
      </c>
      <c r="K93" t="str">
        <v>Married</v>
      </c>
      <c r="L93">
        <v>0</v>
      </c>
    </row>
    <row r="94" spans="4:12" x14ac:dyDescent="0.25">
      <c r="D94" s="18" t="str">
        <v>Audrey Watson</v>
      </c>
      <c r="E94" t="str">
        <v>Married</v>
      </c>
      <c r="F94">
        <v>2</v>
      </c>
      <c r="J94" t="str">
        <v>Audrey Watson</v>
      </c>
      <c r="K94" t="str">
        <v>Married</v>
      </c>
      <c r="L94">
        <v>2</v>
      </c>
    </row>
    <row r="95" spans="4:12" x14ac:dyDescent="0.25">
      <c r="D95" s="18" t="str">
        <v>Roland Murphy</v>
      </c>
      <c r="E95" t="str">
        <v>Married</v>
      </c>
      <c r="F95">
        <v>1</v>
      </c>
      <c r="J95" t="str">
        <v>Roland Murphy</v>
      </c>
      <c r="K95" t="str">
        <v>Married</v>
      </c>
      <c r="L95">
        <v>1</v>
      </c>
    </row>
    <row r="96" spans="4:12" x14ac:dyDescent="0.25">
      <c r="D96" s="18" t="str">
        <v>Alan Dixon</v>
      </c>
      <c r="E96" t="str">
        <v>Married</v>
      </c>
      <c r="F96">
        <v>3</v>
      </c>
      <c r="J96" t="str">
        <v>Alan Dixon</v>
      </c>
      <c r="K96" t="str">
        <v>Married</v>
      </c>
      <c r="L96">
        <v>3</v>
      </c>
    </row>
    <row r="97" spans="4:12" x14ac:dyDescent="0.25">
      <c r="D97" s="18" t="str">
        <v>Lydia Scott</v>
      </c>
      <c r="E97" t="str">
        <v>Married</v>
      </c>
      <c r="F97">
        <v>5</v>
      </c>
      <c r="J97" t="str">
        <v>Lydia Scott</v>
      </c>
      <c r="K97" t="str">
        <v>Married</v>
      </c>
      <c r="L97">
        <v>5</v>
      </c>
    </row>
    <row r="98" spans="4:12" x14ac:dyDescent="0.25">
      <c r="D98" s="18" t="str">
        <v>Reid Farrell</v>
      </c>
      <c r="E98" t="str">
        <v>Married</v>
      </c>
      <c r="F98">
        <v>5</v>
      </c>
      <c r="J98" t="str">
        <v>Reid Farrell</v>
      </c>
      <c r="K98" t="str">
        <v>Married</v>
      </c>
      <c r="L98">
        <v>5</v>
      </c>
    </row>
    <row r="99" spans="4:12" x14ac:dyDescent="0.25">
      <c r="D99" s="18" t="str">
        <v>Garry Jones</v>
      </c>
      <c r="E99" t="str">
        <v>Married</v>
      </c>
      <c r="F99">
        <v>3</v>
      </c>
      <c r="J99" t="str">
        <v>Garry Jones</v>
      </c>
      <c r="K99" t="str">
        <v>Married</v>
      </c>
      <c r="L99">
        <v>3</v>
      </c>
    </row>
    <row r="100" spans="4:12" x14ac:dyDescent="0.25">
      <c r="D100" s="18" t="str">
        <v>Caroline Alexander</v>
      </c>
      <c r="E100" t="str">
        <v>Married</v>
      </c>
      <c r="F100">
        <v>0</v>
      </c>
      <c r="J100" t="str">
        <v>Caroline Alexander</v>
      </c>
      <c r="K100" t="str">
        <v>Married</v>
      </c>
      <c r="L100">
        <v>0</v>
      </c>
    </row>
    <row r="101" spans="4:12" x14ac:dyDescent="0.25">
      <c r="D101" s="18" t="str">
        <v>Savana Kelly</v>
      </c>
      <c r="E101" t="str">
        <v>Married</v>
      </c>
      <c r="F101">
        <v>3</v>
      </c>
      <c r="J101" t="str">
        <v>Savana Kelly</v>
      </c>
      <c r="K101" t="str">
        <v>Married</v>
      </c>
      <c r="L101">
        <v>3</v>
      </c>
    </row>
    <row r="102" spans="4:12" x14ac:dyDescent="0.25">
      <c r="D102" s="18" t="str">
        <v>Luke Evans</v>
      </c>
      <c r="E102" t="str">
        <v>Married</v>
      </c>
      <c r="F102">
        <v>1</v>
      </c>
      <c r="J102" t="str">
        <v>Luke Evans</v>
      </c>
      <c r="K102" t="str">
        <v>Married</v>
      </c>
      <c r="L102">
        <v>1</v>
      </c>
    </row>
    <row r="103" spans="4:12" x14ac:dyDescent="0.25">
      <c r="D103" s="18" t="str">
        <v>Chelsea Perkins</v>
      </c>
      <c r="E103" t="str">
        <v>Married</v>
      </c>
      <c r="F103">
        <v>2</v>
      </c>
      <c r="J103" t="str">
        <v>Chelsea Perkins</v>
      </c>
      <c r="K103" t="str">
        <v>Married</v>
      </c>
      <c r="L103">
        <v>2</v>
      </c>
    </row>
    <row r="104" spans="4:12" x14ac:dyDescent="0.25">
      <c r="D104" s="18" t="str">
        <v>Cadie Taylor</v>
      </c>
      <c r="E104" t="str">
        <v>Married</v>
      </c>
      <c r="F104">
        <v>2</v>
      </c>
      <c r="J104" t="str">
        <v>Cadie Taylor</v>
      </c>
      <c r="K104" t="str">
        <v>Married</v>
      </c>
      <c r="L104">
        <v>2</v>
      </c>
    </row>
    <row r="105" spans="4:12" x14ac:dyDescent="0.25">
      <c r="D105" s="18" t="str">
        <v>Byron Morris</v>
      </c>
      <c r="E105" t="str">
        <v>Married</v>
      </c>
      <c r="F105">
        <v>5</v>
      </c>
      <c r="J105" t="str">
        <v>Byron Morris</v>
      </c>
      <c r="K105" t="str">
        <v>Married</v>
      </c>
      <c r="L105">
        <v>5</v>
      </c>
    </row>
    <row r="106" spans="4:12" x14ac:dyDescent="0.25">
      <c r="D106" s="18" t="str">
        <v>Arthur Dixon</v>
      </c>
      <c r="E106" t="str">
        <v>Married</v>
      </c>
      <c r="F106">
        <v>2</v>
      </c>
      <c r="J106" t="str">
        <v>Arthur Dixon</v>
      </c>
      <c r="K106" t="str">
        <v>Married</v>
      </c>
      <c r="L106">
        <v>2</v>
      </c>
    </row>
    <row r="107" spans="4:12" x14ac:dyDescent="0.25">
      <c r="D107" s="18" t="str">
        <v>Arianna Hill</v>
      </c>
      <c r="E107" t="str">
        <v>Married</v>
      </c>
      <c r="F107">
        <v>4</v>
      </c>
      <c r="J107" t="str">
        <v>Arianna Hill</v>
      </c>
      <c r="K107" t="str">
        <v>Married</v>
      </c>
      <c r="L107">
        <v>4</v>
      </c>
    </row>
    <row r="108" spans="4:12" x14ac:dyDescent="0.25">
      <c r="D108" s="18" t="str">
        <v>Paul Ferguson</v>
      </c>
      <c r="E108" t="str">
        <v>Married</v>
      </c>
      <c r="F108">
        <v>4</v>
      </c>
      <c r="J108" t="str">
        <v>Paul Ferguson</v>
      </c>
      <c r="K108" t="str">
        <v>Married</v>
      </c>
      <c r="L108">
        <v>4</v>
      </c>
    </row>
    <row r="109" spans="4:12" x14ac:dyDescent="0.25">
      <c r="D109" s="18" t="str">
        <v>Adele Watson</v>
      </c>
      <c r="E109" t="str">
        <v>Married</v>
      </c>
      <c r="F109">
        <v>1</v>
      </c>
      <c r="J109" t="str">
        <v>Adele Watson</v>
      </c>
      <c r="K109" t="str">
        <v>Married</v>
      </c>
      <c r="L109">
        <v>1</v>
      </c>
    </row>
    <row r="110" spans="4:12" x14ac:dyDescent="0.25">
      <c r="D110" s="18" t="str">
        <v>Rubie Watson</v>
      </c>
      <c r="E110" t="str">
        <v>Married</v>
      </c>
      <c r="F110">
        <v>0</v>
      </c>
      <c r="J110" t="str">
        <v>Rubie Watson</v>
      </c>
      <c r="K110" t="str">
        <v>Married</v>
      </c>
      <c r="L110">
        <v>0</v>
      </c>
    </row>
    <row r="111" spans="4:12" x14ac:dyDescent="0.25">
      <c r="D111" s="18" t="str">
        <v>Arianna Adams</v>
      </c>
      <c r="E111" t="str">
        <v>Married</v>
      </c>
      <c r="F111">
        <v>2</v>
      </c>
      <c r="J111" t="str">
        <v>Arianna Adams</v>
      </c>
      <c r="K111" t="str">
        <v>Married</v>
      </c>
      <c r="L111">
        <v>2</v>
      </c>
    </row>
    <row r="112" spans="4:12" x14ac:dyDescent="0.25">
      <c r="D112" s="18" t="str">
        <v>Brianna Fowler</v>
      </c>
      <c r="E112" t="str">
        <v>Married</v>
      </c>
      <c r="F112">
        <v>1</v>
      </c>
      <c r="J112" t="str">
        <v>Brianna Fowler</v>
      </c>
      <c r="K112" t="str">
        <v>Married</v>
      </c>
      <c r="L112">
        <v>1</v>
      </c>
    </row>
    <row r="113" spans="4:12" x14ac:dyDescent="0.25">
      <c r="D113" s="18" t="str">
        <v>Jared Wright</v>
      </c>
      <c r="E113" t="str">
        <v>Married</v>
      </c>
      <c r="F113">
        <v>0</v>
      </c>
      <c r="J113" t="str">
        <v>Jared Wright</v>
      </c>
      <c r="K113" t="str">
        <v>Married</v>
      </c>
      <c r="L113">
        <v>0</v>
      </c>
    </row>
    <row r="114" spans="4:12" x14ac:dyDescent="0.25">
      <c r="D114" s="18" t="str">
        <v>Brad Allen</v>
      </c>
      <c r="E114" t="str">
        <v>Married</v>
      </c>
      <c r="F114">
        <v>3</v>
      </c>
      <c r="J114" t="str">
        <v>Brad Allen</v>
      </c>
      <c r="K114" t="str">
        <v>Married</v>
      </c>
      <c r="L114">
        <v>3</v>
      </c>
    </row>
    <row r="115" spans="4:12" x14ac:dyDescent="0.25">
      <c r="D115" s="18" t="str">
        <v>Dexter Tucker</v>
      </c>
      <c r="E115" t="str">
        <v>Married</v>
      </c>
      <c r="F115">
        <v>2</v>
      </c>
      <c r="J115" t="str">
        <v>Dexter Tucker</v>
      </c>
      <c r="K115" t="str">
        <v>Married</v>
      </c>
      <c r="L115">
        <v>2</v>
      </c>
    </row>
    <row r="116" spans="4:12" x14ac:dyDescent="0.25">
      <c r="D116" s="18" t="str">
        <v>Leonardo Nelson</v>
      </c>
      <c r="E116" t="str">
        <v>Married</v>
      </c>
      <c r="F116">
        <v>3</v>
      </c>
      <c r="J116" t="str">
        <v>Leonardo Nelson</v>
      </c>
      <c r="K116" t="str">
        <v>Married</v>
      </c>
      <c r="L116">
        <v>3</v>
      </c>
    </row>
    <row r="117" spans="4:12" x14ac:dyDescent="0.25">
      <c r="D117" s="18" t="str">
        <v>Maddie Murray</v>
      </c>
      <c r="E117" t="str">
        <v>Married</v>
      </c>
      <c r="F117">
        <v>4</v>
      </c>
      <c r="J117" t="str">
        <v>Maddie Murray</v>
      </c>
      <c r="K117" t="str">
        <v>Married</v>
      </c>
      <c r="L117">
        <v>4</v>
      </c>
    </row>
    <row r="118" spans="4:12" x14ac:dyDescent="0.25">
      <c r="D118" s="18" t="str">
        <v>Roland Cunningham</v>
      </c>
      <c r="E118" t="str">
        <v>Married</v>
      </c>
      <c r="F118">
        <v>5</v>
      </c>
      <c r="J118" t="str">
        <v>Roland Cunningham</v>
      </c>
      <c r="K118" t="str">
        <v>Married</v>
      </c>
      <c r="L118">
        <v>5</v>
      </c>
    </row>
    <row r="119" spans="4:12" x14ac:dyDescent="0.25">
      <c r="D119" s="18" t="str">
        <v>Vincent Jones</v>
      </c>
      <c r="E119" t="str">
        <v>Married</v>
      </c>
      <c r="F119">
        <v>3</v>
      </c>
      <c r="J119" t="str">
        <v>Vincent Jones</v>
      </c>
      <c r="K119" t="str">
        <v>Married</v>
      </c>
      <c r="L119">
        <v>3</v>
      </c>
    </row>
    <row r="120" spans="4:12" x14ac:dyDescent="0.25">
      <c r="D120" s="18" t="str">
        <v>Marcus Miller</v>
      </c>
      <c r="E120" t="str">
        <v>Married</v>
      </c>
      <c r="F120">
        <v>5</v>
      </c>
      <c r="J120" t="str">
        <v>Marcus Miller</v>
      </c>
      <c r="K120" t="str">
        <v>Married</v>
      </c>
      <c r="L120">
        <v>5</v>
      </c>
    </row>
    <row r="121" spans="4:12" x14ac:dyDescent="0.25">
      <c r="D121" s="18" t="str">
        <v>Lilianna Hawkins</v>
      </c>
      <c r="E121" t="str">
        <v>Married</v>
      </c>
      <c r="F121">
        <v>0</v>
      </c>
      <c r="J121" t="str">
        <v>Lilianna Hawkins</v>
      </c>
      <c r="K121" t="str">
        <v>Married</v>
      </c>
      <c r="L121">
        <v>0</v>
      </c>
    </row>
    <row r="122" spans="4:12" x14ac:dyDescent="0.25">
      <c r="D122" s="18" t="str">
        <v>Ada Perkins</v>
      </c>
      <c r="E122" t="str">
        <v>Married</v>
      </c>
      <c r="F122">
        <v>0</v>
      </c>
      <c r="J122" t="str">
        <v>Ada Perkins</v>
      </c>
      <c r="K122" t="str">
        <v>Married</v>
      </c>
      <c r="L122">
        <v>0</v>
      </c>
    </row>
    <row r="123" spans="4:12" x14ac:dyDescent="0.25">
      <c r="D123" s="18" t="str">
        <v>Kelsey Warren</v>
      </c>
      <c r="E123" t="str">
        <v>Married</v>
      </c>
      <c r="F123">
        <v>1</v>
      </c>
      <c r="J123" t="str">
        <v>Kelsey Warren</v>
      </c>
      <c r="K123" t="str">
        <v>Married</v>
      </c>
      <c r="L123">
        <v>1</v>
      </c>
    </row>
    <row r="124" spans="4:12" x14ac:dyDescent="0.25">
      <c r="D124" s="18" t="str">
        <v>Jordan Myers</v>
      </c>
      <c r="E124" t="str">
        <v>Married</v>
      </c>
      <c r="F124">
        <v>5</v>
      </c>
      <c r="J124" t="str">
        <v>Jordan Myers</v>
      </c>
      <c r="K124" t="str">
        <v>Married</v>
      </c>
      <c r="L124">
        <v>5</v>
      </c>
    </row>
    <row r="125" spans="4:12" x14ac:dyDescent="0.25">
      <c r="D125" s="18" t="str">
        <v>Belinda Casey</v>
      </c>
      <c r="E125" t="str">
        <v>Married</v>
      </c>
      <c r="F125">
        <v>2</v>
      </c>
      <c r="J125" t="str">
        <v>Belinda Casey</v>
      </c>
      <c r="K125" t="str">
        <v>Married</v>
      </c>
      <c r="L125">
        <v>2</v>
      </c>
    </row>
    <row r="126" spans="4:12" x14ac:dyDescent="0.25">
      <c r="D126" s="18" t="str">
        <v>Ryan Grant</v>
      </c>
      <c r="E126" t="str">
        <v>Married</v>
      </c>
      <c r="F126">
        <v>2</v>
      </c>
      <c r="J126" t="str">
        <v>Ryan Grant</v>
      </c>
      <c r="K126" t="str">
        <v>Married</v>
      </c>
      <c r="L126">
        <v>2</v>
      </c>
    </row>
    <row r="127" spans="4:12" x14ac:dyDescent="0.25">
      <c r="D127" s="18" t="str">
        <v>Julian Farrell</v>
      </c>
      <c r="E127" t="str">
        <v>Married</v>
      </c>
      <c r="F127">
        <v>2</v>
      </c>
      <c r="J127" t="str">
        <v>Julian Farrell</v>
      </c>
      <c r="K127" t="str">
        <v>Married</v>
      </c>
      <c r="L127">
        <v>2</v>
      </c>
    </row>
    <row r="128" spans="4:12" x14ac:dyDescent="0.25">
      <c r="D128" s="18" t="str">
        <v>Alexander Tucker</v>
      </c>
      <c r="E128" t="str">
        <v>Married</v>
      </c>
      <c r="F128">
        <v>0</v>
      </c>
      <c r="J128" t="str">
        <v>Alexander Tucker</v>
      </c>
      <c r="K128" t="str">
        <v>Married</v>
      </c>
      <c r="L128">
        <v>0</v>
      </c>
    </row>
    <row r="129" spans="4:12" x14ac:dyDescent="0.25">
      <c r="D129" s="18" t="str">
        <v>Alexia Carroll</v>
      </c>
      <c r="E129" t="str">
        <v>Married</v>
      </c>
      <c r="F129">
        <v>2</v>
      </c>
      <c r="J129" t="str">
        <v>Alexia Carroll</v>
      </c>
      <c r="K129" t="str">
        <v>Married</v>
      </c>
      <c r="L129">
        <v>2</v>
      </c>
    </row>
    <row r="130" spans="4:12" x14ac:dyDescent="0.25">
      <c r="D130" s="18" t="str">
        <v>Ryan Richards</v>
      </c>
      <c r="E130" t="str">
        <v>Married</v>
      </c>
      <c r="F130">
        <v>2</v>
      </c>
      <c r="J130" t="str">
        <v>Ryan Richards</v>
      </c>
      <c r="K130" t="str">
        <v>Married</v>
      </c>
      <c r="L130">
        <v>2</v>
      </c>
    </row>
    <row r="131" spans="4:12" x14ac:dyDescent="0.25">
      <c r="D131" s="18" t="str">
        <v>Agata Dixon</v>
      </c>
      <c r="E131" t="str">
        <v>Married</v>
      </c>
      <c r="F131">
        <v>4</v>
      </c>
      <c r="J131" t="str">
        <v>Agata Dixon</v>
      </c>
      <c r="K131" t="str">
        <v>Married</v>
      </c>
      <c r="L131">
        <v>4</v>
      </c>
    </row>
    <row r="132" spans="4:12" x14ac:dyDescent="0.25">
      <c r="D132" s="18" t="str">
        <v>Jordan Chapman</v>
      </c>
      <c r="E132" t="str">
        <v>Married</v>
      </c>
      <c r="F132">
        <v>5</v>
      </c>
      <c r="J132" t="str">
        <v>Jordan Chapman</v>
      </c>
      <c r="K132" t="str">
        <v>Married</v>
      </c>
      <c r="L132">
        <v>5</v>
      </c>
    </row>
    <row r="133" spans="4:12" x14ac:dyDescent="0.25">
      <c r="D133" s="18" t="str">
        <v>Kelvin Campbell</v>
      </c>
      <c r="E133" t="str">
        <v>Married</v>
      </c>
      <c r="F133">
        <v>1</v>
      </c>
      <c r="J133" t="str">
        <v>Kelvin Campbell</v>
      </c>
      <c r="K133" t="str">
        <v>Married</v>
      </c>
      <c r="L133">
        <v>1</v>
      </c>
    </row>
    <row r="134" spans="4:12" x14ac:dyDescent="0.25">
      <c r="D134" s="18" t="str">
        <v>Alan Payne</v>
      </c>
      <c r="E134" t="str">
        <v>Married</v>
      </c>
      <c r="F134">
        <v>1</v>
      </c>
      <c r="J134" t="str">
        <v>Alan Payne</v>
      </c>
      <c r="K134" t="str">
        <v>Married</v>
      </c>
      <c r="L134">
        <v>1</v>
      </c>
    </row>
    <row r="135" spans="4:12" x14ac:dyDescent="0.25">
      <c r="D135" s="18" t="str">
        <v>Jared Barnes</v>
      </c>
      <c r="E135" t="str">
        <v>Married</v>
      </c>
      <c r="F135">
        <v>3</v>
      </c>
      <c r="J135" t="str">
        <v>Jared Barnes</v>
      </c>
      <c r="K135" t="str">
        <v>Married</v>
      </c>
      <c r="L135">
        <v>3</v>
      </c>
    </row>
    <row r="136" spans="4:12" x14ac:dyDescent="0.25">
      <c r="D136" s="18" t="str">
        <v>Spike Richardson</v>
      </c>
      <c r="E136" t="str">
        <v>Married</v>
      </c>
      <c r="F136">
        <v>1</v>
      </c>
      <c r="J136" t="str">
        <v>Spike Richardson</v>
      </c>
      <c r="K136" t="str">
        <v>Married</v>
      </c>
      <c r="L136">
        <v>1</v>
      </c>
    </row>
    <row r="137" spans="4:12" x14ac:dyDescent="0.25">
      <c r="D137" s="18" t="str">
        <v>Marcus Chapman</v>
      </c>
      <c r="E137" t="str">
        <v>Married</v>
      </c>
      <c r="F137">
        <v>5</v>
      </c>
      <c r="J137" t="str">
        <v>Marcus Chapman</v>
      </c>
      <c r="K137" t="str">
        <v>Married</v>
      </c>
      <c r="L137">
        <v>5</v>
      </c>
    </row>
    <row r="138" spans="4:12" x14ac:dyDescent="0.25">
      <c r="D138" s="18" t="str">
        <v>Fiona Moore</v>
      </c>
      <c r="E138" t="str">
        <v>Married</v>
      </c>
      <c r="F138">
        <v>1</v>
      </c>
      <c r="J138" t="str">
        <v>Fiona Moore</v>
      </c>
      <c r="K138" t="str">
        <v>Married</v>
      </c>
      <c r="L138">
        <v>1</v>
      </c>
    </row>
    <row r="139" spans="4:12" x14ac:dyDescent="0.25">
      <c r="D139" s="18" t="str">
        <v>Andrew Sullivan</v>
      </c>
      <c r="E139" t="str">
        <v>Married</v>
      </c>
      <c r="F139">
        <v>0</v>
      </c>
      <c r="J139" t="str">
        <v>Andrew Sullivan</v>
      </c>
      <c r="K139" t="str">
        <v>Married</v>
      </c>
      <c r="L139">
        <v>0</v>
      </c>
    </row>
    <row r="140" spans="4:12" x14ac:dyDescent="0.25">
      <c r="D140" s="18" t="str">
        <v>Maximilian Crawford</v>
      </c>
      <c r="E140" t="str">
        <v>Married</v>
      </c>
      <c r="F140">
        <v>3</v>
      </c>
      <c r="J140" t="str">
        <v>Maximilian Crawford</v>
      </c>
      <c r="K140" t="str">
        <v>Married</v>
      </c>
      <c r="L140">
        <v>3</v>
      </c>
    </row>
    <row r="141" spans="4:12" x14ac:dyDescent="0.25">
      <c r="D141" s="18" t="str">
        <v>Robert Campbell</v>
      </c>
      <c r="E141" t="str">
        <v>Married</v>
      </c>
      <c r="F141">
        <v>2</v>
      </c>
      <c r="J141" t="str">
        <v>Robert Campbell</v>
      </c>
      <c r="K141" t="str">
        <v>Married</v>
      </c>
      <c r="L141">
        <v>2</v>
      </c>
    </row>
    <row r="142" spans="4:12" x14ac:dyDescent="0.25">
      <c r="D142" s="18" t="str">
        <v>Jared Hunt</v>
      </c>
      <c r="E142" t="str">
        <v>Married</v>
      </c>
      <c r="F142">
        <v>5</v>
      </c>
      <c r="J142" t="str">
        <v>Jared Hunt</v>
      </c>
      <c r="K142" t="str">
        <v>Married</v>
      </c>
      <c r="L142">
        <v>5</v>
      </c>
    </row>
    <row r="143" spans="4:12" x14ac:dyDescent="0.25">
      <c r="D143" s="18" t="str">
        <v>Kelvin Warren</v>
      </c>
      <c r="E143" t="str">
        <v>Married</v>
      </c>
      <c r="F143">
        <v>4</v>
      </c>
      <c r="J143" t="str">
        <v>Kelvin Warren</v>
      </c>
      <c r="K143" t="str">
        <v>Married</v>
      </c>
      <c r="L143">
        <v>4</v>
      </c>
    </row>
    <row r="144" spans="4:12" x14ac:dyDescent="0.25">
      <c r="D144" s="18" t="str">
        <v>Alissa Sullivan</v>
      </c>
      <c r="E144" t="str">
        <v>Married</v>
      </c>
      <c r="F144">
        <v>1</v>
      </c>
      <c r="J144" t="str">
        <v>Alissa Sullivan</v>
      </c>
      <c r="K144" t="str">
        <v>Married</v>
      </c>
      <c r="L144">
        <v>1</v>
      </c>
    </row>
    <row r="145" spans="4:12" x14ac:dyDescent="0.25">
      <c r="D145" s="18" t="str">
        <v>Myra Barrett</v>
      </c>
      <c r="E145" t="str">
        <v>Married</v>
      </c>
      <c r="F145">
        <v>3</v>
      </c>
      <c r="J145" t="str">
        <v>Myra Barrett</v>
      </c>
      <c r="K145" t="str">
        <v>Married</v>
      </c>
      <c r="L145">
        <v>3</v>
      </c>
    </row>
    <row r="146" spans="4:12" x14ac:dyDescent="0.25">
      <c r="D146" s="18" t="str">
        <v>Cadie Harris</v>
      </c>
      <c r="E146" t="str">
        <v>Married</v>
      </c>
      <c r="F146">
        <v>4</v>
      </c>
      <c r="J146" t="str">
        <v>Cadie Harris</v>
      </c>
      <c r="K146" t="str">
        <v>Married</v>
      </c>
      <c r="L146">
        <v>4</v>
      </c>
    </row>
    <row r="147" spans="4:12" x14ac:dyDescent="0.25">
      <c r="D147" s="18" t="str">
        <v>April Morris</v>
      </c>
      <c r="E147" t="str">
        <v>Married</v>
      </c>
      <c r="F147">
        <v>5</v>
      </c>
      <c r="J147" t="str">
        <v>April Morris</v>
      </c>
      <c r="K147" t="str">
        <v>Married</v>
      </c>
      <c r="L147">
        <v>5</v>
      </c>
    </row>
    <row r="148" spans="4:12" x14ac:dyDescent="0.25">
      <c r="D148" s="18" t="str">
        <v>Brianna Perry</v>
      </c>
      <c r="E148" t="str">
        <v>Married</v>
      </c>
      <c r="F148">
        <v>2</v>
      </c>
      <c r="J148" t="str">
        <v>Brianna Perry</v>
      </c>
      <c r="K148" t="str">
        <v>Married</v>
      </c>
      <c r="L148">
        <v>2</v>
      </c>
    </row>
    <row r="149" spans="4:12" x14ac:dyDescent="0.25">
      <c r="D149" s="18" t="str">
        <v>Arianna Elliott</v>
      </c>
      <c r="E149" t="str">
        <v>Married</v>
      </c>
      <c r="F149">
        <v>2</v>
      </c>
      <c r="J149" t="str">
        <v>Arianna Elliott</v>
      </c>
      <c r="K149" t="str">
        <v>Married</v>
      </c>
      <c r="L149">
        <v>2</v>
      </c>
    </row>
    <row r="150" spans="4:12" x14ac:dyDescent="0.25">
      <c r="D150" s="18" t="str">
        <v>Preston Williams</v>
      </c>
      <c r="E150" t="str">
        <v>Married</v>
      </c>
      <c r="F150">
        <v>0</v>
      </c>
      <c r="J150" t="str">
        <v>Preston Williams</v>
      </c>
      <c r="K150" t="str">
        <v>Married</v>
      </c>
      <c r="L150">
        <v>0</v>
      </c>
    </row>
    <row r="151" spans="4:12" x14ac:dyDescent="0.25">
      <c r="D151" s="18" t="str">
        <v>Violet Cooper</v>
      </c>
      <c r="E151" t="str">
        <v>Married</v>
      </c>
      <c r="F151">
        <v>2</v>
      </c>
      <c r="J151" t="str">
        <v>Violet Cooper</v>
      </c>
      <c r="K151" t="str">
        <v>Married</v>
      </c>
      <c r="L151">
        <v>2</v>
      </c>
    </row>
    <row r="152" spans="4:12" x14ac:dyDescent="0.25">
      <c r="D152" s="18" t="str">
        <v>Alina Parker</v>
      </c>
      <c r="E152" t="str">
        <v>Married</v>
      </c>
      <c r="F152">
        <v>4</v>
      </c>
      <c r="J152" t="str">
        <v>Alina Parker</v>
      </c>
      <c r="K152" t="str">
        <v>Married</v>
      </c>
      <c r="L152">
        <v>4</v>
      </c>
    </row>
    <row r="153" spans="4:12" x14ac:dyDescent="0.25">
      <c r="D153" s="18" t="str">
        <v>Paul Harrison</v>
      </c>
      <c r="E153" t="str">
        <v>Married</v>
      </c>
      <c r="F153">
        <v>4</v>
      </c>
      <c r="J153" t="str">
        <v>Paul Harrison</v>
      </c>
      <c r="K153" t="str">
        <v>Married</v>
      </c>
      <c r="L153">
        <v>4</v>
      </c>
    </row>
    <row r="154" spans="4:12" x14ac:dyDescent="0.25">
      <c r="D154" s="18" t="str">
        <v>Ryan Parker</v>
      </c>
      <c r="E154" t="str">
        <v>Married</v>
      </c>
      <c r="F154">
        <v>5</v>
      </c>
      <c r="J154" t="str">
        <v>Ryan Parker</v>
      </c>
      <c r="K154" t="str">
        <v>Married</v>
      </c>
      <c r="L154">
        <v>5</v>
      </c>
    </row>
    <row r="155" spans="4:12" x14ac:dyDescent="0.25">
      <c r="D155" s="18" t="str">
        <v>Elise Tucker</v>
      </c>
      <c r="E155" t="str">
        <v>Married</v>
      </c>
      <c r="F155">
        <v>5</v>
      </c>
      <c r="J155" t="str">
        <v>Elise Tucker</v>
      </c>
      <c r="K155" t="str">
        <v>Married</v>
      </c>
      <c r="L155">
        <v>5</v>
      </c>
    </row>
    <row r="156" spans="4:12" x14ac:dyDescent="0.25">
      <c r="D156" s="18" t="str">
        <v>Eleanor Thomas</v>
      </c>
      <c r="E156" t="str">
        <v>Married</v>
      </c>
      <c r="F156">
        <v>0</v>
      </c>
      <c r="J156" t="str">
        <v>Eleanor Thomas</v>
      </c>
      <c r="K156" t="str">
        <v>Married</v>
      </c>
      <c r="L156">
        <v>0</v>
      </c>
    </row>
    <row r="157" spans="4:12" x14ac:dyDescent="0.25">
      <c r="D157" s="18" t="str">
        <v>Maya Mitchell</v>
      </c>
      <c r="E157" t="str">
        <v>Married</v>
      </c>
      <c r="F157">
        <v>3</v>
      </c>
      <c r="J157" t="str">
        <v>Maya Mitchell</v>
      </c>
      <c r="K157" t="str">
        <v>Married</v>
      </c>
      <c r="L157">
        <v>3</v>
      </c>
    </row>
    <row r="158" spans="4:12" x14ac:dyDescent="0.25">
      <c r="D158" s="18" t="str">
        <v>Sawyer Wright</v>
      </c>
      <c r="E158" t="str">
        <v>Married</v>
      </c>
      <c r="F158">
        <v>4</v>
      </c>
      <c r="J158" t="str">
        <v>Sawyer Wright</v>
      </c>
      <c r="K158" t="str">
        <v>Married</v>
      </c>
      <c r="L158">
        <v>4</v>
      </c>
    </row>
    <row r="159" spans="4:12" x14ac:dyDescent="0.25">
      <c r="D159" s="18" t="str">
        <v>Jared Perkins</v>
      </c>
      <c r="E159" t="str">
        <v>Married</v>
      </c>
      <c r="F159">
        <v>1</v>
      </c>
      <c r="J159" t="str">
        <v>Jared Perkins</v>
      </c>
      <c r="K159" t="str">
        <v>Married</v>
      </c>
      <c r="L159">
        <v>1</v>
      </c>
    </row>
    <row r="160" spans="4:12" x14ac:dyDescent="0.25">
      <c r="D160" s="18" t="str">
        <v>Darcy Jones</v>
      </c>
      <c r="E160" t="str">
        <v>Married</v>
      </c>
      <c r="F160">
        <v>5</v>
      </c>
      <c r="J160" t="str">
        <v>Darcy Jones</v>
      </c>
      <c r="K160" t="str">
        <v>Married</v>
      </c>
      <c r="L160">
        <v>5</v>
      </c>
    </row>
    <row r="161" spans="4:12" x14ac:dyDescent="0.25">
      <c r="D161" s="18" t="str">
        <v>Lilianna Bailey</v>
      </c>
      <c r="E161" t="str">
        <v>Married</v>
      </c>
      <c r="F161">
        <v>3</v>
      </c>
      <c r="J161" t="str">
        <v>Lilianna Bailey</v>
      </c>
      <c r="K161" t="str">
        <v>Married</v>
      </c>
      <c r="L161">
        <v>3</v>
      </c>
    </row>
    <row r="162" spans="4:12" x14ac:dyDescent="0.25">
      <c r="D162" s="18" t="str">
        <v>Vincent Armstrong</v>
      </c>
      <c r="E162" t="str">
        <v>Married</v>
      </c>
      <c r="F162">
        <v>0</v>
      </c>
      <c r="J162" t="str">
        <v>Vincent Armstrong</v>
      </c>
      <c r="K162" t="str">
        <v>Married</v>
      </c>
      <c r="L162">
        <v>0</v>
      </c>
    </row>
    <row r="163" spans="4:12" x14ac:dyDescent="0.25">
      <c r="D163" s="18" t="str">
        <v>Kelvin Edwards</v>
      </c>
      <c r="E163" t="str">
        <v>Married</v>
      </c>
      <c r="F163">
        <v>3</v>
      </c>
      <c r="J163" t="str">
        <v>Kelvin Edwards</v>
      </c>
      <c r="K163" t="str">
        <v>Married</v>
      </c>
      <c r="L163">
        <v>3</v>
      </c>
    </row>
    <row r="164" spans="4:12" x14ac:dyDescent="0.25">
      <c r="D164" s="18" t="str">
        <v>Julian Watson</v>
      </c>
      <c r="E164" t="str">
        <v>Married</v>
      </c>
      <c r="F164">
        <v>5</v>
      </c>
      <c r="J164" t="str">
        <v>Julian Watson</v>
      </c>
      <c r="K164" t="str">
        <v>Married</v>
      </c>
      <c r="L164">
        <v>5</v>
      </c>
    </row>
    <row r="165" spans="4:12" x14ac:dyDescent="0.25">
      <c r="D165" s="18" t="str">
        <v>Sienna Howard</v>
      </c>
      <c r="E165" t="str">
        <v>Married</v>
      </c>
      <c r="F165">
        <v>2</v>
      </c>
      <c r="J165" t="str">
        <v>Sienna Howard</v>
      </c>
      <c r="K165" t="str">
        <v>Married</v>
      </c>
      <c r="L165">
        <v>2</v>
      </c>
    </row>
    <row r="166" spans="4:12" x14ac:dyDescent="0.25">
      <c r="D166" s="18" t="str">
        <v>Rubie Montgomery</v>
      </c>
      <c r="E166" t="str">
        <v>Married</v>
      </c>
      <c r="F166">
        <v>4</v>
      </c>
      <c r="J166" t="str">
        <v>Rubie Montgomery</v>
      </c>
      <c r="K166" t="str">
        <v>Married</v>
      </c>
      <c r="L166">
        <v>4</v>
      </c>
    </row>
    <row r="167" spans="4:12" x14ac:dyDescent="0.25">
      <c r="D167" s="18" t="str">
        <v>Jessica Cameron</v>
      </c>
      <c r="E167" t="str">
        <v>Married</v>
      </c>
      <c r="F167">
        <v>1</v>
      </c>
      <c r="J167" t="str">
        <v>Jessica Cameron</v>
      </c>
      <c r="K167" t="str">
        <v>Married</v>
      </c>
      <c r="L167">
        <v>1</v>
      </c>
    </row>
    <row r="168" spans="4:12" x14ac:dyDescent="0.25">
      <c r="D168" s="18" t="str">
        <v>Ashton Miller</v>
      </c>
      <c r="E168" t="str">
        <v>Married</v>
      </c>
      <c r="F168">
        <v>1</v>
      </c>
      <c r="J168" t="str">
        <v>Ashton Miller</v>
      </c>
      <c r="K168" t="str">
        <v>Married</v>
      </c>
      <c r="L168">
        <v>1</v>
      </c>
    </row>
    <row r="169" spans="4:12" x14ac:dyDescent="0.25">
      <c r="D169" s="18" t="str">
        <v>Victoria Foster</v>
      </c>
      <c r="E169" t="str">
        <v>Married</v>
      </c>
      <c r="F169">
        <v>3</v>
      </c>
      <c r="J169" t="str">
        <v>Victoria Foster</v>
      </c>
      <c r="K169" t="str">
        <v>Married</v>
      </c>
      <c r="L169">
        <v>3</v>
      </c>
    </row>
    <row r="170" spans="4:12" x14ac:dyDescent="0.25">
      <c r="D170" s="18" t="str">
        <v>Thomas Harris</v>
      </c>
      <c r="E170" t="str">
        <v>Married</v>
      </c>
      <c r="F170">
        <v>1</v>
      </c>
      <c r="J170" t="str">
        <v>Thomas Harris</v>
      </c>
      <c r="K170" t="str">
        <v>Married</v>
      </c>
      <c r="L170">
        <v>1</v>
      </c>
    </row>
    <row r="171" spans="4:12" x14ac:dyDescent="0.25">
      <c r="D171" s="18" t="str">
        <v>Edwin Douglas</v>
      </c>
      <c r="E171" t="str">
        <v>Married</v>
      </c>
      <c r="F171">
        <v>5</v>
      </c>
      <c r="J171" t="str">
        <v>Edwin Douglas</v>
      </c>
      <c r="K171" t="str">
        <v>Married</v>
      </c>
      <c r="L171">
        <v>5</v>
      </c>
    </row>
    <row r="172" spans="4:12" x14ac:dyDescent="0.25">
      <c r="D172" s="18" t="str">
        <v>Tiana Smith</v>
      </c>
      <c r="E172" t="str">
        <v>Married</v>
      </c>
      <c r="F172">
        <v>3</v>
      </c>
      <c r="J172" t="str">
        <v>Tiana Smith</v>
      </c>
      <c r="K172" t="str">
        <v>Married</v>
      </c>
      <c r="L172">
        <v>3</v>
      </c>
    </row>
    <row r="173" spans="4:12" x14ac:dyDescent="0.25">
      <c r="D173" s="18" t="str">
        <v>Kristian Riley</v>
      </c>
      <c r="E173" t="str">
        <v>Married</v>
      </c>
      <c r="F173">
        <v>3</v>
      </c>
      <c r="J173" t="str">
        <v>Kristian Riley</v>
      </c>
      <c r="K173" t="str">
        <v>Married</v>
      </c>
      <c r="L173">
        <v>3</v>
      </c>
    </row>
    <row r="174" spans="4:12" x14ac:dyDescent="0.25">
      <c r="D174" s="18" t="str">
        <v>Camila Robinson</v>
      </c>
      <c r="E174" t="str">
        <v>Married</v>
      </c>
      <c r="F174">
        <v>1</v>
      </c>
      <c r="J174" t="str">
        <v>Camila Robinson</v>
      </c>
      <c r="K174" t="str">
        <v>Married</v>
      </c>
      <c r="L174">
        <v>1</v>
      </c>
    </row>
    <row r="175" spans="4:12" x14ac:dyDescent="0.25">
      <c r="D175" s="18" t="str">
        <v>Garry Wilson</v>
      </c>
      <c r="E175" t="str">
        <v>Married</v>
      </c>
      <c r="F175">
        <v>3</v>
      </c>
      <c r="J175" t="str">
        <v>Garry Wilson</v>
      </c>
      <c r="K175" t="str">
        <v>Married</v>
      </c>
      <c r="L175">
        <v>3</v>
      </c>
    </row>
    <row r="176" spans="4:12" x14ac:dyDescent="0.25">
      <c r="D176" s="18" t="str">
        <v>Preston Moore</v>
      </c>
      <c r="E176" t="str">
        <v>Married</v>
      </c>
      <c r="F176">
        <v>1</v>
      </c>
      <c r="J176" t="str">
        <v>Preston Moore</v>
      </c>
      <c r="K176" t="str">
        <v>Married</v>
      </c>
      <c r="L176">
        <v>1</v>
      </c>
    </row>
    <row r="177" spans="4:12" x14ac:dyDescent="0.25">
      <c r="D177" s="18" t="str">
        <v>Kevin Kelley</v>
      </c>
      <c r="E177" t="str">
        <v>Married</v>
      </c>
      <c r="F177">
        <v>1</v>
      </c>
      <c r="J177" t="str">
        <v>Kevin Kelley</v>
      </c>
      <c r="K177" t="str">
        <v>Married</v>
      </c>
      <c r="L177">
        <v>1</v>
      </c>
    </row>
    <row r="178" spans="4:12" x14ac:dyDescent="0.25">
      <c r="D178" s="18" t="str">
        <v>Grace Murphy</v>
      </c>
      <c r="E178" t="str">
        <v>Married</v>
      </c>
      <c r="F178">
        <v>0</v>
      </c>
      <c r="J178" t="str">
        <v>Grace Murphy</v>
      </c>
      <c r="K178" t="str">
        <v>Married</v>
      </c>
      <c r="L178">
        <v>0</v>
      </c>
    </row>
    <row r="179" spans="4:12" x14ac:dyDescent="0.25">
      <c r="D179" s="18" t="str">
        <v>Evelyn Watson</v>
      </c>
      <c r="E179" t="str">
        <v>Married</v>
      </c>
      <c r="F179">
        <v>3</v>
      </c>
      <c r="J179" t="str">
        <v>Evelyn Watson</v>
      </c>
      <c r="K179" t="str">
        <v>Married</v>
      </c>
      <c r="L179">
        <v>3</v>
      </c>
    </row>
    <row r="180" spans="4:12" x14ac:dyDescent="0.25">
      <c r="D180" s="18" t="str">
        <v>David Myers</v>
      </c>
      <c r="E180" t="str">
        <v>Married</v>
      </c>
      <c r="F180">
        <v>2</v>
      </c>
      <c r="J180" t="str">
        <v>David Myers</v>
      </c>
      <c r="K180" t="str">
        <v>Married</v>
      </c>
      <c r="L180">
        <v>2</v>
      </c>
    </row>
    <row r="181" spans="4:12" x14ac:dyDescent="0.25">
      <c r="D181" s="18" t="str">
        <v>Aldus Kelley</v>
      </c>
      <c r="E181" t="str">
        <v>Married</v>
      </c>
      <c r="F181">
        <v>4</v>
      </c>
      <c r="J181" t="str">
        <v>Aldus Kelley</v>
      </c>
      <c r="K181" t="str">
        <v>Married</v>
      </c>
      <c r="L181">
        <v>4</v>
      </c>
    </row>
    <row r="182" spans="4:12" x14ac:dyDescent="0.25">
      <c r="D182" s="18" t="str">
        <v>Oscar Richards</v>
      </c>
      <c r="E182" t="str">
        <v>Married</v>
      </c>
      <c r="F182">
        <v>2</v>
      </c>
      <c r="J182" t="str">
        <v>Oscar Richards</v>
      </c>
      <c r="K182" t="str">
        <v>Married</v>
      </c>
      <c r="L182">
        <v>2</v>
      </c>
    </row>
    <row r="183" spans="4:12" x14ac:dyDescent="0.25">
      <c r="D183" s="18" t="str">
        <v>Myra Montgomery</v>
      </c>
      <c r="E183" t="str">
        <v>Married</v>
      </c>
      <c r="F183">
        <v>3</v>
      </c>
      <c r="J183" t="str">
        <v>Myra Montgomery</v>
      </c>
      <c r="K183" t="str">
        <v>Married</v>
      </c>
      <c r="L183">
        <v>3</v>
      </c>
    </row>
    <row r="184" spans="4:12" x14ac:dyDescent="0.25">
      <c r="D184" s="18" t="str">
        <v>Maddie Thomas</v>
      </c>
      <c r="E184" t="str">
        <v>Married</v>
      </c>
      <c r="F184">
        <v>5</v>
      </c>
      <c r="J184" t="str">
        <v>Maddie Thomas</v>
      </c>
      <c r="K184" t="str">
        <v>Married</v>
      </c>
      <c r="L184">
        <v>5</v>
      </c>
    </row>
    <row r="185" spans="4:12" x14ac:dyDescent="0.25">
      <c r="D185" s="18" t="str">
        <v>Cherry Ryan</v>
      </c>
      <c r="E185" t="str">
        <v>Married</v>
      </c>
      <c r="F185">
        <v>1</v>
      </c>
      <c r="J185" t="str">
        <v>Cherry Ryan</v>
      </c>
      <c r="K185" t="str">
        <v>Married</v>
      </c>
      <c r="L185">
        <v>1</v>
      </c>
    </row>
    <row r="186" spans="4:12" x14ac:dyDescent="0.25">
      <c r="D186" s="18" t="str">
        <v>Jared Carter</v>
      </c>
      <c r="E186" t="str">
        <v>Married</v>
      </c>
      <c r="F186">
        <v>2</v>
      </c>
      <c r="J186" t="str">
        <v>Jared Carter</v>
      </c>
      <c r="K186" t="str">
        <v>Married</v>
      </c>
      <c r="L186">
        <v>2</v>
      </c>
    </row>
    <row r="187" spans="4:12" x14ac:dyDescent="0.25">
      <c r="D187" s="18" t="str">
        <v>Vivian Casey</v>
      </c>
      <c r="E187" t="str">
        <v>Married</v>
      </c>
      <c r="F187">
        <v>5</v>
      </c>
      <c r="J187" t="str">
        <v>Vivian Casey</v>
      </c>
      <c r="K187" t="str">
        <v>Married</v>
      </c>
      <c r="L187">
        <v>5</v>
      </c>
    </row>
    <row r="188" spans="4:12" x14ac:dyDescent="0.25">
      <c r="D188" s="18" t="str">
        <v>Fiona Cole</v>
      </c>
      <c r="E188" t="str">
        <v>Married</v>
      </c>
      <c r="F188">
        <v>3</v>
      </c>
      <c r="J188" t="str">
        <v>Fiona Cole</v>
      </c>
      <c r="K188" t="str">
        <v>Married</v>
      </c>
      <c r="L188">
        <v>3</v>
      </c>
    </row>
    <row r="189" spans="4:12" x14ac:dyDescent="0.25">
      <c r="D189" s="18" t="str">
        <v>David Barrett</v>
      </c>
      <c r="E189" t="str">
        <v>Married</v>
      </c>
      <c r="F189">
        <v>5</v>
      </c>
      <c r="J189" t="str">
        <v>David Barrett</v>
      </c>
      <c r="K189" t="str">
        <v>Married</v>
      </c>
      <c r="L189">
        <v>5</v>
      </c>
    </row>
    <row r="190" spans="4:12" x14ac:dyDescent="0.25">
      <c r="D190" s="18" t="str">
        <v>Jessica Ellis</v>
      </c>
      <c r="E190" t="str">
        <v>Married</v>
      </c>
      <c r="F190">
        <v>4</v>
      </c>
      <c r="J190" t="str">
        <v>Jessica Ellis</v>
      </c>
      <c r="K190" t="str">
        <v>Married</v>
      </c>
      <c r="L190">
        <v>4</v>
      </c>
    </row>
    <row r="191" spans="4:12" x14ac:dyDescent="0.25">
      <c r="D191" s="18" t="str">
        <v>Maya Thomas</v>
      </c>
      <c r="E191" t="str">
        <v>Married</v>
      </c>
      <c r="F191">
        <v>4</v>
      </c>
      <c r="J191" t="str">
        <v>Maya Thomas</v>
      </c>
      <c r="K191" t="str">
        <v>Married</v>
      </c>
      <c r="L191">
        <v>4</v>
      </c>
    </row>
    <row r="192" spans="4:12" x14ac:dyDescent="0.25">
      <c r="D192" s="18" t="str">
        <v>Tiana Adams</v>
      </c>
      <c r="E192" t="str">
        <v>Married</v>
      </c>
      <c r="F192">
        <v>0</v>
      </c>
      <c r="J192" t="str">
        <v>Tiana Adams</v>
      </c>
      <c r="K192" t="str">
        <v>Married</v>
      </c>
      <c r="L192">
        <v>0</v>
      </c>
    </row>
    <row r="193" spans="4:12" x14ac:dyDescent="0.25">
      <c r="D193" s="18" t="str">
        <v>Justin Dixon</v>
      </c>
      <c r="E193" t="str">
        <v>Married</v>
      </c>
      <c r="F193">
        <v>1</v>
      </c>
      <c r="J193" t="str">
        <v>Justin Dixon</v>
      </c>
      <c r="K193" t="str">
        <v>Married</v>
      </c>
      <c r="L193">
        <v>1</v>
      </c>
    </row>
    <row r="194" spans="4:12" x14ac:dyDescent="0.25">
      <c r="D194" s="18" t="str">
        <v>Mike Henderson</v>
      </c>
      <c r="E194" t="str">
        <v>Married</v>
      </c>
      <c r="F194">
        <v>5</v>
      </c>
      <c r="J194" t="str">
        <v>Mike Henderson</v>
      </c>
      <c r="K194" t="str">
        <v>Married</v>
      </c>
      <c r="L194">
        <v>5</v>
      </c>
    </row>
    <row r="195" spans="4:12" x14ac:dyDescent="0.25">
      <c r="D195" s="18" t="str">
        <v>Lucy Hunt</v>
      </c>
      <c r="E195" t="str">
        <v>Married</v>
      </c>
      <c r="F195">
        <v>1</v>
      </c>
      <c r="J195" t="str">
        <v>Lucy Hunt</v>
      </c>
      <c r="K195" t="str">
        <v>Married</v>
      </c>
      <c r="L195">
        <v>1</v>
      </c>
    </row>
    <row r="196" spans="4:12" x14ac:dyDescent="0.25">
      <c r="D196" s="18" t="str">
        <v>Alford Elliott</v>
      </c>
      <c r="E196" t="str">
        <v>Married</v>
      </c>
      <c r="F196">
        <v>0</v>
      </c>
      <c r="J196" t="str">
        <v>Alford Elliott</v>
      </c>
      <c r="K196" t="str">
        <v>Married</v>
      </c>
      <c r="L196">
        <v>0</v>
      </c>
    </row>
    <row r="197" spans="4:12" x14ac:dyDescent="0.25">
      <c r="D197" s="18" t="str">
        <v>Natalie Myers</v>
      </c>
      <c r="E197" t="str">
        <v>Married</v>
      </c>
      <c r="F197">
        <v>4</v>
      </c>
      <c r="J197" t="str">
        <v>Natalie Myers</v>
      </c>
      <c r="K197" t="str">
        <v>Married</v>
      </c>
      <c r="L197">
        <v>4</v>
      </c>
    </row>
    <row r="198" spans="4:12" x14ac:dyDescent="0.25">
      <c r="D198" s="18" t="str">
        <v>Elian Hill</v>
      </c>
      <c r="E198" t="str">
        <v>Married</v>
      </c>
      <c r="F198">
        <v>2</v>
      </c>
      <c r="J198" t="str">
        <v>Elian Hill</v>
      </c>
      <c r="K198" t="str">
        <v>Married</v>
      </c>
      <c r="L198">
        <v>2</v>
      </c>
    </row>
    <row r="199" spans="4:12" x14ac:dyDescent="0.25">
      <c r="D199" s="18" t="str">
        <v>Honey Carroll</v>
      </c>
      <c r="E199" t="str">
        <v>Married</v>
      </c>
      <c r="F199">
        <v>2</v>
      </c>
      <c r="J199" t="str">
        <v>Honey Carroll</v>
      </c>
      <c r="K199" t="str">
        <v>Married</v>
      </c>
      <c r="L199">
        <v>2</v>
      </c>
    </row>
    <row r="200" spans="4:12" x14ac:dyDescent="0.25">
      <c r="D200" s="18" t="str">
        <v>Valeria Howard</v>
      </c>
      <c r="E200" t="str">
        <v>Married</v>
      </c>
      <c r="F200">
        <v>4</v>
      </c>
      <c r="J200" t="str">
        <v>Valeria Howard</v>
      </c>
      <c r="K200" t="str">
        <v>Married</v>
      </c>
      <c r="L200">
        <v>4</v>
      </c>
    </row>
    <row r="201" spans="4:12" x14ac:dyDescent="0.25">
      <c r="D201" s="18" t="str">
        <v>Julian Scott</v>
      </c>
      <c r="E201" t="str">
        <v>Married</v>
      </c>
      <c r="F201">
        <v>5</v>
      </c>
      <c r="J201" t="str">
        <v>Julian Scott</v>
      </c>
      <c r="K201" t="str">
        <v>Married</v>
      </c>
      <c r="L201">
        <v>5</v>
      </c>
    </row>
    <row r="202" spans="4:12" x14ac:dyDescent="0.25">
      <c r="D202" s="18" t="str">
        <v>Adison Bailey</v>
      </c>
      <c r="E202" t="str">
        <v>Married</v>
      </c>
      <c r="F202">
        <v>1</v>
      </c>
      <c r="J202" t="str">
        <v>Adison Bailey</v>
      </c>
      <c r="K202" t="str">
        <v>Married</v>
      </c>
      <c r="L202">
        <v>1</v>
      </c>
    </row>
    <row r="203" spans="4:12" x14ac:dyDescent="0.25">
      <c r="D203" s="18" t="str">
        <v>Carina Henderson</v>
      </c>
      <c r="E203" t="str">
        <v>Married</v>
      </c>
      <c r="F203">
        <v>3</v>
      </c>
      <c r="J203" t="str">
        <v>Carina Henderson</v>
      </c>
      <c r="K203" t="str">
        <v>Married</v>
      </c>
      <c r="L203">
        <v>3</v>
      </c>
    </row>
    <row r="204" spans="4:12" x14ac:dyDescent="0.25">
      <c r="D204" s="18" t="str">
        <v>Ryan Hawkins</v>
      </c>
      <c r="E204" t="str">
        <v>Married</v>
      </c>
      <c r="F204">
        <v>3</v>
      </c>
      <c r="J204" t="str">
        <v>Ryan Hawkins</v>
      </c>
      <c r="K204" t="str">
        <v>Married</v>
      </c>
      <c r="L204">
        <v>3</v>
      </c>
    </row>
    <row r="205" spans="4:12" x14ac:dyDescent="0.25">
      <c r="D205" s="18" t="str">
        <v>Connie Chapman</v>
      </c>
      <c r="E205" t="str">
        <v>Married</v>
      </c>
      <c r="F205">
        <v>4</v>
      </c>
      <c r="J205" t="str">
        <v>Connie Chapman</v>
      </c>
      <c r="K205" t="str">
        <v>Married</v>
      </c>
      <c r="L205">
        <v>4</v>
      </c>
    </row>
    <row r="206" spans="4:12" x14ac:dyDescent="0.25">
      <c r="D206" s="18" t="str">
        <v>Kelsey Rogers</v>
      </c>
      <c r="E206" t="str">
        <v>Married</v>
      </c>
      <c r="F206">
        <v>5</v>
      </c>
      <c r="J206" t="str">
        <v>Kelsey Rogers</v>
      </c>
      <c r="K206" t="str">
        <v>Married</v>
      </c>
      <c r="L206">
        <v>5</v>
      </c>
    </row>
    <row r="207" spans="4:12" x14ac:dyDescent="0.25">
      <c r="D207" s="18" t="str">
        <v>James Williams</v>
      </c>
      <c r="E207" t="str">
        <v>Married</v>
      </c>
      <c r="F207">
        <v>0</v>
      </c>
      <c r="J207" t="str">
        <v>James Williams</v>
      </c>
      <c r="K207" t="str">
        <v>Married</v>
      </c>
      <c r="L207">
        <v>0</v>
      </c>
    </row>
    <row r="208" spans="4:12" x14ac:dyDescent="0.25">
      <c r="D208" s="18" t="str">
        <v>Chester Casey</v>
      </c>
      <c r="E208" t="str">
        <v>Married</v>
      </c>
      <c r="F208">
        <v>2</v>
      </c>
      <c r="J208" t="str">
        <v>Chester Casey</v>
      </c>
      <c r="K208" t="str">
        <v>Married</v>
      </c>
      <c r="L208">
        <v>2</v>
      </c>
    </row>
    <row r="209" spans="4:12" x14ac:dyDescent="0.25">
      <c r="D209" s="18" t="str">
        <v>Robert Adams</v>
      </c>
      <c r="E209" t="str">
        <v>Married</v>
      </c>
      <c r="F209">
        <v>3</v>
      </c>
      <c r="J209" t="str">
        <v>Robert Adams</v>
      </c>
      <c r="K209" t="str">
        <v>Married</v>
      </c>
      <c r="L209">
        <v>3</v>
      </c>
    </row>
    <row r="210" spans="4:12" x14ac:dyDescent="0.25">
      <c r="D210" s="18" t="str">
        <v>Abigail Ryan</v>
      </c>
      <c r="E210" t="str">
        <v>Married</v>
      </c>
      <c r="F210">
        <v>0</v>
      </c>
      <c r="J210" t="str">
        <v>Abigail Ryan</v>
      </c>
      <c r="K210" t="str">
        <v>Married</v>
      </c>
      <c r="L210">
        <v>0</v>
      </c>
    </row>
    <row r="211" spans="4:12" x14ac:dyDescent="0.25">
      <c r="D211" s="18" t="str">
        <v>Rubie Phillips</v>
      </c>
      <c r="E211" t="str">
        <v>Married</v>
      </c>
      <c r="F211">
        <v>1</v>
      </c>
      <c r="J211" t="str">
        <v>Rubie Phillips</v>
      </c>
      <c r="K211" t="str">
        <v>Married</v>
      </c>
      <c r="L211">
        <v>1</v>
      </c>
    </row>
    <row r="212" spans="4:12" x14ac:dyDescent="0.25">
      <c r="D212" s="18" t="str">
        <v>Elise Smith</v>
      </c>
      <c r="E212" t="str">
        <v>Married</v>
      </c>
      <c r="F212">
        <v>5</v>
      </c>
      <c r="J212" t="str">
        <v>Elise Smith</v>
      </c>
      <c r="K212" t="str">
        <v>Married</v>
      </c>
      <c r="L212">
        <v>5</v>
      </c>
    </row>
    <row r="213" spans="4:12" x14ac:dyDescent="0.25">
      <c r="D213" s="18" t="str">
        <v>Albert Cameron</v>
      </c>
      <c r="E213" t="str">
        <v>Married</v>
      </c>
      <c r="F213">
        <v>4</v>
      </c>
      <c r="J213" t="str">
        <v>Albert Cameron</v>
      </c>
      <c r="K213" t="str">
        <v>Married</v>
      </c>
      <c r="L213">
        <v>4</v>
      </c>
    </row>
    <row r="214" spans="4:12" x14ac:dyDescent="0.25">
      <c r="D214" s="18" t="str">
        <v>Annabella Parker</v>
      </c>
      <c r="E214" t="str">
        <v>Married</v>
      </c>
      <c r="F214">
        <v>5</v>
      </c>
      <c r="J214" t="str">
        <v>Annabella Parker</v>
      </c>
      <c r="K214" t="str">
        <v>Married</v>
      </c>
      <c r="L214">
        <v>5</v>
      </c>
    </row>
    <row r="215" spans="4:12" x14ac:dyDescent="0.25">
      <c r="D215" s="18" t="str">
        <v>Eleanor Morgan</v>
      </c>
      <c r="E215" t="str">
        <v>Married</v>
      </c>
      <c r="F215">
        <v>0</v>
      </c>
      <c r="J215" t="str">
        <v>Eleanor Morgan</v>
      </c>
      <c r="K215" t="str">
        <v>Married</v>
      </c>
      <c r="L215">
        <v>0</v>
      </c>
    </row>
    <row r="216" spans="4:12" x14ac:dyDescent="0.25">
      <c r="D216" s="18" t="str">
        <v>Heather Gray</v>
      </c>
      <c r="E216" t="str">
        <v>Married</v>
      </c>
      <c r="F216">
        <v>3</v>
      </c>
      <c r="J216" t="str">
        <v>Heather Gray</v>
      </c>
      <c r="K216" t="str">
        <v>Married</v>
      </c>
      <c r="L216">
        <v>3</v>
      </c>
    </row>
    <row r="217" spans="4:12" x14ac:dyDescent="0.25">
      <c r="D217" s="18" t="str">
        <v>Arianna Andrews</v>
      </c>
      <c r="E217" t="str">
        <v>Married</v>
      </c>
      <c r="F217">
        <v>5</v>
      </c>
      <c r="J217" t="str">
        <v>Arianna Andrews</v>
      </c>
      <c r="K217" t="str">
        <v>Married</v>
      </c>
      <c r="L217">
        <v>5</v>
      </c>
    </row>
    <row r="218" spans="4:12" x14ac:dyDescent="0.25">
      <c r="D218" s="18" t="str">
        <v>Thomas Hill</v>
      </c>
      <c r="E218" t="str">
        <v>Married</v>
      </c>
      <c r="F218">
        <v>1</v>
      </c>
      <c r="J218" t="str">
        <v>Thomas Hill</v>
      </c>
      <c r="K218" t="str">
        <v>Married</v>
      </c>
      <c r="L218">
        <v>1</v>
      </c>
    </row>
    <row r="219" spans="4:12" x14ac:dyDescent="0.25">
      <c r="D219" s="18" t="str">
        <v>Thomas Harper</v>
      </c>
      <c r="E219" t="str">
        <v>Married</v>
      </c>
      <c r="F219">
        <v>2</v>
      </c>
      <c r="J219" t="str">
        <v>Thomas Harper</v>
      </c>
      <c r="K219" t="str">
        <v>Married</v>
      </c>
      <c r="L219">
        <v>2</v>
      </c>
    </row>
    <row r="220" spans="4:12" x14ac:dyDescent="0.25">
      <c r="D220" s="18" t="str">
        <v>Jacob Jones</v>
      </c>
      <c r="E220" t="str">
        <v>Married</v>
      </c>
      <c r="F220">
        <v>1</v>
      </c>
      <c r="J220" t="str">
        <v>Jacob Jones</v>
      </c>
      <c r="K220" t="str">
        <v>Married</v>
      </c>
      <c r="L220">
        <v>1</v>
      </c>
    </row>
    <row r="221" spans="4:12" x14ac:dyDescent="0.25">
      <c r="D221" s="18" t="str">
        <v>Alan Payne</v>
      </c>
      <c r="E221" t="str">
        <v>Married</v>
      </c>
      <c r="F221">
        <v>3</v>
      </c>
      <c r="J221" t="str">
        <v>Alan Payne</v>
      </c>
      <c r="K221" t="str">
        <v>Married</v>
      </c>
      <c r="L221">
        <v>3</v>
      </c>
    </row>
    <row r="222" spans="4:12" x14ac:dyDescent="0.25">
      <c r="D222" s="18" t="str">
        <v>Maximilian Perry</v>
      </c>
      <c r="E222" t="str">
        <v>Married</v>
      </c>
      <c r="F222">
        <v>2</v>
      </c>
      <c r="J222" t="str">
        <v>Maximilian Perry</v>
      </c>
      <c r="K222" t="str">
        <v>Married</v>
      </c>
      <c r="L222">
        <v>2</v>
      </c>
    </row>
    <row r="223" spans="4:12" x14ac:dyDescent="0.25">
      <c r="D223" s="18" t="str">
        <v>Victoria Perkins</v>
      </c>
      <c r="E223" t="str">
        <v>Married</v>
      </c>
      <c r="F223">
        <v>1</v>
      </c>
      <c r="J223" t="str">
        <v>Victoria Perkins</v>
      </c>
      <c r="K223" t="str">
        <v>Married</v>
      </c>
      <c r="L223">
        <v>1</v>
      </c>
    </row>
    <row r="224" spans="4:12" x14ac:dyDescent="0.25">
      <c r="D224" s="18" t="str">
        <v>Alen Hill</v>
      </c>
      <c r="E224" t="str">
        <v>Married</v>
      </c>
      <c r="F224">
        <v>1</v>
      </c>
      <c r="J224" t="str">
        <v>Alen Hill</v>
      </c>
      <c r="K224" t="str">
        <v>Married</v>
      </c>
      <c r="L224">
        <v>1</v>
      </c>
    </row>
    <row r="225" spans="4:12" x14ac:dyDescent="0.25">
      <c r="D225" s="18" t="str">
        <v>Carina Edwards</v>
      </c>
      <c r="E225" t="str">
        <v>Married</v>
      </c>
      <c r="F225">
        <v>2</v>
      </c>
      <c r="J225" t="str">
        <v>Carina Edwards</v>
      </c>
      <c r="K225" t="str">
        <v>Married</v>
      </c>
      <c r="L225">
        <v>2</v>
      </c>
    </row>
    <row r="226" spans="4:12" x14ac:dyDescent="0.25">
      <c r="D226" s="18" t="str">
        <v>Amelia Perry</v>
      </c>
      <c r="E226" t="str">
        <v>Married</v>
      </c>
      <c r="F226">
        <v>4</v>
      </c>
      <c r="J226" t="str">
        <v>Amelia Perry</v>
      </c>
      <c r="K226" t="str">
        <v>Married</v>
      </c>
      <c r="L226">
        <v>4</v>
      </c>
    </row>
    <row r="227" spans="4:12" x14ac:dyDescent="0.25">
      <c r="D227" s="18" t="str">
        <v>Victoria Stewart</v>
      </c>
      <c r="E227" t="str">
        <v>Married</v>
      </c>
      <c r="F227">
        <v>0</v>
      </c>
      <c r="J227" t="str">
        <v>Victoria Stewart</v>
      </c>
      <c r="K227" t="str">
        <v>Married</v>
      </c>
      <c r="L227">
        <v>0</v>
      </c>
    </row>
    <row r="228" spans="4:12" x14ac:dyDescent="0.25">
      <c r="D228" s="18" t="str">
        <v>Eddy Roberts</v>
      </c>
      <c r="E228" t="str">
        <v>Married</v>
      </c>
      <c r="F228">
        <v>1</v>
      </c>
      <c r="J228" t="str">
        <v>Eddy Roberts</v>
      </c>
      <c r="K228" t="str">
        <v>Married</v>
      </c>
      <c r="L228">
        <v>1</v>
      </c>
    </row>
    <row r="229" spans="4:12" x14ac:dyDescent="0.25">
      <c r="D229" s="18" t="str">
        <v>Jordan Chapman</v>
      </c>
      <c r="E229" t="str">
        <v>Married</v>
      </c>
      <c r="F229">
        <v>5</v>
      </c>
      <c r="J229" t="str">
        <v>Jordan Chapman</v>
      </c>
      <c r="K229" t="str">
        <v>Married</v>
      </c>
      <c r="L229">
        <v>5</v>
      </c>
    </row>
    <row r="230" spans="4:12" x14ac:dyDescent="0.25">
      <c r="D230" s="18" t="str">
        <v>Amelia Murphy</v>
      </c>
      <c r="E230" t="str">
        <v>Married</v>
      </c>
      <c r="F230">
        <v>4</v>
      </c>
      <c r="J230" t="str">
        <v>Amelia Murphy</v>
      </c>
      <c r="K230" t="str">
        <v>Married</v>
      </c>
      <c r="L230">
        <v>4</v>
      </c>
    </row>
    <row r="231" spans="4:12" x14ac:dyDescent="0.25">
      <c r="D231" s="18" t="str">
        <v>Frederick Martin</v>
      </c>
      <c r="E231" t="str">
        <v>Married</v>
      </c>
      <c r="F231">
        <v>3</v>
      </c>
      <c r="J231" t="str">
        <v>Frederick Martin</v>
      </c>
      <c r="K231" t="str">
        <v>Married</v>
      </c>
      <c r="L231">
        <v>3</v>
      </c>
    </row>
    <row r="232" spans="4:12" x14ac:dyDescent="0.25">
      <c r="D232" s="18" t="str">
        <v>Alina Fowler</v>
      </c>
      <c r="E232" t="str">
        <v>Married</v>
      </c>
      <c r="F232">
        <v>2</v>
      </c>
      <c r="J232" t="str">
        <v>Alina Fowler</v>
      </c>
      <c r="K232" t="str">
        <v>Married</v>
      </c>
      <c r="L232">
        <v>2</v>
      </c>
    </row>
    <row r="233" spans="4:12" x14ac:dyDescent="0.25">
      <c r="D233" s="18" t="str">
        <v>Vincent Russell</v>
      </c>
      <c r="E233" t="str">
        <v>Married</v>
      </c>
      <c r="F233">
        <v>4</v>
      </c>
      <c r="J233" t="str">
        <v>Vincent Russell</v>
      </c>
      <c r="K233" t="str">
        <v>Married</v>
      </c>
      <c r="L233">
        <v>4</v>
      </c>
    </row>
    <row r="234" spans="4:12" x14ac:dyDescent="0.25">
      <c r="D234" s="18" t="str">
        <v>Ned Brown</v>
      </c>
      <c r="E234" t="str">
        <v>Married</v>
      </c>
      <c r="F234">
        <v>5</v>
      </c>
      <c r="J234" t="str">
        <v>Ned Brown</v>
      </c>
      <c r="K234" t="str">
        <v>Married</v>
      </c>
      <c r="L234">
        <v>5</v>
      </c>
    </row>
    <row r="235" spans="4:12" x14ac:dyDescent="0.25">
      <c r="D235" s="18" t="str">
        <v>Dainton Robinson</v>
      </c>
      <c r="E235" t="str">
        <v>Married</v>
      </c>
      <c r="F235">
        <v>1</v>
      </c>
      <c r="J235" t="str">
        <v>Dainton Robinson</v>
      </c>
      <c r="K235" t="str">
        <v>Married</v>
      </c>
      <c r="L235">
        <v>1</v>
      </c>
    </row>
    <row r="236" spans="4:12" x14ac:dyDescent="0.25">
      <c r="D236" s="18" t="str">
        <v>Maya Payne</v>
      </c>
      <c r="E236" t="str">
        <v>Married</v>
      </c>
      <c r="F236">
        <v>3</v>
      </c>
      <c r="J236" t="str">
        <v>Maya Payne</v>
      </c>
      <c r="K236" t="str">
        <v>Married</v>
      </c>
      <c r="L236">
        <v>3</v>
      </c>
    </row>
    <row r="237" spans="4:12" x14ac:dyDescent="0.25">
      <c r="D237" s="18" t="str">
        <v>Dominik Andrews</v>
      </c>
      <c r="E237" t="str">
        <v>Married</v>
      </c>
      <c r="F237">
        <v>1</v>
      </c>
      <c r="J237" t="str">
        <v>Dominik Andrews</v>
      </c>
      <c r="K237" t="str">
        <v>Married</v>
      </c>
      <c r="L237">
        <v>1</v>
      </c>
    </row>
    <row r="238" spans="4:12" x14ac:dyDescent="0.25">
      <c r="D238" s="18" t="str">
        <v>Madaline Grant</v>
      </c>
      <c r="E238" t="str">
        <v>Married</v>
      </c>
      <c r="F238">
        <v>2</v>
      </c>
      <c r="J238" t="str">
        <v>Madaline Grant</v>
      </c>
      <c r="K238" t="str">
        <v>Married</v>
      </c>
      <c r="L238">
        <v>2</v>
      </c>
    </row>
    <row r="239" spans="4:12" x14ac:dyDescent="0.25">
      <c r="D239" s="18" t="str">
        <v>Nicholas Turner</v>
      </c>
      <c r="E239" t="str">
        <v>Married</v>
      </c>
      <c r="F239">
        <v>5</v>
      </c>
      <c r="J239" t="str">
        <v>Nicholas Turner</v>
      </c>
      <c r="K239" t="str">
        <v>Married</v>
      </c>
      <c r="L239">
        <v>5</v>
      </c>
    </row>
    <row r="240" spans="4:12" x14ac:dyDescent="0.25">
      <c r="D240" s="18" t="str">
        <v>Byron Chapman</v>
      </c>
      <c r="E240" t="str">
        <v>Married</v>
      </c>
      <c r="F240">
        <v>4</v>
      </c>
      <c r="J240" t="str">
        <v>Byron Chapman</v>
      </c>
      <c r="K240" t="str">
        <v>Married</v>
      </c>
      <c r="L240">
        <v>4</v>
      </c>
    </row>
    <row r="241" spans="4:12" x14ac:dyDescent="0.25">
      <c r="D241" s="18" t="str">
        <v>Aston Baker</v>
      </c>
      <c r="E241" t="str">
        <v>Married</v>
      </c>
      <c r="F241">
        <v>2</v>
      </c>
      <c r="J241" t="str">
        <v>Aston Baker</v>
      </c>
      <c r="K241" t="str">
        <v>Married</v>
      </c>
      <c r="L241">
        <v>2</v>
      </c>
    </row>
    <row r="242" spans="4:12" x14ac:dyDescent="0.25">
      <c r="D242" s="18" t="str">
        <v>Gianna Jones</v>
      </c>
      <c r="E242" t="str">
        <v>Married</v>
      </c>
      <c r="F242">
        <v>0</v>
      </c>
      <c r="J242" t="str">
        <v>Gianna Jones</v>
      </c>
      <c r="K242" t="str">
        <v>Married</v>
      </c>
      <c r="L242">
        <v>0</v>
      </c>
    </row>
    <row r="243" spans="4:12" x14ac:dyDescent="0.25">
      <c r="D243" s="18" t="str">
        <v>Roland Crawford</v>
      </c>
      <c r="E243" t="str">
        <v>Married</v>
      </c>
      <c r="F243">
        <v>2</v>
      </c>
      <c r="J243" t="str">
        <v>Roland Crawford</v>
      </c>
      <c r="K243" t="str">
        <v>Married</v>
      </c>
      <c r="L243">
        <v>2</v>
      </c>
    </row>
    <row r="244" spans="4:12" x14ac:dyDescent="0.25">
      <c r="D244" s="18" t="str">
        <v>Oscar Taylor</v>
      </c>
      <c r="E244" t="str">
        <v>Married</v>
      </c>
      <c r="F244">
        <v>1</v>
      </c>
      <c r="J244" t="str">
        <v>Oscar Taylor</v>
      </c>
      <c r="K244" t="str">
        <v>Married</v>
      </c>
      <c r="L244">
        <v>1</v>
      </c>
    </row>
    <row r="245" spans="4:12" x14ac:dyDescent="0.25">
      <c r="D245" s="18" t="str">
        <v>Tara West</v>
      </c>
      <c r="E245" t="str">
        <v>Married</v>
      </c>
      <c r="F245">
        <v>2</v>
      </c>
      <c r="J245" t="str">
        <v>Tara West</v>
      </c>
      <c r="K245" t="str">
        <v>Married</v>
      </c>
      <c r="L245">
        <v>2</v>
      </c>
    </row>
    <row r="246" spans="4:12" x14ac:dyDescent="0.25">
      <c r="D246" s="18" t="str">
        <v>Max Grant</v>
      </c>
      <c r="E246" t="str">
        <v>Married</v>
      </c>
      <c r="F246">
        <v>4</v>
      </c>
      <c r="J246" t="str">
        <v>Max Grant</v>
      </c>
      <c r="K246" t="str">
        <v>Married</v>
      </c>
      <c r="L246">
        <v>4</v>
      </c>
    </row>
    <row r="247" spans="4:12" x14ac:dyDescent="0.25">
      <c r="D247" s="18" t="str">
        <v>Lily Wilson</v>
      </c>
      <c r="E247" t="str">
        <v>Married</v>
      </c>
      <c r="F247">
        <v>2</v>
      </c>
      <c r="J247" t="str">
        <v>Lily Wilson</v>
      </c>
      <c r="K247" t="str">
        <v>Married</v>
      </c>
      <c r="L247">
        <v>2</v>
      </c>
    </row>
    <row r="248" spans="4:12" x14ac:dyDescent="0.25">
      <c r="D248" s="18" t="str">
        <v>Harold Sullivan</v>
      </c>
      <c r="E248" t="str">
        <v>Married</v>
      </c>
      <c r="F248">
        <v>1</v>
      </c>
      <c r="J248" t="str">
        <v>Harold Sullivan</v>
      </c>
      <c r="K248" t="str">
        <v>Married</v>
      </c>
      <c r="L248">
        <v>1</v>
      </c>
    </row>
    <row r="249" spans="4:12" x14ac:dyDescent="0.25">
      <c r="D249" s="18" t="str">
        <v>Julian Phillips</v>
      </c>
      <c r="E249" t="str">
        <v>Married</v>
      </c>
      <c r="F249">
        <v>5</v>
      </c>
      <c r="J249" t="str">
        <v>Julian Phillips</v>
      </c>
      <c r="K249" t="str">
        <v>Married</v>
      </c>
      <c r="L249">
        <v>5</v>
      </c>
    </row>
    <row r="250" spans="4:12" x14ac:dyDescent="0.25">
      <c r="D250" s="18" t="str">
        <v>Heather Perkins</v>
      </c>
      <c r="E250" t="str">
        <v>Married</v>
      </c>
      <c r="F250">
        <v>1</v>
      </c>
      <c r="J250" t="str">
        <v>Heather Perkins</v>
      </c>
      <c r="K250" t="str">
        <v>Married</v>
      </c>
      <c r="L250">
        <v>1</v>
      </c>
    </row>
    <row r="251" spans="4:12" x14ac:dyDescent="0.25">
      <c r="D251" s="18" t="str">
        <v>Emily Carter</v>
      </c>
      <c r="E251" t="str">
        <v>Married</v>
      </c>
      <c r="F251">
        <v>4</v>
      </c>
      <c r="J251" t="str">
        <v>Emily Carter</v>
      </c>
      <c r="K251" t="str">
        <v>Married</v>
      </c>
      <c r="L251">
        <v>4</v>
      </c>
    </row>
    <row r="252" spans="4:12" x14ac:dyDescent="0.25">
      <c r="D252" s="18" t="str">
        <v>Robert Harper</v>
      </c>
      <c r="E252" t="str">
        <v>Married</v>
      </c>
      <c r="F252">
        <v>3</v>
      </c>
      <c r="J252" t="str">
        <v>Robert Harper</v>
      </c>
      <c r="K252" t="str">
        <v>Married</v>
      </c>
      <c r="L252">
        <v>3</v>
      </c>
    </row>
    <row r="253" spans="4:12" x14ac:dyDescent="0.25">
      <c r="D253" s="18" t="str">
        <v>Cherry Montgomery</v>
      </c>
      <c r="E253" t="str">
        <v>Married</v>
      </c>
      <c r="F253">
        <v>1</v>
      </c>
      <c r="J253" t="str">
        <v>Cherry Montgomery</v>
      </c>
      <c r="K253" t="str">
        <v>Married</v>
      </c>
      <c r="L253">
        <v>1</v>
      </c>
    </row>
    <row r="254" spans="4:12" x14ac:dyDescent="0.25">
      <c r="D254" s="18" t="str">
        <v>Alen Lloyd</v>
      </c>
      <c r="E254" t="str">
        <v>Married</v>
      </c>
      <c r="F254">
        <v>1</v>
      </c>
      <c r="J254" t="str">
        <v>Alen Lloyd</v>
      </c>
      <c r="K254" t="str">
        <v>Married</v>
      </c>
      <c r="L254">
        <v>1</v>
      </c>
    </row>
    <row r="255" spans="4:12" x14ac:dyDescent="0.25">
      <c r="D255" s="18" t="str">
        <v>Deanna Howard</v>
      </c>
      <c r="E255" t="str">
        <v>Married</v>
      </c>
      <c r="F255">
        <v>2</v>
      </c>
      <c r="J255" t="str">
        <v>Deanna Howard</v>
      </c>
      <c r="K255" t="str">
        <v>Married</v>
      </c>
      <c r="L255">
        <v>2</v>
      </c>
    </row>
    <row r="256" spans="4:12" x14ac:dyDescent="0.25">
      <c r="D256" s="18" t="str">
        <v>Cherry Walker</v>
      </c>
      <c r="E256" t="str">
        <v>Married</v>
      </c>
      <c r="F256">
        <v>0</v>
      </c>
      <c r="J256" t="str">
        <v>Cherry Walker</v>
      </c>
      <c r="K256" t="str">
        <v>Married</v>
      </c>
      <c r="L256">
        <v>0</v>
      </c>
    </row>
    <row r="257" spans="4:12" x14ac:dyDescent="0.25">
      <c r="D257" s="18" t="str">
        <v>Eric Thomas</v>
      </c>
      <c r="E257" t="str">
        <v>Married</v>
      </c>
      <c r="F257">
        <v>2</v>
      </c>
      <c r="J257" t="str">
        <v>Eric Thomas</v>
      </c>
      <c r="K257" t="str">
        <v>Married</v>
      </c>
      <c r="L257">
        <v>2</v>
      </c>
    </row>
    <row r="258" spans="4:12" x14ac:dyDescent="0.25">
      <c r="D258" s="18" t="str">
        <v>Edith Miller</v>
      </c>
      <c r="E258" t="str">
        <v>Married</v>
      </c>
      <c r="F258">
        <v>3</v>
      </c>
      <c r="J258" t="str">
        <v>Edith Miller</v>
      </c>
      <c r="K258" t="str">
        <v>Married</v>
      </c>
      <c r="L258">
        <v>3</v>
      </c>
    </row>
    <row r="259" spans="4:12" x14ac:dyDescent="0.25">
      <c r="D259" s="18" t="str">
        <v>Arianna Baker</v>
      </c>
      <c r="E259" t="str">
        <v>Married</v>
      </c>
      <c r="F259">
        <v>2</v>
      </c>
      <c r="J259" t="str">
        <v>Arianna Baker</v>
      </c>
      <c r="K259" t="str">
        <v>Married</v>
      </c>
      <c r="L259">
        <v>2</v>
      </c>
    </row>
    <row r="260" spans="4:12" x14ac:dyDescent="0.25">
      <c r="D260" s="18" t="str">
        <v>Nicole Wilson</v>
      </c>
      <c r="E260" t="str">
        <v>Married</v>
      </c>
      <c r="F260">
        <v>4</v>
      </c>
      <c r="J260" t="str">
        <v>Nicole Wilson</v>
      </c>
      <c r="K260" t="str">
        <v>Married</v>
      </c>
      <c r="L260">
        <v>4</v>
      </c>
    </row>
    <row r="261" spans="4:12" x14ac:dyDescent="0.25">
      <c r="D261" s="18" t="str">
        <v>Edwin Carroll</v>
      </c>
      <c r="E261" t="str">
        <v>Married</v>
      </c>
      <c r="F261">
        <v>1</v>
      </c>
      <c r="J261" t="str">
        <v>Edwin Carroll</v>
      </c>
      <c r="K261" t="str">
        <v>Married</v>
      </c>
      <c r="L261">
        <v>1</v>
      </c>
    </row>
    <row r="262" spans="4:12" x14ac:dyDescent="0.25">
      <c r="D262" s="18" t="str">
        <v>Lydia Ellis</v>
      </c>
      <c r="E262" t="str">
        <v>Married</v>
      </c>
      <c r="F262">
        <v>1</v>
      </c>
      <c r="J262" t="str">
        <v>Lydia Ellis</v>
      </c>
      <c r="K262" t="str">
        <v>Married</v>
      </c>
      <c r="L262">
        <v>1</v>
      </c>
    </row>
    <row r="263" spans="4:12" x14ac:dyDescent="0.25">
      <c r="D263" s="18" t="str">
        <v>Oscar Myers</v>
      </c>
      <c r="E263" t="str">
        <v>Married</v>
      </c>
      <c r="F263">
        <v>4</v>
      </c>
      <c r="J263" t="str">
        <v>Oscar Myers</v>
      </c>
      <c r="K263" t="str">
        <v>Married</v>
      </c>
      <c r="L263">
        <v>4</v>
      </c>
    </row>
    <row r="264" spans="4:12" x14ac:dyDescent="0.25">
      <c r="D264" s="18" t="str">
        <v>Heather Thomas</v>
      </c>
      <c r="E264" t="str">
        <v>Married</v>
      </c>
      <c r="F264">
        <v>2</v>
      </c>
      <c r="J264" t="str">
        <v>Heather Thomas</v>
      </c>
      <c r="K264" t="str">
        <v>Married</v>
      </c>
      <c r="L264">
        <v>2</v>
      </c>
    </row>
    <row r="265" spans="4:12" x14ac:dyDescent="0.25">
      <c r="D265" s="18" t="str">
        <v>Ryan Morrison</v>
      </c>
      <c r="E265" t="str">
        <v>Married</v>
      </c>
      <c r="F265">
        <v>0</v>
      </c>
      <c r="J265" t="str">
        <v>Ryan Morrison</v>
      </c>
      <c r="K265" t="str">
        <v>Married</v>
      </c>
      <c r="L265">
        <v>0</v>
      </c>
    </row>
    <row r="266" spans="4:12" x14ac:dyDescent="0.25">
      <c r="D266" s="18" t="str">
        <v>Jordan Williams</v>
      </c>
      <c r="E266" t="str">
        <v>Married</v>
      </c>
      <c r="F266">
        <v>3</v>
      </c>
      <c r="J266" t="str">
        <v>Jordan Williams</v>
      </c>
      <c r="K266" t="str">
        <v>Married</v>
      </c>
      <c r="L266">
        <v>3</v>
      </c>
    </row>
    <row r="267" spans="4:12" x14ac:dyDescent="0.25">
      <c r="D267" s="18" t="str">
        <v>Sarah Bailey</v>
      </c>
      <c r="E267" t="str">
        <v>Married</v>
      </c>
      <c r="F267">
        <v>2</v>
      </c>
      <c r="J267" t="str">
        <v>Sarah Bailey</v>
      </c>
      <c r="K267" t="str">
        <v>Married</v>
      </c>
      <c r="L267">
        <v>2</v>
      </c>
    </row>
    <row r="268" spans="4:12" x14ac:dyDescent="0.25">
      <c r="D268" s="18" t="str">
        <v>Alexander Richardson</v>
      </c>
      <c r="E268" t="str">
        <v>Married</v>
      </c>
      <c r="F268">
        <v>4</v>
      </c>
      <c r="J268" t="str">
        <v>Alexander Richardson</v>
      </c>
      <c r="K268" t="str">
        <v>Married</v>
      </c>
      <c r="L268">
        <v>4</v>
      </c>
    </row>
    <row r="269" spans="4:12" x14ac:dyDescent="0.25">
      <c r="D269" s="18" t="str">
        <v>Anna Higgins</v>
      </c>
      <c r="E269" t="str">
        <v>Married</v>
      </c>
      <c r="F269">
        <v>5</v>
      </c>
      <c r="J269" t="str">
        <v>Anna Higgins</v>
      </c>
      <c r="K269" t="str">
        <v>Married</v>
      </c>
      <c r="L269">
        <v>5</v>
      </c>
    </row>
    <row r="270" spans="4:12" x14ac:dyDescent="0.25">
      <c r="D270" s="18" t="str">
        <v>Deanna Cole</v>
      </c>
      <c r="E270" t="str">
        <v>Married</v>
      </c>
      <c r="F270">
        <v>4</v>
      </c>
      <c r="J270" t="str">
        <v>Deanna Cole</v>
      </c>
      <c r="K270" t="str">
        <v>Married</v>
      </c>
      <c r="L270">
        <v>4</v>
      </c>
    </row>
    <row r="271" spans="4:12" x14ac:dyDescent="0.25">
      <c r="D271" s="18" t="str">
        <v>Chelsea Walker</v>
      </c>
      <c r="E271" t="str">
        <v>Married</v>
      </c>
      <c r="F271">
        <v>2</v>
      </c>
      <c r="J271" t="str">
        <v>Chelsea Walker</v>
      </c>
      <c r="K271" t="str">
        <v>Married</v>
      </c>
      <c r="L271">
        <v>2</v>
      </c>
    </row>
    <row r="272" spans="4:12" x14ac:dyDescent="0.25">
      <c r="D272" s="18" t="str">
        <v>Jordan Martin</v>
      </c>
      <c r="E272" t="str">
        <v>Married</v>
      </c>
      <c r="F272">
        <v>4</v>
      </c>
      <c r="J272" t="str">
        <v>Jordan Martin</v>
      </c>
      <c r="K272" t="str">
        <v>Married</v>
      </c>
      <c r="L272">
        <v>4</v>
      </c>
    </row>
    <row r="273" spans="4:12" x14ac:dyDescent="0.25">
      <c r="D273" s="18" t="str">
        <v>Maria Watson</v>
      </c>
      <c r="E273" t="str">
        <v>Married</v>
      </c>
      <c r="F273">
        <v>4</v>
      </c>
      <c r="J273" t="str">
        <v>Maria Watson</v>
      </c>
      <c r="K273" t="str">
        <v>Married</v>
      </c>
      <c r="L273">
        <v>4</v>
      </c>
    </row>
    <row r="274" spans="4:12" x14ac:dyDescent="0.25">
      <c r="D274" s="18" t="str">
        <v>Catherine Fowler</v>
      </c>
      <c r="E274" t="str">
        <v>Married</v>
      </c>
      <c r="F274">
        <v>3</v>
      </c>
      <c r="J274" t="str">
        <v>Catherine Fowler</v>
      </c>
      <c r="K274" t="str">
        <v>Married</v>
      </c>
      <c r="L274">
        <v>3</v>
      </c>
    </row>
    <row r="275" spans="4:12" x14ac:dyDescent="0.25">
      <c r="D275" s="18" t="str">
        <v>Lilianna Kelly</v>
      </c>
      <c r="E275" t="str">
        <v>Married</v>
      </c>
      <c r="F275">
        <v>2</v>
      </c>
      <c r="J275" t="str">
        <v>Lilianna Kelly</v>
      </c>
      <c r="K275" t="str">
        <v>Married</v>
      </c>
      <c r="L275">
        <v>2</v>
      </c>
    </row>
    <row r="276" spans="4:12" x14ac:dyDescent="0.25">
      <c r="D276" s="18" t="str">
        <v>Alberta Murray</v>
      </c>
      <c r="E276" t="str">
        <v>Married</v>
      </c>
      <c r="F276">
        <v>2</v>
      </c>
      <c r="J276" t="str">
        <v>Alberta Murray</v>
      </c>
      <c r="K276" t="str">
        <v>Married</v>
      </c>
      <c r="L276">
        <v>2</v>
      </c>
    </row>
    <row r="277" spans="4:12" x14ac:dyDescent="0.25">
      <c r="D277" s="18" t="str">
        <v>Preston Hill</v>
      </c>
      <c r="E277" t="str">
        <v>Married</v>
      </c>
      <c r="F277">
        <v>5</v>
      </c>
      <c r="J277" t="str">
        <v>Preston Hill</v>
      </c>
      <c r="K277" t="str">
        <v>Married</v>
      </c>
      <c r="L277">
        <v>5</v>
      </c>
    </row>
    <row r="278" spans="4:12" x14ac:dyDescent="0.25">
      <c r="D278" s="18" t="str">
        <v>Dominik Foster</v>
      </c>
      <c r="E278" t="str">
        <v>Married</v>
      </c>
      <c r="F278">
        <v>1</v>
      </c>
      <c r="J278" t="str">
        <v>Dominik Foster</v>
      </c>
      <c r="K278" t="str">
        <v>Married</v>
      </c>
      <c r="L278">
        <v>1</v>
      </c>
    </row>
    <row r="279" spans="4:12" x14ac:dyDescent="0.25">
      <c r="D279" s="18" t="str">
        <v>Caroline Carter</v>
      </c>
      <c r="E279" t="str">
        <v>Married</v>
      </c>
      <c r="F279">
        <v>2</v>
      </c>
      <c r="J279" t="str">
        <v>Caroline Carter</v>
      </c>
      <c r="K279" t="str">
        <v>Married</v>
      </c>
      <c r="L279">
        <v>2</v>
      </c>
    </row>
    <row r="280" spans="4:12" x14ac:dyDescent="0.25">
      <c r="D280" s="18" t="str">
        <v>Charlotte Russell</v>
      </c>
      <c r="E280" t="str">
        <v>Married</v>
      </c>
      <c r="F280">
        <v>2</v>
      </c>
      <c r="J280" t="str">
        <v>Charlotte Russell</v>
      </c>
      <c r="K280" t="str">
        <v>Married</v>
      </c>
      <c r="L280">
        <v>2</v>
      </c>
    </row>
    <row r="281" spans="4:12" x14ac:dyDescent="0.25">
      <c r="D281" s="18" t="str">
        <v>Maria Johnston</v>
      </c>
      <c r="E281" t="str">
        <v>Married</v>
      </c>
      <c r="F281">
        <v>0</v>
      </c>
      <c r="J281" t="str">
        <v>Maria Johnston</v>
      </c>
      <c r="K281" t="str">
        <v>Married</v>
      </c>
      <c r="L281">
        <v>0</v>
      </c>
    </row>
    <row r="282" spans="4:12" x14ac:dyDescent="0.25">
      <c r="D282" s="18" t="str">
        <v>Chelsea Lloyd</v>
      </c>
      <c r="E282" t="str">
        <v>Married</v>
      </c>
      <c r="F282">
        <v>4</v>
      </c>
      <c r="J282" t="str">
        <v>Chelsea Lloyd</v>
      </c>
      <c r="K282" t="str">
        <v>Married</v>
      </c>
      <c r="L282">
        <v>4</v>
      </c>
    </row>
    <row r="283" spans="4:12" x14ac:dyDescent="0.25">
      <c r="D283" s="18" t="str">
        <v>Alina Richardson</v>
      </c>
      <c r="E283" t="str">
        <v>Married</v>
      </c>
      <c r="F283">
        <v>0</v>
      </c>
      <c r="J283" t="str">
        <v>Alina Richardson</v>
      </c>
      <c r="K283" t="str">
        <v>Married</v>
      </c>
      <c r="L283">
        <v>0</v>
      </c>
    </row>
    <row r="284" spans="4:12" x14ac:dyDescent="0.25">
      <c r="D284" s="18" t="str">
        <v>Florrie Hall</v>
      </c>
      <c r="E284" t="str">
        <v>Married</v>
      </c>
      <c r="F284">
        <v>5</v>
      </c>
      <c r="J284" t="str">
        <v>Florrie Hall</v>
      </c>
      <c r="K284" t="str">
        <v>Married</v>
      </c>
      <c r="L284">
        <v>5</v>
      </c>
    </row>
    <row r="285" spans="4:12" x14ac:dyDescent="0.25">
      <c r="D285" s="18" t="str">
        <v>Aiden Carter</v>
      </c>
      <c r="E285" t="str">
        <v>Married</v>
      </c>
      <c r="F285">
        <v>0</v>
      </c>
      <c r="J285" t="str">
        <v>Aiden Carter</v>
      </c>
      <c r="K285" t="str">
        <v>Married</v>
      </c>
      <c r="L285">
        <v>0</v>
      </c>
    </row>
    <row r="286" spans="4:12" x14ac:dyDescent="0.25">
      <c r="D286" s="18" t="str">
        <v>Amber Nelson</v>
      </c>
      <c r="E286" t="str">
        <v>Married</v>
      </c>
      <c r="F286">
        <v>2</v>
      </c>
      <c r="J286" t="str">
        <v>Amber Nelson</v>
      </c>
      <c r="K286" t="str">
        <v>Married</v>
      </c>
      <c r="L286">
        <v>2</v>
      </c>
    </row>
    <row r="287" spans="4:12" x14ac:dyDescent="0.25">
      <c r="D287" s="18" t="str">
        <v>Eleanor Perry</v>
      </c>
      <c r="E287" t="str">
        <v>Married</v>
      </c>
      <c r="F287">
        <v>3</v>
      </c>
      <c r="J287" t="str">
        <v>Eleanor Perry</v>
      </c>
      <c r="K287" t="str">
        <v>Married</v>
      </c>
      <c r="L287">
        <v>3</v>
      </c>
    </row>
    <row r="288" spans="4:12" x14ac:dyDescent="0.25">
      <c r="D288" s="18" t="str">
        <v>Abraham Perry</v>
      </c>
      <c r="E288" t="str">
        <v>Married</v>
      </c>
      <c r="F288">
        <v>3</v>
      </c>
      <c r="J288" t="str">
        <v>Abraham Perry</v>
      </c>
      <c r="K288" t="str">
        <v>Married</v>
      </c>
      <c r="L288">
        <v>3</v>
      </c>
    </row>
    <row r="289" spans="4:12" x14ac:dyDescent="0.25">
      <c r="D289" s="18" t="str">
        <v>Wilson West</v>
      </c>
      <c r="E289" t="str">
        <v>Married</v>
      </c>
      <c r="F289">
        <v>3</v>
      </c>
      <c r="J289" t="str">
        <v>Wilson West</v>
      </c>
      <c r="K289" t="str">
        <v>Married</v>
      </c>
      <c r="L289">
        <v>3</v>
      </c>
    </row>
    <row r="290" spans="4:12" x14ac:dyDescent="0.25">
      <c r="D290" s="18" t="str">
        <v>Valeria Sullivan</v>
      </c>
      <c r="E290" t="str">
        <v>Married</v>
      </c>
      <c r="F290">
        <v>0</v>
      </c>
      <c r="J290" t="str">
        <v>Valeria Sullivan</v>
      </c>
      <c r="K290" t="str">
        <v>Married</v>
      </c>
      <c r="L290">
        <v>0</v>
      </c>
    </row>
    <row r="291" spans="4:12" x14ac:dyDescent="0.25">
      <c r="D291" s="18" t="str">
        <v>Michael Harper</v>
      </c>
      <c r="E291" t="str">
        <v>Married</v>
      </c>
      <c r="F291">
        <v>2</v>
      </c>
      <c r="J291" t="str">
        <v>Michael Harper</v>
      </c>
      <c r="K291" t="str">
        <v>Married</v>
      </c>
      <c r="L291">
        <v>2</v>
      </c>
    </row>
    <row r="292" spans="4:12" x14ac:dyDescent="0.25">
      <c r="D292" s="18" t="str">
        <v>Tara Hall</v>
      </c>
      <c r="E292" t="str">
        <v>Married</v>
      </c>
      <c r="F292">
        <v>1</v>
      </c>
      <c r="J292" t="str">
        <v>Tara Hall</v>
      </c>
      <c r="K292" t="str">
        <v>Married</v>
      </c>
      <c r="L292">
        <v>1</v>
      </c>
    </row>
    <row r="293" spans="4:12" x14ac:dyDescent="0.25">
      <c r="D293" s="18" t="str">
        <v>Ellia Kelly</v>
      </c>
      <c r="E293" t="str">
        <v>Married</v>
      </c>
      <c r="F293">
        <v>3</v>
      </c>
      <c r="J293" t="str">
        <v>Ellia Kelly</v>
      </c>
      <c r="K293" t="str">
        <v>Married</v>
      </c>
      <c r="L293">
        <v>3</v>
      </c>
    </row>
    <row r="294" spans="4:12" x14ac:dyDescent="0.25">
      <c r="D294" s="18" t="str">
        <v>Lucia Andrews</v>
      </c>
      <c r="E294" t="str">
        <v>Married</v>
      </c>
      <c r="F294">
        <v>5</v>
      </c>
      <c r="J294" t="str">
        <v>Lucia Andrews</v>
      </c>
      <c r="K294" t="str">
        <v>Married</v>
      </c>
      <c r="L294">
        <v>5</v>
      </c>
    </row>
    <row r="295" spans="4:12" x14ac:dyDescent="0.25">
      <c r="D295" s="18" t="str">
        <v>Rubie Owens</v>
      </c>
      <c r="E295" t="str">
        <v>Married</v>
      </c>
      <c r="F295">
        <v>1</v>
      </c>
      <c r="J295" t="str">
        <v>Rubie Owens</v>
      </c>
      <c r="K295" t="str">
        <v>Married</v>
      </c>
      <c r="L295">
        <v>1</v>
      </c>
    </row>
    <row r="296" spans="4:12" x14ac:dyDescent="0.25">
      <c r="D296" s="18" t="str">
        <v>Edith Montgomery</v>
      </c>
      <c r="E296" t="str">
        <v>Married</v>
      </c>
      <c r="F296">
        <v>1</v>
      </c>
      <c r="J296" t="str">
        <v>Edith Montgomery</v>
      </c>
      <c r="K296" t="str">
        <v>Married</v>
      </c>
      <c r="L296">
        <v>1</v>
      </c>
    </row>
    <row r="297" spans="4:12" x14ac:dyDescent="0.25">
      <c r="D297" s="18" t="str">
        <v>Wilson Davis</v>
      </c>
      <c r="E297" t="str">
        <v>Married</v>
      </c>
      <c r="F297">
        <v>2</v>
      </c>
      <c r="J297" t="str">
        <v>Wilson Davis</v>
      </c>
      <c r="K297" t="str">
        <v>Married</v>
      </c>
      <c r="L297">
        <v>2</v>
      </c>
    </row>
    <row r="298" spans="4:12" x14ac:dyDescent="0.25">
      <c r="D298" s="18" t="str">
        <v>Lilianna Gray</v>
      </c>
      <c r="E298" t="str">
        <v>Married</v>
      </c>
      <c r="F298">
        <v>0</v>
      </c>
      <c r="J298" t="str">
        <v>Lilianna Gray</v>
      </c>
      <c r="K298" t="str">
        <v>Married</v>
      </c>
      <c r="L298">
        <v>0</v>
      </c>
    </row>
    <row r="299" spans="4:12" x14ac:dyDescent="0.25">
      <c r="D299" s="18" t="str">
        <v>Melanie Russell</v>
      </c>
      <c r="E299" t="str">
        <v>Married</v>
      </c>
      <c r="F299">
        <v>1</v>
      </c>
      <c r="J299" t="str">
        <v>Melanie Russell</v>
      </c>
      <c r="K299" t="str">
        <v>Married</v>
      </c>
      <c r="L299">
        <v>1</v>
      </c>
    </row>
    <row r="300" spans="4:12" x14ac:dyDescent="0.25">
      <c r="D300" s="18" t="str">
        <v>George Thompson</v>
      </c>
      <c r="E300" t="str">
        <v>Married</v>
      </c>
      <c r="F300">
        <v>1</v>
      </c>
      <c r="J300" t="str">
        <v>George Thompson</v>
      </c>
      <c r="K300" t="str">
        <v>Married</v>
      </c>
      <c r="L300">
        <v>1</v>
      </c>
    </row>
    <row r="301" spans="4:12" x14ac:dyDescent="0.25">
      <c r="D301" s="18" t="str">
        <v>Reid Armstrong</v>
      </c>
      <c r="E301" t="str">
        <v>Married</v>
      </c>
      <c r="F301">
        <v>3</v>
      </c>
      <c r="J301" t="str">
        <v>Reid Armstrong</v>
      </c>
      <c r="K301" t="str">
        <v>Married</v>
      </c>
      <c r="L301">
        <v>3</v>
      </c>
    </row>
    <row r="302" spans="4:12" x14ac:dyDescent="0.25">
      <c r="D302" s="18" t="str">
        <v>George Mitchell</v>
      </c>
      <c r="E302" t="str">
        <v>Married</v>
      </c>
      <c r="F302">
        <v>2</v>
      </c>
      <c r="J302" t="str">
        <v>George Mitchell</v>
      </c>
      <c r="K302" t="str">
        <v>Married</v>
      </c>
      <c r="L302">
        <v>2</v>
      </c>
    </row>
    <row r="303" spans="4:12" x14ac:dyDescent="0.25">
      <c r="D303" s="18" t="str">
        <v>Clark West</v>
      </c>
      <c r="E303" t="str">
        <v>Married</v>
      </c>
      <c r="F303">
        <v>3</v>
      </c>
      <c r="J303" t="str">
        <v>Clark West</v>
      </c>
      <c r="K303" t="str">
        <v>Married</v>
      </c>
      <c r="L303">
        <v>3</v>
      </c>
    </row>
    <row r="304" spans="4:12" x14ac:dyDescent="0.25">
      <c r="D304" s="18" t="str">
        <v>Charlotte Cameron</v>
      </c>
      <c r="E304" t="str">
        <v>Married</v>
      </c>
      <c r="F304">
        <v>5</v>
      </c>
      <c r="J304" t="str">
        <v>Charlotte Cameron</v>
      </c>
      <c r="K304" t="str">
        <v>Married</v>
      </c>
      <c r="L304">
        <v>5</v>
      </c>
    </row>
    <row r="305" spans="4:12" x14ac:dyDescent="0.25">
      <c r="D305" s="18" t="str">
        <v>Naomi Payne</v>
      </c>
      <c r="E305" t="str">
        <v>Married</v>
      </c>
      <c r="F305">
        <v>0</v>
      </c>
      <c r="J305" t="str">
        <v>Naomi Payne</v>
      </c>
      <c r="K305" t="str">
        <v>Married</v>
      </c>
      <c r="L305">
        <v>0</v>
      </c>
    </row>
    <row r="306" spans="4:12" x14ac:dyDescent="0.25">
      <c r="D306" s="18" t="str">
        <v>Mary Richards</v>
      </c>
      <c r="E306" t="str">
        <v>Married</v>
      </c>
      <c r="F306">
        <v>2</v>
      </c>
      <c r="J306" t="str">
        <v>Mary Richards</v>
      </c>
      <c r="K306" t="str">
        <v>Married</v>
      </c>
      <c r="L306">
        <v>2</v>
      </c>
    </row>
    <row r="307" spans="4:12" x14ac:dyDescent="0.25">
      <c r="D307" s="18" t="str">
        <v>Sabrina Higgins</v>
      </c>
      <c r="E307" t="str">
        <v>Married</v>
      </c>
      <c r="F307">
        <v>1</v>
      </c>
      <c r="J307" t="str">
        <v>Sabrina Higgins</v>
      </c>
      <c r="K307" t="str">
        <v>Married</v>
      </c>
      <c r="L307">
        <v>1</v>
      </c>
    </row>
    <row r="308" spans="4:12" x14ac:dyDescent="0.25">
      <c r="D308" s="18" t="str">
        <v>Jordan Montgomery</v>
      </c>
      <c r="E308" t="str">
        <v>Married</v>
      </c>
      <c r="F308">
        <v>0</v>
      </c>
      <c r="J308" t="str">
        <v>Jordan Montgomery</v>
      </c>
      <c r="K308" t="str">
        <v>Married</v>
      </c>
      <c r="L308">
        <v>0</v>
      </c>
    </row>
    <row r="309" spans="4:12" x14ac:dyDescent="0.25">
      <c r="D309" s="18" t="str">
        <v>Honey Crawford</v>
      </c>
      <c r="E309" t="str">
        <v>Married</v>
      </c>
      <c r="F309">
        <v>1</v>
      </c>
      <c r="J309" t="str">
        <v>Honey Crawford</v>
      </c>
      <c r="K309" t="str">
        <v>Married</v>
      </c>
      <c r="L309">
        <v>1</v>
      </c>
    </row>
    <row r="310" spans="4:12" x14ac:dyDescent="0.25">
      <c r="D310" s="18" t="str">
        <v>Mary Ellis</v>
      </c>
      <c r="E310" t="str">
        <v>Married</v>
      </c>
      <c r="F310">
        <v>2</v>
      </c>
      <c r="J310" t="str">
        <v>Mary Ellis</v>
      </c>
      <c r="K310" t="str">
        <v>Married</v>
      </c>
      <c r="L310">
        <v>2</v>
      </c>
    </row>
    <row r="311" spans="4:12" x14ac:dyDescent="0.25">
      <c r="D311" s="18" t="str">
        <v>Alissa Perkins</v>
      </c>
      <c r="E311" t="str">
        <v>Married</v>
      </c>
      <c r="F311">
        <v>4</v>
      </c>
      <c r="J311" t="str">
        <v>Alissa Perkins</v>
      </c>
      <c r="K311" t="str">
        <v>Married</v>
      </c>
      <c r="L311">
        <v>4</v>
      </c>
    </row>
    <row r="312" spans="4:12" x14ac:dyDescent="0.25">
      <c r="D312" s="18" t="str">
        <v>Caroline Rogers</v>
      </c>
      <c r="E312" t="str">
        <v>Married</v>
      </c>
      <c r="F312">
        <v>3</v>
      </c>
      <c r="J312" t="str">
        <v>Caroline Rogers</v>
      </c>
      <c r="K312" t="str">
        <v>Married</v>
      </c>
      <c r="L312">
        <v>3</v>
      </c>
    </row>
    <row r="313" spans="4:12" x14ac:dyDescent="0.25">
      <c r="D313" s="18" t="str">
        <v>Edgar Higgins</v>
      </c>
      <c r="E313" t="str">
        <v>Married</v>
      </c>
      <c r="F313">
        <v>2</v>
      </c>
      <c r="J313" t="str">
        <v>Edgar Higgins</v>
      </c>
      <c r="K313" t="str">
        <v>Married</v>
      </c>
      <c r="L313">
        <v>2</v>
      </c>
    </row>
    <row r="314" spans="4:12" x14ac:dyDescent="0.25">
      <c r="D314" s="18" t="str">
        <v>Jasmine Martin</v>
      </c>
      <c r="E314" t="str">
        <v>Married</v>
      </c>
      <c r="F314">
        <v>2</v>
      </c>
      <c r="J314" t="str">
        <v>Jasmine Martin</v>
      </c>
      <c r="K314" t="str">
        <v>Married</v>
      </c>
      <c r="L314">
        <v>2</v>
      </c>
    </row>
    <row r="315" spans="4:12" x14ac:dyDescent="0.25">
      <c r="D315" s="18" t="str">
        <v>Tara Miller</v>
      </c>
      <c r="E315" t="str">
        <v>Married</v>
      </c>
      <c r="F315">
        <v>0</v>
      </c>
      <c r="J315" t="str">
        <v>Tara Miller</v>
      </c>
      <c r="K315" t="str">
        <v>Married</v>
      </c>
      <c r="L315">
        <v>0</v>
      </c>
    </row>
    <row r="316" spans="4:12" x14ac:dyDescent="0.25">
      <c r="D316" s="18" t="str">
        <v>Charlotte Warren</v>
      </c>
      <c r="E316" t="str">
        <v>Married</v>
      </c>
      <c r="F316">
        <v>3</v>
      </c>
      <c r="J316" t="str">
        <v>Charlotte Warren</v>
      </c>
      <c r="K316" t="str">
        <v>Married</v>
      </c>
      <c r="L316">
        <v>3</v>
      </c>
    </row>
    <row r="317" spans="4:12" x14ac:dyDescent="0.25">
      <c r="D317" s="18" t="str">
        <v>John Edwards</v>
      </c>
      <c r="E317" t="str">
        <v>Married</v>
      </c>
      <c r="F317">
        <v>5</v>
      </c>
      <c r="J317" t="str">
        <v>John Edwards</v>
      </c>
      <c r="K317" t="str">
        <v>Married</v>
      </c>
      <c r="L317">
        <v>5</v>
      </c>
    </row>
    <row r="318" spans="4:12" x14ac:dyDescent="0.25">
      <c r="D318" s="18" t="str">
        <v>Robert Morrison</v>
      </c>
      <c r="E318" t="str">
        <v>Married</v>
      </c>
      <c r="F318">
        <v>3</v>
      </c>
      <c r="J318" t="str">
        <v>Robert Morrison</v>
      </c>
      <c r="K318" t="str">
        <v>Married</v>
      </c>
      <c r="L318">
        <v>3</v>
      </c>
    </row>
    <row r="319" spans="4:12" x14ac:dyDescent="0.25">
      <c r="D319" s="18" t="str">
        <v>Haris Elliott</v>
      </c>
      <c r="E319" t="str">
        <v>Married</v>
      </c>
      <c r="F319">
        <v>1</v>
      </c>
      <c r="J319" t="str">
        <v>Haris Elliott</v>
      </c>
      <c r="K319" t="str">
        <v>Married</v>
      </c>
      <c r="L319">
        <v>1</v>
      </c>
    </row>
    <row r="320" spans="4:12" x14ac:dyDescent="0.25">
      <c r="D320" s="18" t="str">
        <v>Lily Williams</v>
      </c>
      <c r="E320" t="str">
        <v>Married</v>
      </c>
      <c r="F320">
        <v>0</v>
      </c>
      <c r="J320" t="str">
        <v>Lily Williams</v>
      </c>
      <c r="K320" t="str">
        <v>Married</v>
      </c>
      <c r="L320">
        <v>0</v>
      </c>
    </row>
    <row r="321" spans="4:12" x14ac:dyDescent="0.25">
      <c r="D321" s="18" t="str">
        <v>Kristian Walker</v>
      </c>
      <c r="E321" t="str">
        <v>Married</v>
      </c>
      <c r="F321">
        <v>1</v>
      </c>
      <c r="J321" t="str">
        <v>Kristian Walker</v>
      </c>
      <c r="K321" t="str">
        <v>Married</v>
      </c>
      <c r="L321">
        <v>1</v>
      </c>
    </row>
    <row r="322" spans="4:12" x14ac:dyDescent="0.25">
      <c r="D322" s="18" t="str">
        <v>Tara Richardson</v>
      </c>
      <c r="E322" t="str">
        <v>Married</v>
      </c>
      <c r="F322">
        <v>3</v>
      </c>
      <c r="J322" t="str">
        <v>Tara Richardson</v>
      </c>
      <c r="K322" t="str">
        <v>Married</v>
      </c>
      <c r="L322">
        <v>3</v>
      </c>
    </row>
    <row r="323" spans="4:12" x14ac:dyDescent="0.25">
      <c r="D323" s="18" t="str">
        <v>Ned Farrell</v>
      </c>
      <c r="E323" t="str">
        <v>Married</v>
      </c>
      <c r="F323">
        <v>0</v>
      </c>
      <c r="J323" t="str">
        <v>Ned Farrell</v>
      </c>
      <c r="K323" t="str">
        <v>Married</v>
      </c>
      <c r="L323">
        <v>0</v>
      </c>
    </row>
    <row r="324" spans="4:12" x14ac:dyDescent="0.25">
      <c r="D324" s="18" t="str">
        <v>Clark Hawkins</v>
      </c>
      <c r="E324" t="str">
        <v>Married</v>
      </c>
      <c r="F324">
        <v>2</v>
      </c>
      <c r="J324" t="str">
        <v>Clark Hawkins</v>
      </c>
      <c r="K324" t="str">
        <v>Married</v>
      </c>
      <c r="L324">
        <v>2</v>
      </c>
    </row>
    <row r="325" spans="4:12" x14ac:dyDescent="0.25">
      <c r="D325" s="18" t="str">
        <v>Alfred Riley</v>
      </c>
      <c r="E325" t="str">
        <v>Married</v>
      </c>
      <c r="F325">
        <v>2</v>
      </c>
      <c r="J325" t="str">
        <v>Alfred Riley</v>
      </c>
      <c r="K325" t="str">
        <v>Married</v>
      </c>
      <c r="L325">
        <v>2</v>
      </c>
    </row>
    <row r="326" spans="4:12" x14ac:dyDescent="0.25">
      <c r="D326" s="18" t="str">
        <v>Adison Bailey</v>
      </c>
      <c r="E326" t="str">
        <v>Married</v>
      </c>
      <c r="F326">
        <v>4</v>
      </c>
      <c r="J326" t="str">
        <v>Adison Bailey</v>
      </c>
      <c r="K326" t="str">
        <v>Married</v>
      </c>
      <c r="L326">
        <v>4</v>
      </c>
    </row>
    <row r="327" spans="4:12" x14ac:dyDescent="0.25">
      <c r="D327" s="18" t="str">
        <v>Nicholas Evans</v>
      </c>
      <c r="E327" t="str">
        <v>Married</v>
      </c>
      <c r="F327">
        <v>2</v>
      </c>
      <c r="J327" t="str">
        <v>Nicholas Evans</v>
      </c>
      <c r="K327" t="str">
        <v>Married</v>
      </c>
      <c r="L327">
        <v>2</v>
      </c>
    </row>
    <row r="328" spans="4:12" x14ac:dyDescent="0.25">
      <c r="D328" s="18" t="str">
        <v>Owen Barrett</v>
      </c>
      <c r="E328" t="str">
        <v>Married</v>
      </c>
      <c r="F328">
        <v>5</v>
      </c>
      <c r="J328" t="str">
        <v>Owen Barrett</v>
      </c>
      <c r="K328" t="str">
        <v>Married</v>
      </c>
      <c r="L328">
        <v>5</v>
      </c>
    </row>
    <row r="329" spans="4:12" x14ac:dyDescent="0.25">
      <c r="D329" s="18" t="str">
        <v>Ada Dixon</v>
      </c>
      <c r="E329" t="str">
        <v>Married</v>
      </c>
      <c r="F329">
        <v>3</v>
      </c>
      <c r="J329" t="str">
        <v>Ada Dixon</v>
      </c>
      <c r="K329" t="str">
        <v>Married</v>
      </c>
      <c r="L329">
        <v>3</v>
      </c>
    </row>
    <row r="330" spans="4:12" x14ac:dyDescent="0.25">
      <c r="D330" s="18" t="str">
        <v>Antony West</v>
      </c>
      <c r="E330" t="str">
        <v>Married</v>
      </c>
      <c r="F330">
        <v>1</v>
      </c>
      <c r="J330" t="str">
        <v>Antony West</v>
      </c>
      <c r="K330" t="str">
        <v>Married</v>
      </c>
      <c r="L330">
        <v>1</v>
      </c>
    </row>
    <row r="331" spans="4:12" x14ac:dyDescent="0.25">
      <c r="D331" s="18" t="str">
        <v>Carina Clark</v>
      </c>
      <c r="E331" t="str">
        <v>Married</v>
      </c>
      <c r="F331">
        <v>2</v>
      </c>
      <c r="J331" t="str">
        <v>Carina Clark</v>
      </c>
      <c r="K331" t="str">
        <v>Married</v>
      </c>
      <c r="L331">
        <v>2</v>
      </c>
    </row>
    <row r="332" spans="4:12" x14ac:dyDescent="0.25">
      <c r="D332" s="18" t="str">
        <v>Alford Hall</v>
      </c>
      <c r="E332" t="str">
        <v>Married</v>
      </c>
      <c r="F332">
        <v>1</v>
      </c>
      <c r="J332" t="str">
        <v>Alford Hall</v>
      </c>
      <c r="K332" t="str">
        <v>Married</v>
      </c>
      <c r="L332">
        <v>1</v>
      </c>
    </row>
    <row r="333" spans="4:12" x14ac:dyDescent="0.25">
      <c r="D333" s="18" t="str">
        <v>Lilianna Foster</v>
      </c>
      <c r="E333" t="str">
        <v>Married</v>
      </c>
      <c r="F333">
        <v>4</v>
      </c>
      <c r="J333" t="str">
        <v>Lilianna Foster</v>
      </c>
      <c r="K333" t="str">
        <v>Married</v>
      </c>
      <c r="L333">
        <v>4</v>
      </c>
    </row>
    <row r="334" spans="4:12" x14ac:dyDescent="0.25">
      <c r="D334" s="18" t="str">
        <v>Adrianna Kelley</v>
      </c>
      <c r="E334" t="str">
        <v>Married</v>
      </c>
      <c r="F334">
        <v>3</v>
      </c>
      <c r="J334" t="str">
        <v>Adrianna Kelley</v>
      </c>
      <c r="K334" t="str">
        <v>Married</v>
      </c>
      <c r="L334">
        <v>3</v>
      </c>
    </row>
    <row r="335" spans="4:12" x14ac:dyDescent="0.25">
      <c r="D335" s="18" t="str">
        <v>Brad Howard</v>
      </c>
      <c r="E335" t="str">
        <v>Married</v>
      </c>
      <c r="F335">
        <v>2</v>
      </c>
      <c r="J335" t="str">
        <v>Brad Howard</v>
      </c>
      <c r="K335" t="str">
        <v>Married</v>
      </c>
      <c r="L335">
        <v>2</v>
      </c>
    </row>
    <row r="336" spans="4:12" x14ac:dyDescent="0.25">
      <c r="D336" s="18" t="str">
        <v>Lucas Thomas</v>
      </c>
      <c r="E336" t="str">
        <v>Married</v>
      </c>
      <c r="F336">
        <v>1</v>
      </c>
      <c r="J336" t="str">
        <v>Lucas Thomas</v>
      </c>
      <c r="K336" t="str">
        <v>Married</v>
      </c>
      <c r="L336">
        <v>1</v>
      </c>
    </row>
    <row r="337" spans="4:12" x14ac:dyDescent="0.25">
      <c r="D337" s="18" t="str">
        <v>Ted Evans</v>
      </c>
      <c r="E337" t="str">
        <v>Married</v>
      </c>
      <c r="F337">
        <v>2</v>
      </c>
      <c r="J337" t="str">
        <v>Ted Evans</v>
      </c>
      <c r="K337" t="str">
        <v>Married</v>
      </c>
      <c r="L337">
        <v>2</v>
      </c>
    </row>
    <row r="338" spans="4:12" x14ac:dyDescent="0.25">
      <c r="D338" s="18" t="str">
        <v>Cadie Hawkins</v>
      </c>
      <c r="E338" t="str">
        <v>Married</v>
      </c>
      <c r="F338">
        <v>5</v>
      </c>
      <c r="J338" t="str">
        <v>Cadie Hawkins</v>
      </c>
      <c r="K338" t="str">
        <v>Married</v>
      </c>
      <c r="L338">
        <v>5</v>
      </c>
    </row>
    <row r="339" spans="4:12" x14ac:dyDescent="0.25">
      <c r="D339" s="18" t="str">
        <v>Fiona Kelly</v>
      </c>
      <c r="E339" t="str">
        <v>Married</v>
      </c>
      <c r="F339">
        <v>5</v>
      </c>
      <c r="J339" t="str">
        <v>Fiona Kelly</v>
      </c>
      <c r="K339" t="str">
        <v>Married</v>
      </c>
      <c r="L339">
        <v>5</v>
      </c>
    </row>
    <row r="340" spans="4:12" x14ac:dyDescent="0.25">
      <c r="D340" s="18" t="str">
        <v>William Carroll</v>
      </c>
      <c r="E340" t="str">
        <v>Married</v>
      </c>
      <c r="F340">
        <v>5</v>
      </c>
      <c r="J340" t="str">
        <v>William Carroll</v>
      </c>
      <c r="K340" t="str">
        <v>Married</v>
      </c>
      <c r="L340">
        <v>5</v>
      </c>
    </row>
    <row r="341" spans="4:12" x14ac:dyDescent="0.25">
      <c r="D341" s="18" t="str">
        <v>Ryan Roberts</v>
      </c>
      <c r="E341" t="str">
        <v>Married</v>
      </c>
      <c r="F341">
        <v>5</v>
      </c>
      <c r="J341" t="str">
        <v>Ryan Roberts</v>
      </c>
      <c r="K341" t="str">
        <v>Married</v>
      </c>
      <c r="L341">
        <v>5</v>
      </c>
    </row>
    <row r="342" spans="4:12" x14ac:dyDescent="0.25">
      <c r="D342" s="18" t="str">
        <v>Heather Hawkins</v>
      </c>
      <c r="E342" t="str">
        <v>Married</v>
      </c>
      <c r="F342">
        <v>3</v>
      </c>
      <c r="J342" t="str">
        <v>Heather Hawkins</v>
      </c>
      <c r="K342" t="str">
        <v>Married</v>
      </c>
      <c r="L342">
        <v>3</v>
      </c>
    </row>
    <row r="343" spans="4:12" x14ac:dyDescent="0.25">
      <c r="D343" s="18" t="str">
        <v>Alford Myers</v>
      </c>
      <c r="E343" t="str">
        <v>Married</v>
      </c>
      <c r="F343">
        <v>0</v>
      </c>
      <c r="J343" t="str">
        <v>Alford Myers</v>
      </c>
      <c r="K343" t="str">
        <v>Married</v>
      </c>
      <c r="L343">
        <v>0</v>
      </c>
    </row>
    <row r="344" spans="4:12" x14ac:dyDescent="0.25">
      <c r="D344" s="18" t="str">
        <v>Preston Mason</v>
      </c>
      <c r="E344" t="str">
        <v>Married</v>
      </c>
      <c r="F344">
        <v>0</v>
      </c>
      <c r="J344" t="str">
        <v>Preston Mason</v>
      </c>
      <c r="K344" t="str">
        <v>Married</v>
      </c>
      <c r="L344">
        <v>0</v>
      </c>
    </row>
    <row r="345" spans="4:12" x14ac:dyDescent="0.25">
      <c r="D345" s="18" t="str">
        <v>Lucy Richardson</v>
      </c>
      <c r="E345" t="str">
        <v>Married</v>
      </c>
      <c r="F345">
        <v>2</v>
      </c>
      <c r="J345" t="str">
        <v>Lucy Richardson</v>
      </c>
      <c r="K345" t="str">
        <v>Married</v>
      </c>
      <c r="L345">
        <v>2</v>
      </c>
    </row>
    <row r="346" spans="4:12" x14ac:dyDescent="0.25">
      <c r="D346" s="18" t="str">
        <v>Reid West</v>
      </c>
      <c r="E346" t="str">
        <v>Married</v>
      </c>
      <c r="F346">
        <v>5</v>
      </c>
      <c r="J346" t="str">
        <v>Reid West</v>
      </c>
      <c r="K346" t="str">
        <v>Married</v>
      </c>
      <c r="L346">
        <v>5</v>
      </c>
    </row>
    <row r="347" spans="4:12" x14ac:dyDescent="0.25">
      <c r="D347" s="18" t="str">
        <v>Oliver Mitchell</v>
      </c>
      <c r="E347" t="str">
        <v>Married</v>
      </c>
      <c r="F347">
        <v>0</v>
      </c>
      <c r="J347" t="str">
        <v>Oliver Mitchell</v>
      </c>
      <c r="K347" t="str">
        <v>Married</v>
      </c>
      <c r="L347">
        <v>0</v>
      </c>
    </row>
    <row r="348" spans="4:12" x14ac:dyDescent="0.25">
      <c r="D348" s="18" t="str">
        <v>Julian Reed</v>
      </c>
      <c r="E348" t="str">
        <v>Married</v>
      </c>
      <c r="F348">
        <v>4</v>
      </c>
      <c r="J348" t="str">
        <v>Julian Reed</v>
      </c>
      <c r="K348" t="str">
        <v>Married</v>
      </c>
      <c r="L348">
        <v>4</v>
      </c>
    </row>
    <row r="349" spans="4:12" x14ac:dyDescent="0.25">
      <c r="D349" s="18" t="str">
        <v>Albert Stewart</v>
      </c>
      <c r="E349" t="str">
        <v>Married</v>
      </c>
      <c r="F349">
        <v>2</v>
      </c>
      <c r="J349" t="str">
        <v>Albert Stewart</v>
      </c>
      <c r="K349" t="str">
        <v>Married</v>
      </c>
      <c r="L349">
        <v>2</v>
      </c>
    </row>
    <row r="350" spans="4:12" x14ac:dyDescent="0.25">
      <c r="D350" s="18" t="str">
        <v>Nicole Hill</v>
      </c>
      <c r="E350" t="str">
        <v>Married</v>
      </c>
      <c r="F350">
        <v>1</v>
      </c>
      <c r="J350" t="str">
        <v>Nicole Hill</v>
      </c>
      <c r="K350" t="str">
        <v>Married</v>
      </c>
      <c r="L350">
        <v>1</v>
      </c>
    </row>
    <row r="351" spans="4:12" x14ac:dyDescent="0.25">
      <c r="D351" s="18" t="str">
        <v>Emma Parker</v>
      </c>
      <c r="E351" t="str">
        <v>Married</v>
      </c>
      <c r="F351">
        <v>1</v>
      </c>
      <c r="J351" t="str">
        <v>Emma Parker</v>
      </c>
      <c r="K351" t="str">
        <v>Married</v>
      </c>
      <c r="L351">
        <v>1</v>
      </c>
    </row>
    <row r="352" spans="4:12" x14ac:dyDescent="0.25">
      <c r="D352" s="18" t="str">
        <v>Spike Adams</v>
      </c>
      <c r="E352" t="str">
        <v>Married</v>
      </c>
      <c r="F352">
        <v>4</v>
      </c>
      <c r="J352" t="str">
        <v>Spike Adams</v>
      </c>
      <c r="K352" t="str">
        <v>Married</v>
      </c>
      <c r="L352">
        <v>4</v>
      </c>
    </row>
    <row r="353" spans="4:12" x14ac:dyDescent="0.25">
      <c r="D353" s="18" t="str">
        <v>Ryan Harrison</v>
      </c>
      <c r="E353" t="str">
        <v>Married</v>
      </c>
      <c r="F353">
        <v>1</v>
      </c>
      <c r="J353" t="str">
        <v>Ryan Harrison</v>
      </c>
      <c r="K353" t="str">
        <v>Married</v>
      </c>
      <c r="L353">
        <v>1</v>
      </c>
    </row>
    <row r="354" spans="4:12" x14ac:dyDescent="0.25">
      <c r="D354" s="18" t="str">
        <v>Jack Henderson</v>
      </c>
      <c r="E354" t="str">
        <v>Married</v>
      </c>
      <c r="F354">
        <v>3</v>
      </c>
      <c r="J354" t="str">
        <v>Jack Henderson</v>
      </c>
      <c r="K354" t="str">
        <v>Married</v>
      </c>
      <c r="L354">
        <v>3</v>
      </c>
    </row>
    <row r="355" spans="4:12" x14ac:dyDescent="0.25">
      <c r="D355" s="18" t="str">
        <v>Paul Sullivan</v>
      </c>
      <c r="E355" t="str">
        <v>Married</v>
      </c>
      <c r="F355">
        <v>0</v>
      </c>
      <c r="J355" t="str">
        <v>Paul Sullivan</v>
      </c>
      <c r="K355" t="str">
        <v>Married</v>
      </c>
      <c r="L355">
        <v>0</v>
      </c>
    </row>
    <row r="356" spans="4:12" x14ac:dyDescent="0.25">
      <c r="D356" s="18" t="str">
        <v>Elian Riley</v>
      </c>
      <c r="E356" t="str">
        <v>Married</v>
      </c>
      <c r="F356">
        <v>5</v>
      </c>
      <c r="J356" t="str">
        <v>Elian Riley</v>
      </c>
      <c r="K356" t="str">
        <v>Married</v>
      </c>
      <c r="L356">
        <v>5</v>
      </c>
    </row>
    <row r="357" spans="4:12" x14ac:dyDescent="0.25">
      <c r="D357" s="18" t="str">
        <v>Henry Richardson</v>
      </c>
      <c r="E357" t="str">
        <v>Married</v>
      </c>
      <c r="F357">
        <v>2</v>
      </c>
      <c r="J357" t="str">
        <v>Henry Richardson</v>
      </c>
      <c r="K357" t="str">
        <v>Married</v>
      </c>
      <c r="L357">
        <v>2</v>
      </c>
    </row>
    <row r="358" spans="4:12" x14ac:dyDescent="0.25">
      <c r="D358" s="18" t="str">
        <v>Adison Johnston</v>
      </c>
      <c r="E358" t="str">
        <v>Married</v>
      </c>
      <c r="F358">
        <v>2</v>
      </c>
      <c r="J358" t="str">
        <v>Adison Johnston</v>
      </c>
      <c r="K358" t="str">
        <v>Married</v>
      </c>
      <c r="L358">
        <v>2</v>
      </c>
    </row>
    <row r="359" spans="4:12" x14ac:dyDescent="0.25">
      <c r="D359" s="18" t="str">
        <v>Savana Hill</v>
      </c>
      <c r="E359" t="str">
        <v>Married</v>
      </c>
      <c r="F359">
        <v>1</v>
      </c>
      <c r="J359" t="str">
        <v>Savana Hill</v>
      </c>
      <c r="K359" t="str">
        <v>Married</v>
      </c>
      <c r="L359">
        <v>1</v>
      </c>
    </row>
    <row r="360" spans="4:12" x14ac:dyDescent="0.25">
      <c r="D360" s="18" t="str">
        <v>Byron Casey</v>
      </c>
      <c r="E360" t="str">
        <v>Married</v>
      </c>
      <c r="F360">
        <v>5</v>
      </c>
      <c r="J360" t="str">
        <v>Byron Casey</v>
      </c>
      <c r="K360" t="str">
        <v>Married</v>
      </c>
      <c r="L360">
        <v>5</v>
      </c>
    </row>
    <row r="361" spans="4:12" x14ac:dyDescent="0.25">
      <c r="D361" s="18" t="str">
        <v>Dominik Edwards</v>
      </c>
      <c r="E361" t="str">
        <v>Married</v>
      </c>
      <c r="F361">
        <v>1</v>
      </c>
      <c r="J361" t="str">
        <v>Dominik Edwards</v>
      </c>
      <c r="K361" t="str">
        <v>Married</v>
      </c>
      <c r="L361">
        <v>1</v>
      </c>
    </row>
    <row r="362" spans="4:12" x14ac:dyDescent="0.25">
      <c r="D362" s="18" t="str">
        <v>Sarah Watson</v>
      </c>
      <c r="E362" t="str">
        <v>Married</v>
      </c>
      <c r="F362">
        <v>3</v>
      </c>
      <c r="J362" t="str">
        <v>Sarah Watson</v>
      </c>
      <c r="K362" t="str">
        <v>Married</v>
      </c>
      <c r="L362">
        <v>3</v>
      </c>
    </row>
    <row r="363" spans="4:12" x14ac:dyDescent="0.25">
      <c r="D363" s="18" t="str">
        <v>Anna Parker</v>
      </c>
      <c r="E363" t="str">
        <v>Married</v>
      </c>
      <c r="F363">
        <v>1</v>
      </c>
      <c r="J363" t="str">
        <v>Anna Parker</v>
      </c>
      <c r="K363" t="str">
        <v>Married</v>
      </c>
      <c r="L363">
        <v>1</v>
      </c>
    </row>
    <row r="364" spans="4:12" x14ac:dyDescent="0.25">
      <c r="D364" s="18" t="str">
        <v>Michael Johnson</v>
      </c>
      <c r="E364" t="str">
        <v>Married</v>
      </c>
      <c r="F364">
        <v>5</v>
      </c>
      <c r="J364" t="str">
        <v>Michael Johnson</v>
      </c>
      <c r="K364" t="str">
        <v>Married</v>
      </c>
      <c r="L364">
        <v>5</v>
      </c>
    </row>
    <row r="365" spans="4:12" x14ac:dyDescent="0.25">
      <c r="D365" s="18" t="str">
        <v>Stella Henderson</v>
      </c>
      <c r="E365" t="str">
        <v>Married</v>
      </c>
      <c r="F365">
        <v>0</v>
      </c>
      <c r="J365" t="str">
        <v>Stella Henderson</v>
      </c>
      <c r="K365" t="str">
        <v>Married</v>
      </c>
      <c r="L365">
        <v>0</v>
      </c>
    </row>
    <row r="366" spans="4:12" x14ac:dyDescent="0.25">
      <c r="D366" s="18" t="str">
        <v>George Tucker</v>
      </c>
      <c r="E366" t="str">
        <v>Married</v>
      </c>
      <c r="F366">
        <v>1</v>
      </c>
      <c r="J366" t="str">
        <v>George Tucker</v>
      </c>
      <c r="K366" t="str">
        <v>Married</v>
      </c>
      <c r="L366">
        <v>1</v>
      </c>
    </row>
    <row r="367" spans="4:12" x14ac:dyDescent="0.25">
      <c r="D367" s="18" t="str">
        <v>Daryl Carroll</v>
      </c>
      <c r="E367" t="str">
        <v>Married</v>
      </c>
      <c r="F367">
        <v>4</v>
      </c>
      <c r="J367" t="str">
        <v>Daryl Carroll</v>
      </c>
      <c r="K367" t="str">
        <v>Married</v>
      </c>
      <c r="L367">
        <v>4</v>
      </c>
    </row>
    <row r="368" spans="4:12" x14ac:dyDescent="0.25">
      <c r="D368" s="18" t="str">
        <v>Savana Spencer</v>
      </c>
      <c r="E368" t="str">
        <v>Married</v>
      </c>
      <c r="F368">
        <v>3</v>
      </c>
      <c r="J368" t="str">
        <v>Savana Spencer</v>
      </c>
      <c r="K368" t="str">
        <v>Married</v>
      </c>
      <c r="L368">
        <v>3</v>
      </c>
    </row>
    <row r="369" spans="4:12" x14ac:dyDescent="0.25">
      <c r="D369" s="18" t="str">
        <v>Chloe Bailey</v>
      </c>
      <c r="E369" t="str">
        <v>Married</v>
      </c>
      <c r="F369">
        <v>3</v>
      </c>
      <c r="J369" t="str">
        <v>Chloe Bailey</v>
      </c>
      <c r="K369" t="str">
        <v>Married</v>
      </c>
      <c r="L369">
        <v>3</v>
      </c>
    </row>
    <row r="370" spans="4:12" x14ac:dyDescent="0.25">
      <c r="D370" s="18" t="str">
        <v>Adele Cunningham</v>
      </c>
      <c r="E370" t="str">
        <v>Married</v>
      </c>
      <c r="F370">
        <v>5</v>
      </c>
      <c r="J370" t="str">
        <v>Adele Cunningham</v>
      </c>
      <c r="K370" t="str">
        <v>Married</v>
      </c>
      <c r="L370">
        <v>5</v>
      </c>
    </row>
    <row r="371" spans="4:12" x14ac:dyDescent="0.25">
      <c r="D371" s="18" t="str">
        <v>Edwin Baker</v>
      </c>
      <c r="E371" t="str">
        <v>Married</v>
      </c>
      <c r="F371">
        <v>1</v>
      </c>
      <c r="J371" t="str">
        <v>Edwin Baker</v>
      </c>
      <c r="K371" t="str">
        <v>Married</v>
      </c>
      <c r="L371">
        <v>1</v>
      </c>
    </row>
    <row r="372" spans="4:12" x14ac:dyDescent="0.25">
      <c r="D372" s="18" t="str">
        <v>William Lloyd</v>
      </c>
      <c r="E372" t="str">
        <v>Married</v>
      </c>
      <c r="F372">
        <v>1</v>
      </c>
      <c r="J372" t="str">
        <v>William Lloyd</v>
      </c>
      <c r="K372" t="str">
        <v>Married</v>
      </c>
      <c r="L372">
        <v>1</v>
      </c>
    </row>
    <row r="373" spans="4:12" x14ac:dyDescent="0.25">
      <c r="D373" s="18" t="str">
        <v>Freddie Warren</v>
      </c>
      <c r="E373" t="str">
        <v>Married</v>
      </c>
      <c r="F373">
        <v>4</v>
      </c>
      <c r="J373" t="str">
        <v>Freddie Warren</v>
      </c>
      <c r="K373" t="str">
        <v>Married</v>
      </c>
      <c r="L373">
        <v>4</v>
      </c>
    </row>
    <row r="374" spans="4:12" x14ac:dyDescent="0.25">
      <c r="D374" s="18" t="str">
        <v>Alina Watson</v>
      </c>
      <c r="E374" t="str">
        <v>Married</v>
      </c>
      <c r="F374">
        <v>4</v>
      </c>
      <c r="J374" t="str">
        <v>Alina Watson</v>
      </c>
      <c r="K374" t="str">
        <v>Married</v>
      </c>
      <c r="L374">
        <v>4</v>
      </c>
    </row>
    <row r="375" spans="4:12" x14ac:dyDescent="0.25">
      <c r="D375" s="18" t="str">
        <v>Melanie Nelson</v>
      </c>
      <c r="E375" t="str">
        <v>Married</v>
      </c>
      <c r="F375">
        <v>3</v>
      </c>
      <c r="J375" t="str">
        <v>Melanie Nelson</v>
      </c>
      <c r="K375" t="str">
        <v>Married</v>
      </c>
      <c r="L375">
        <v>3</v>
      </c>
    </row>
    <row r="376" spans="4:12" x14ac:dyDescent="0.25">
      <c r="D376" s="18" t="str">
        <v>Roland Taylor</v>
      </c>
      <c r="E376" t="str">
        <v>Married</v>
      </c>
      <c r="F376">
        <v>5</v>
      </c>
      <c r="J376" t="str">
        <v>Roland Taylor</v>
      </c>
      <c r="K376" t="str">
        <v>Married</v>
      </c>
      <c r="L376">
        <v>5</v>
      </c>
    </row>
    <row r="377" spans="4:12" x14ac:dyDescent="0.25">
      <c r="D377" s="18" t="str">
        <v>Ryan Gibson</v>
      </c>
      <c r="E377" t="str">
        <v>Married</v>
      </c>
      <c r="F377">
        <v>3</v>
      </c>
      <c r="J377" t="str">
        <v>Ryan Gibson</v>
      </c>
      <c r="K377" t="str">
        <v>Married</v>
      </c>
      <c r="L377">
        <v>3</v>
      </c>
    </row>
    <row r="378" spans="4:12" x14ac:dyDescent="0.25">
      <c r="D378" s="18" t="str">
        <v>April Morrison</v>
      </c>
      <c r="E378" t="str">
        <v>Married</v>
      </c>
      <c r="F378">
        <v>0</v>
      </c>
      <c r="J378" t="str">
        <v>April Morrison</v>
      </c>
      <c r="K378" t="str">
        <v>Married</v>
      </c>
      <c r="L378">
        <v>0</v>
      </c>
    </row>
    <row r="379" spans="4:12" x14ac:dyDescent="0.25">
      <c r="D379" s="18" t="str">
        <v>Frederick Miller</v>
      </c>
      <c r="E379" t="str">
        <v>Married</v>
      </c>
      <c r="F379">
        <v>2</v>
      </c>
      <c r="J379" t="str">
        <v>Frederick Miller</v>
      </c>
      <c r="K379" t="str">
        <v>Married</v>
      </c>
      <c r="L379">
        <v>2</v>
      </c>
    </row>
    <row r="380" spans="4:12" x14ac:dyDescent="0.25">
      <c r="D380" s="18" t="str">
        <v>Belinda Moore</v>
      </c>
      <c r="E380" t="str">
        <v>Married</v>
      </c>
      <c r="F380">
        <v>0</v>
      </c>
      <c r="J380" t="str">
        <v>Belinda Moore</v>
      </c>
      <c r="K380" t="str">
        <v>Married</v>
      </c>
      <c r="L380">
        <v>0</v>
      </c>
    </row>
    <row r="381" spans="4:12" x14ac:dyDescent="0.25">
      <c r="D381" s="18" t="str">
        <v>Jenna Ellis</v>
      </c>
      <c r="E381" t="str">
        <v>Married</v>
      </c>
      <c r="F381">
        <v>2</v>
      </c>
      <c r="J381" t="str">
        <v>Jenna Ellis</v>
      </c>
      <c r="K381" t="str">
        <v>Married</v>
      </c>
      <c r="L381">
        <v>2</v>
      </c>
    </row>
    <row r="382" spans="4:12" x14ac:dyDescent="0.25">
      <c r="D382" s="18" t="str">
        <v>Clark Gibson</v>
      </c>
      <c r="E382" t="str">
        <v>Married</v>
      </c>
      <c r="F382">
        <v>2</v>
      </c>
      <c r="J382" t="str">
        <v>Clark Gibson</v>
      </c>
      <c r="K382" t="str">
        <v>Married</v>
      </c>
      <c r="L382">
        <v>2</v>
      </c>
    </row>
    <row r="383" spans="4:12" x14ac:dyDescent="0.25">
      <c r="D383" s="18" t="str">
        <v>Marcus Nelson</v>
      </c>
      <c r="E383" t="str">
        <v>Married</v>
      </c>
      <c r="F383">
        <v>1</v>
      </c>
      <c r="J383" t="str">
        <v>Marcus Nelson</v>
      </c>
      <c r="K383" t="str">
        <v>Married</v>
      </c>
      <c r="L383">
        <v>1</v>
      </c>
    </row>
    <row r="384" spans="4:12" x14ac:dyDescent="0.25">
      <c r="D384" s="18" t="str">
        <v>Emily Johnston</v>
      </c>
      <c r="E384" t="str">
        <v>Married</v>
      </c>
      <c r="F384">
        <v>3</v>
      </c>
      <c r="J384" t="str">
        <v>Emily Johnston</v>
      </c>
      <c r="K384" t="str">
        <v>Married</v>
      </c>
      <c r="L384">
        <v>3</v>
      </c>
    </row>
    <row r="385" spans="4:12" x14ac:dyDescent="0.25">
      <c r="D385" s="18" t="str">
        <v>Rubie Rogers</v>
      </c>
      <c r="E385" t="str">
        <v>Married</v>
      </c>
      <c r="F385">
        <v>3</v>
      </c>
      <c r="J385" t="str">
        <v>Rubie Rogers</v>
      </c>
      <c r="K385" t="str">
        <v>Married</v>
      </c>
      <c r="L385">
        <v>3</v>
      </c>
    </row>
    <row r="386" spans="4:12" x14ac:dyDescent="0.25">
      <c r="D386" s="18" t="str">
        <v>Sarah Cunningham</v>
      </c>
      <c r="E386" t="str">
        <v>Married</v>
      </c>
      <c r="F386">
        <v>5</v>
      </c>
      <c r="J386" t="str">
        <v>Sarah Cunningham</v>
      </c>
      <c r="K386" t="str">
        <v>Married</v>
      </c>
      <c r="L386">
        <v>5</v>
      </c>
    </row>
    <row r="387" spans="4:12" x14ac:dyDescent="0.25">
      <c r="D387" s="18" t="str">
        <v>Violet Thomas</v>
      </c>
      <c r="E387" t="str">
        <v>Married</v>
      </c>
      <c r="F387">
        <v>4</v>
      </c>
      <c r="J387" t="str">
        <v>Violet Thomas</v>
      </c>
      <c r="K387" t="str">
        <v>Married</v>
      </c>
      <c r="L387">
        <v>4</v>
      </c>
    </row>
    <row r="388" spans="4:12" x14ac:dyDescent="0.25">
      <c r="D388" s="18" t="str">
        <v>Frederick Ryan</v>
      </c>
      <c r="E388" t="str">
        <v>Married</v>
      </c>
      <c r="F388">
        <v>1</v>
      </c>
      <c r="J388" t="str">
        <v>Frederick Ryan</v>
      </c>
      <c r="K388" t="str">
        <v>Married</v>
      </c>
      <c r="L388">
        <v>1</v>
      </c>
    </row>
    <row r="389" spans="4:12" x14ac:dyDescent="0.25">
      <c r="D389" s="18" t="str">
        <v>Garry Turner</v>
      </c>
      <c r="E389" t="str">
        <v>Married</v>
      </c>
      <c r="F389">
        <v>4</v>
      </c>
      <c r="J389" t="str">
        <v>Garry Turner</v>
      </c>
      <c r="K389" t="str">
        <v>Married</v>
      </c>
      <c r="L389">
        <v>4</v>
      </c>
    </row>
    <row r="390" spans="4:12" x14ac:dyDescent="0.25">
      <c r="D390" s="18" t="str">
        <v>Naomi Russell</v>
      </c>
      <c r="E390" t="str">
        <v>Married</v>
      </c>
      <c r="F390">
        <v>1</v>
      </c>
      <c r="J390" t="str">
        <v>Naomi Russell</v>
      </c>
      <c r="K390" t="str">
        <v>Married</v>
      </c>
      <c r="L390">
        <v>1</v>
      </c>
    </row>
    <row r="391" spans="4:12" x14ac:dyDescent="0.25">
      <c r="D391" s="18" t="str">
        <v>Patrick Cooper</v>
      </c>
      <c r="E391" t="str">
        <v>Married</v>
      </c>
      <c r="F391">
        <v>4</v>
      </c>
      <c r="J391" t="str">
        <v>Patrick Cooper</v>
      </c>
      <c r="K391" t="str">
        <v>Married</v>
      </c>
      <c r="L391">
        <v>4</v>
      </c>
    </row>
    <row r="392" spans="4:12" x14ac:dyDescent="0.25">
      <c r="D392" s="18" t="str">
        <v>Chester Ryan</v>
      </c>
      <c r="E392" t="str">
        <v>Married</v>
      </c>
      <c r="F392">
        <v>3</v>
      </c>
      <c r="J392" t="str">
        <v>Chester Ryan</v>
      </c>
      <c r="K392" t="str">
        <v>Married</v>
      </c>
      <c r="L392">
        <v>3</v>
      </c>
    </row>
    <row r="393" spans="4:12" x14ac:dyDescent="0.25">
      <c r="D393" s="18" t="str">
        <v>Carlos Perry</v>
      </c>
      <c r="E393" t="str">
        <v>Married</v>
      </c>
      <c r="F393">
        <v>0</v>
      </c>
      <c r="J393" t="str">
        <v>Carlos Perry</v>
      </c>
      <c r="K393" t="str">
        <v>Married</v>
      </c>
      <c r="L393">
        <v>0</v>
      </c>
    </row>
    <row r="394" spans="4:12" x14ac:dyDescent="0.25">
      <c r="D394" s="18" t="str">
        <v>Ned Thompson</v>
      </c>
      <c r="E394" t="str">
        <v>Married</v>
      </c>
      <c r="F394">
        <v>4</v>
      </c>
      <c r="J394" t="str">
        <v>Ned Thompson</v>
      </c>
      <c r="K394" t="str">
        <v>Married</v>
      </c>
      <c r="L394">
        <v>4</v>
      </c>
    </row>
    <row r="395" spans="4:12" x14ac:dyDescent="0.25">
      <c r="D395" s="18" t="str">
        <v>Lilianna Baker</v>
      </c>
      <c r="E395" t="str">
        <v>Married</v>
      </c>
      <c r="F395">
        <v>0</v>
      </c>
      <c r="J395" t="str">
        <v>Lilianna Baker</v>
      </c>
      <c r="K395" t="str">
        <v>Married</v>
      </c>
      <c r="L395">
        <v>0</v>
      </c>
    </row>
    <row r="396" spans="4:12" x14ac:dyDescent="0.25">
      <c r="D396" s="18" t="str">
        <v>April Stevens</v>
      </c>
      <c r="E396" t="str">
        <v>Married</v>
      </c>
      <c r="F396">
        <v>3</v>
      </c>
      <c r="J396" t="str">
        <v>April Stevens</v>
      </c>
      <c r="K396" t="str">
        <v>Married</v>
      </c>
      <c r="L396">
        <v>3</v>
      </c>
    </row>
    <row r="397" spans="4:12" x14ac:dyDescent="0.25">
      <c r="D397" s="18" t="str">
        <v>Miley Martin</v>
      </c>
      <c r="E397" t="str">
        <v>Married</v>
      </c>
      <c r="F397">
        <v>5</v>
      </c>
      <c r="J397" t="str">
        <v>Miley Martin</v>
      </c>
      <c r="K397" t="str">
        <v>Married</v>
      </c>
      <c r="L397">
        <v>5</v>
      </c>
    </row>
    <row r="398" spans="4:12" x14ac:dyDescent="0.25">
      <c r="D398" s="18" t="str">
        <v>Clark Stewart</v>
      </c>
      <c r="E398" t="str">
        <v>Married</v>
      </c>
      <c r="F398">
        <v>4</v>
      </c>
      <c r="J398" t="str">
        <v>Clark Stewart</v>
      </c>
      <c r="K398" t="str">
        <v>Married</v>
      </c>
      <c r="L398">
        <v>4</v>
      </c>
    </row>
    <row r="399" spans="4:12" x14ac:dyDescent="0.25">
      <c r="D399" s="18" t="str">
        <v>Vincent Montgomery</v>
      </c>
      <c r="E399" t="str">
        <v>Married</v>
      </c>
      <c r="F399">
        <v>0</v>
      </c>
      <c r="J399" t="str">
        <v>Vincent Montgomery</v>
      </c>
      <c r="K399" t="str">
        <v>Married</v>
      </c>
      <c r="L399">
        <v>0</v>
      </c>
    </row>
    <row r="400" spans="4:12" x14ac:dyDescent="0.25">
      <c r="D400" s="18" t="str">
        <v>Alford Mason</v>
      </c>
      <c r="E400" t="str">
        <v>Married</v>
      </c>
      <c r="F400">
        <v>4</v>
      </c>
      <c r="J400" t="str">
        <v>Alford Mason</v>
      </c>
      <c r="K400" t="str">
        <v>Married</v>
      </c>
      <c r="L400">
        <v>4</v>
      </c>
    </row>
    <row r="401" spans="4:12" x14ac:dyDescent="0.25">
      <c r="D401" s="18" t="str">
        <v>Julian Clark</v>
      </c>
      <c r="E401" t="str">
        <v>Married</v>
      </c>
      <c r="F401">
        <v>4</v>
      </c>
      <c r="J401" t="str">
        <v>Julian Clark</v>
      </c>
      <c r="K401" t="str">
        <v>Married</v>
      </c>
      <c r="L401">
        <v>4</v>
      </c>
    </row>
    <row r="402" spans="4:12" x14ac:dyDescent="0.25">
      <c r="D402" s="18" t="str">
        <v>Edward Elliott</v>
      </c>
      <c r="E402" t="str">
        <v>Married</v>
      </c>
      <c r="F402">
        <v>3</v>
      </c>
      <c r="J402" t="str">
        <v>Edward Elliott</v>
      </c>
      <c r="K402" t="str">
        <v>Married</v>
      </c>
      <c r="L402">
        <v>3</v>
      </c>
    </row>
    <row r="403" spans="4:12" x14ac:dyDescent="0.25">
      <c r="D403" s="18" t="str">
        <v>Maximilian Cunningham</v>
      </c>
      <c r="E403" t="str">
        <v>Married</v>
      </c>
      <c r="F403">
        <v>5</v>
      </c>
      <c r="J403" t="str">
        <v>Maximilian Cunningham</v>
      </c>
      <c r="K403" t="str">
        <v>Married</v>
      </c>
      <c r="L403">
        <v>5</v>
      </c>
    </row>
    <row r="404" spans="4:12" x14ac:dyDescent="0.25">
      <c r="D404" s="18" t="str">
        <v>Julian Baker</v>
      </c>
      <c r="E404" t="str">
        <v>Married</v>
      </c>
      <c r="F404">
        <v>0</v>
      </c>
      <c r="J404" t="str">
        <v>Julian Baker</v>
      </c>
      <c r="K404" t="str">
        <v>Married</v>
      </c>
      <c r="L404">
        <v>0</v>
      </c>
    </row>
    <row r="405" spans="4:12" x14ac:dyDescent="0.25">
      <c r="D405" s="18" t="str">
        <v>Harold Barnes</v>
      </c>
      <c r="E405" t="str">
        <v>Married</v>
      </c>
      <c r="F405">
        <v>0</v>
      </c>
      <c r="J405" t="str">
        <v>Harold Barnes</v>
      </c>
      <c r="K405" t="str">
        <v>Married</v>
      </c>
      <c r="L405">
        <v>0</v>
      </c>
    </row>
    <row r="406" spans="4:12" x14ac:dyDescent="0.25">
      <c r="D406" s="18" t="str">
        <v>Thomas Wilson</v>
      </c>
      <c r="E406" t="str">
        <v>Married</v>
      </c>
      <c r="F406">
        <v>4</v>
      </c>
      <c r="J406" t="str">
        <v>Thomas Wilson</v>
      </c>
      <c r="K406" t="str">
        <v>Married</v>
      </c>
      <c r="L406">
        <v>4</v>
      </c>
    </row>
    <row r="407" spans="4:12" x14ac:dyDescent="0.25">
      <c r="D407" s="18" t="str">
        <v>Martin Chapman</v>
      </c>
      <c r="E407" t="str">
        <v>Married</v>
      </c>
      <c r="F407">
        <v>0</v>
      </c>
      <c r="J407" t="str">
        <v>Martin Chapman</v>
      </c>
      <c r="K407" t="str">
        <v>Married</v>
      </c>
      <c r="L407">
        <v>0</v>
      </c>
    </row>
    <row r="408" spans="4:12" x14ac:dyDescent="0.25">
      <c r="D408" s="18" t="str">
        <v>Paige Baker</v>
      </c>
      <c r="E408" t="str">
        <v>Married</v>
      </c>
      <c r="F408">
        <v>2</v>
      </c>
      <c r="J408" t="str">
        <v>Paige Baker</v>
      </c>
      <c r="K408" t="str">
        <v>Married</v>
      </c>
      <c r="L408">
        <v>2</v>
      </c>
    </row>
    <row r="409" spans="4:12" x14ac:dyDescent="0.25">
      <c r="D409" s="18" t="str">
        <v>Jasmine Higgins</v>
      </c>
      <c r="E409" t="str">
        <v>Married</v>
      </c>
      <c r="F409">
        <v>2</v>
      </c>
      <c r="J409" t="str">
        <v>Jasmine Higgins</v>
      </c>
      <c r="K409" t="str">
        <v>Married</v>
      </c>
      <c r="L409">
        <v>2</v>
      </c>
    </row>
    <row r="410" spans="4:12" x14ac:dyDescent="0.25">
      <c r="D410" s="18" t="str">
        <v>Carina Ferguson</v>
      </c>
      <c r="E410" t="str">
        <v>Married</v>
      </c>
      <c r="F410">
        <v>5</v>
      </c>
      <c r="J410" t="str">
        <v>Carina Ferguson</v>
      </c>
      <c r="K410" t="str">
        <v>Married</v>
      </c>
      <c r="L410">
        <v>5</v>
      </c>
    </row>
    <row r="411" spans="4:12" x14ac:dyDescent="0.25">
      <c r="D411" s="18" t="str">
        <v>Michelle Fowler</v>
      </c>
      <c r="E411" t="str">
        <v>Married</v>
      </c>
      <c r="F411">
        <v>3</v>
      </c>
      <c r="J411" t="str">
        <v>Michelle Fowler</v>
      </c>
      <c r="K411" t="str">
        <v>Married</v>
      </c>
      <c r="L411">
        <v>3</v>
      </c>
    </row>
    <row r="412" spans="4:12" x14ac:dyDescent="0.25">
      <c r="D412" s="18" t="str">
        <v>John Mason</v>
      </c>
      <c r="E412" t="str">
        <v>Married</v>
      </c>
      <c r="F412">
        <v>4</v>
      </c>
      <c r="J412" t="str">
        <v>John Mason</v>
      </c>
      <c r="K412" t="str">
        <v>Married</v>
      </c>
      <c r="L412">
        <v>4</v>
      </c>
    </row>
    <row r="413" spans="4:12" x14ac:dyDescent="0.25">
      <c r="D413" s="18" t="str">
        <v>Alisa Phillips</v>
      </c>
      <c r="E413" t="str">
        <v>Married</v>
      </c>
      <c r="F413">
        <v>0</v>
      </c>
      <c r="J413" t="str">
        <v>Alisa Phillips</v>
      </c>
      <c r="K413" t="str">
        <v>Married</v>
      </c>
      <c r="L413">
        <v>0</v>
      </c>
    </row>
    <row r="414" spans="4:12" x14ac:dyDescent="0.25">
      <c r="D414" s="18" t="str">
        <v>Nicholas Dixon</v>
      </c>
      <c r="E414" t="str">
        <v>Married</v>
      </c>
      <c r="F414">
        <v>1</v>
      </c>
      <c r="J414" t="str">
        <v>Nicholas Dixon</v>
      </c>
      <c r="K414" t="str">
        <v>Married</v>
      </c>
      <c r="L414">
        <v>1</v>
      </c>
    </row>
    <row r="415" spans="4:12" x14ac:dyDescent="0.25">
      <c r="D415" s="18" t="str">
        <v>Brooke Harrison</v>
      </c>
      <c r="E415" t="str">
        <v>Married</v>
      </c>
      <c r="F415">
        <v>1</v>
      </c>
      <c r="J415" t="str">
        <v>Brooke Harrison</v>
      </c>
      <c r="K415" t="str">
        <v>Married</v>
      </c>
      <c r="L415">
        <v>1</v>
      </c>
    </row>
    <row r="416" spans="4:12" x14ac:dyDescent="0.25">
      <c r="D416" s="18" t="str">
        <v>Naomi Elliott</v>
      </c>
      <c r="E416" t="str">
        <v>Married</v>
      </c>
      <c r="F416">
        <v>5</v>
      </c>
      <c r="J416" t="str">
        <v>Naomi Elliott</v>
      </c>
      <c r="K416" t="str">
        <v>Married</v>
      </c>
      <c r="L416">
        <v>5</v>
      </c>
    </row>
    <row r="417" spans="4:12" x14ac:dyDescent="0.25">
      <c r="D417" s="18" t="str">
        <v>Alford Hamilton</v>
      </c>
      <c r="E417" t="str">
        <v>Married</v>
      </c>
      <c r="F417">
        <v>5</v>
      </c>
      <c r="J417" t="str">
        <v>Alford Hamilton</v>
      </c>
      <c r="K417" t="str">
        <v>Married</v>
      </c>
      <c r="L417">
        <v>5</v>
      </c>
    </row>
    <row r="418" spans="4:12" x14ac:dyDescent="0.25">
      <c r="D418" s="18" t="str">
        <v>Alissa Armstrong</v>
      </c>
      <c r="E418" t="str">
        <v>Married</v>
      </c>
      <c r="F418">
        <v>3</v>
      </c>
      <c r="J418" t="str">
        <v>Alissa Armstrong</v>
      </c>
      <c r="K418" t="str">
        <v>Married</v>
      </c>
      <c r="L418">
        <v>3</v>
      </c>
    </row>
    <row r="419" spans="4:12" x14ac:dyDescent="0.25">
      <c r="D419" s="18" t="str">
        <v>Alina Henderson</v>
      </c>
      <c r="E419" t="str">
        <v>Married</v>
      </c>
      <c r="F419">
        <v>0</v>
      </c>
      <c r="J419" t="str">
        <v>Alina Henderson</v>
      </c>
      <c r="K419" t="str">
        <v>Married</v>
      </c>
      <c r="L419">
        <v>0</v>
      </c>
    </row>
    <row r="420" spans="4:12" x14ac:dyDescent="0.25">
      <c r="D420" s="18" t="str">
        <v>Julia Taylor</v>
      </c>
      <c r="E420" t="str">
        <v>Married</v>
      </c>
      <c r="F420">
        <v>1</v>
      </c>
      <c r="J420" t="str">
        <v>Julia Taylor</v>
      </c>
      <c r="K420" t="str">
        <v>Married</v>
      </c>
      <c r="L420">
        <v>1</v>
      </c>
    </row>
    <row r="421" spans="4:12" x14ac:dyDescent="0.25">
      <c r="D421" s="18" t="str">
        <v>Rubie Bailey</v>
      </c>
      <c r="E421" t="str">
        <v>Married</v>
      </c>
      <c r="F421">
        <v>5</v>
      </c>
      <c r="J421" t="str">
        <v>Rubie Bailey</v>
      </c>
      <c r="K421" t="str">
        <v>Married</v>
      </c>
      <c r="L421">
        <v>5</v>
      </c>
    </row>
    <row r="422" spans="4:12" x14ac:dyDescent="0.25">
      <c r="D422" s="18" t="str">
        <v>William Richardson</v>
      </c>
      <c r="E422" t="str">
        <v>Married</v>
      </c>
      <c r="F422">
        <v>0</v>
      </c>
      <c r="J422" t="str">
        <v>William Richardson</v>
      </c>
      <c r="K422" t="str">
        <v>Married</v>
      </c>
      <c r="L422">
        <v>0</v>
      </c>
    </row>
    <row r="423" spans="4:12" x14ac:dyDescent="0.25">
      <c r="D423" s="18" t="str">
        <v>Edith Edwards</v>
      </c>
      <c r="E423" t="str">
        <v>Married</v>
      </c>
      <c r="F423">
        <v>3</v>
      </c>
      <c r="J423" t="str">
        <v>Edith Edwards</v>
      </c>
      <c r="K423" t="str">
        <v>Married</v>
      </c>
      <c r="L423">
        <v>3</v>
      </c>
    </row>
    <row r="424" spans="4:12" x14ac:dyDescent="0.25">
      <c r="D424" s="18" t="str">
        <v>Arthur Smith</v>
      </c>
      <c r="E424" t="str">
        <v>Married</v>
      </c>
      <c r="F424">
        <v>1</v>
      </c>
      <c r="J424" t="str">
        <v>Arthur Smith</v>
      </c>
      <c r="K424" t="str">
        <v>Married</v>
      </c>
      <c r="L424">
        <v>1</v>
      </c>
    </row>
    <row r="425" spans="4:12" x14ac:dyDescent="0.25">
      <c r="D425" s="18" t="str">
        <v>Camila Carter</v>
      </c>
      <c r="E425" t="str">
        <v>Married</v>
      </c>
      <c r="F425">
        <v>0</v>
      </c>
      <c r="J425" t="str">
        <v>Camila Carter</v>
      </c>
      <c r="K425" t="str">
        <v>Married</v>
      </c>
      <c r="L425">
        <v>0</v>
      </c>
    </row>
    <row r="426" spans="4:12" x14ac:dyDescent="0.25">
      <c r="D426" s="18" t="str">
        <v>Dale Richards</v>
      </c>
      <c r="E426" t="str">
        <v>Married</v>
      </c>
      <c r="F426">
        <v>1</v>
      </c>
      <c r="J426" t="str">
        <v>Dale Richards</v>
      </c>
      <c r="K426" t="str">
        <v>Married</v>
      </c>
      <c r="L426">
        <v>1</v>
      </c>
    </row>
    <row r="427" spans="4:12" x14ac:dyDescent="0.25">
      <c r="D427" s="18" t="str">
        <v>Abigail Fowler</v>
      </c>
      <c r="E427" t="str">
        <v>Married</v>
      </c>
      <c r="F427">
        <v>0</v>
      </c>
      <c r="J427" t="str">
        <v>Abigail Fowler</v>
      </c>
      <c r="K427" t="str">
        <v>Married</v>
      </c>
      <c r="L427">
        <v>0</v>
      </c>
    </row>
    <row r="428" spans="4:12" x14ac:dyDescent="0.25">
      <c r="D428" s="18" t="str">
        <v>Mike Miller</v>
      </c>
      <c r="E428" t="str">
        <v>Married</v>
      </c>
      <c r="F428">
        <v>3</v>
      </c>
      <c r="J428" t="str">
        <v>Mike Miller</v>
      </c>
      <c r="K428" t="str">
        <v>Married</v>
      </c>
      <c r="L428">
        <v>3</v>
      </c>
    </row>
    <row r="429" spans="4:12" x14ac:dyDescent="0.25">
      <c r="D429" s="18" t="str">
        <v>Chester Smith</v>
      </c>
      <c r="E429" t="str">
        <v>Married</v>
      </c>
      <c r="F429">
        <v>0</v>
      </c>
      <c r="J429" t="str">
        <v>Chester Smith</v>
      </c>
      <c r="K429" t="str">
        <v>Married</v>
      </c>
      <c r="L429">
        <v>0</v>
      </c>
    </row>
    <row r="430" spans="4:12" x14ac:dyDescent="0.25">
      <c r="D430" s="18" t="str">
        <v>Miranda Spencer</v>
      </c>
      <c r="E430" t="str">
        <v>Married</v>
      </c>
      <c r="F430">
        <v>1</v>
      </c>
      <c r="J430" t="str">
        <v>Miranda Spencer</v>
      </c>
      <c r="K430" t="str">
        <v>Married</v>
      </c>
      <c r="L430">
        <v>1</v>
      </c>
    </row>
    <row r="431" spans="4:12" x14ac:dyDescent="0.25">
      <c r="D431" s="18" t="str">
        <v>Frederick Craig</v>
      </c>
      <c r="E431" t="str">
        <v>Married</v>
      </c>
      <c r="F431">
        <v>1</v>
      </c>
      <c r="J431" t="str">
        <v>Frederick Craig</v>
      </c>
      <c r="K431" t="str">
        <v>Married</v>
      </c>
      <c r="L431">
        <v>1</v>
      </c>
    </row>
    <row r="432" spans="4:12" x14ac:dyDescent="0.25">
      <c r="D432" s="18" t="str">
        <v>Emma Wright</v>
      </c>
      <c r="E432" t="str">
        <v>Married</v>
      </c>
      <c r="F432">
        <v>0</v>
      </c>
      <c r="J432" t="str">
        <v>Emma Wright</v>
      </c>
      <c r="K432" t="str">
        <v>Married</v>
      </c>
      <c r="L432">
        <v>0</v>
      </c>
    </row>
    <row r="433" spans="4:12" x14ac:dyDescent="0.25">
      <c r="D433" s="18" t="str">
        <v>Belinda Brown</v>
      </c>
      <c r="E433" t="str">
        <v>Married</v>
      </c>
      <c r="F433">
        <v>1</v>
      </c>
      <c r="J433" t="str">
        <v>Belinda Brown</v>
      </c>
      <c r="K433" t="str">
        <v>Married</v>
      </c>
      <c r="L433">
        <v>1</v>
      </c>
    </row>
    <row r="434" spans="4:12" x14ac:dyDescent="0.25">
      <c r="D434" s="18" t="str">
        <v>Ryan Bennett</v>
      </c>
      <c r="E434" t="str">
        <v>Married</v>
      </c>
      <c r="F434">
        <v>0</v>
      </c>
      <c r="J434" t="str">
        <v>Ryan Bennett</v>
      </c>
      <c r="K434" t="str">
        <v>Married</v>
      </c>
      <c r="L434">
        <v>0</v>
      </c>
    </row>
    <row r="435" spans="4:12" x14ac:dyDescent="0.25">
      <c r="D435" s="18" t="str">
        <v>Amelia Barrett</v>
      </c>
      <c r="E435" t="str">
        <v>Married</v>
      </c>
      <c r="F435">
        <v>1</v>
      </c>
      <c r="J435" t="str">
        <v>Amelia Barrett</v>
      </c>
      <c r="K435" t="str">
        <v>Married</v>
      </c>
      <c r="L435">
        <v>1</v>
      </c>
    </row>
    <row r="436" spans="4:12" x14ac:dyDescent="0.25">
      <c r="D436" s="18" t="str">
        <v>Alberta Robinson</v>
      </c>
      <c r="E436" t="str">
        <v>Married</v>
      </c>
      <c r="F436">
        <v>4</v>
      </c>
      <c r="J436" t="str">
        <v>Alberta Robinson</v>
      </c>
      <c r="K436" t="str">
        <v>Married</v>
      </c>
      <c r="L436">
        <v>4</v>
      </c>
    </row>
    <row r="437" spans="4:12" x14ac:dyDescent="0.25">
      <c r="D437" s="18" t="str">
        <v>Brooke Walker</v>
      </c>
      <c r="E437" t="str">
        <v>Married</v>
      </c>
      <c r="F437">
        <v>5</v>
      </c>
      <c r="J437" t="str">
        <v>Brooke Walker</v>
      </c>
      <c r="K437" t="str">
        <v>Married</v>
      </c>
      <c r="L437">
        <v>5</v>
      </c>
    </row>
    <row r="438" spans="4:12" x14ac:dyDescent="0.25">
      <c r="D438" s="18" t="str">
        <v>Briony Higgins</v>
      </c>
      <c r="E438" t="str">
        <v>Married</v>
      </c>
      <c r="F438">
        <v>0</v>
      </c>
      <c r="J438" t="str">
        <v>Briony Higgins</v>
      </c>
      <c r="K438" t="str">
        <v>Married</v>
      </c>
      <c r="L438">
        <v>0</v>
      </c>
    </row>
    <row r="439" spans="4:12" x14ac:dyDescent="0.25">
      <c r="D439" s="18" t="str">
        <v>Tara Owens</v>
      </c>
      <c r="E439" t="str">
        <v>Married</v>
      </c>
      <c r="F439">
        <v>2</v>
      </c>
      <c r="J439" t="str">
        <v>Tara Owens</v>
      </c>
      <c r="K439" t="str">
        <v>Married</v>
      </c>
      <c r="L439">
        <v>2</v>
      </c>
    </row>
    <row r="440" spans="4:12" x14ac:dyDescent="0.25">
      <c r="D440" s="18" t="str">
        <v>Adele Adams</v>
      </c>
      <c r="E440" t="str">
        <v>Married</v>
      </c>
      <c r="F440">
        <v>4</v>
      </c>
      <c r="J440" t="str">
        <v>Adele Adams</v>
      </c>
      <c r="K440" t="str">
        <v>Married</v>
      </c>
      <c r="L440">
        <v>4</v>
      </c>
    </row>
    <row r="441" spans="4:12" x14ac:dyDescent="0.25">
      <c r="D441" s="18" t="str">
        <v>Byron Tucker</v>
      </c>
      <c r="E441" t="str">
        <v>Married</v>
      </c>
      <c r="F441">
        <v>5</v>
      </c>
      <c r="J441" t="str">
        <v>Byron Tucker</v>
      </c>
      <c r="K441" t="str">
        <v>Married</v>
      </c>
      <c r="L441">
        <v>5</v>
      </c>
    </row>
    <row r="442" spans="4:12" x14ac:dyDescent="0.25">
      <c r="D442" s="18" t="str">
        <v>Eddy Hamilton</v>
      </c>
      <c r="E442" t="str">
        <v>Married</v>
      </c>
      <c r="F442">
        <v>4</v>
      </c>
      <c r="J442" t="str">
        <v>Eddy Hamilton</v>
      </c>
      <c r="K442" t="str">
        <v>Married</v>
      </c>
      <c r="L442">
        <v>4</v>
      </c>
    </row>
    <row r="443" spans="4:12" x14ac:dyDescent="0.25">
      <c r="D443" s="18" t="str">
        <v>Paige Murphy</v>
      </c>
      <c r="E443" t="str">
        <v>Married</v>
      </c>
      <c r="F443">
        <v>0</v>
      </c>
      <c r="J443" t="str">
        <v>Paige Murphy</v>
      </c>
      <c r="K443" t="str">
        <v>Married</v>
      </c>
      <c r="L443">
        <v>0</v>
      </c>
    </row>
    <row r="444" spans="4:12" x14ac:dyDescent="0.25">
      <c r="D444" s="18" t="str">
        <v>James Carroll</v>
      </c>
      <c r="E444" t="str">
        <v>Married</v>
      </c>
      <c r="F444">
        <v>3</v>
      </c>
      <c r="J444" t="str">
        <v>James Carroll</v>
      </c>
      <c r="K444" t="str">
        <v>Married</v>
      </c>
      <c r="L444">
        <v>3</v>
      </c>
    </row>
    <row r="445" spans="4:12" x14ac:dyDescent="0.25">
      <c r="D445" s="18" t="str">
        <v>David Rogers</v>
      </c>
      <c r="E445" t="str">
        <v>Married</v>
      </c>
      <c r="F445">
        <v>1</v>
      </c>
      <c r="J445" t="str">
        <v>David Rogers</v>
      </c>
      <c r="K445" t="str">
        <v>Married</v>
      </c>
      <c r="L445">
        <v>1</v>
      </c>
    </row>
    <row r="446" spans="4:12" x14ac:dyDescent="0.25">
      <c r="D446" s="18" t="str">
        <v>Edith Wright</v>
      </c>
      <c r="E446" t="str">
        <v>Married</v>
      </c>
      <c r="F446">
        <v>4</v>
      </c>
      <c r="J446" t="str">
        <v>Edith Wright</v>
      </c>
      <c r="K446" t="str">
        <v>Married</v>
      </c>
      <c r="L446">
        <v>4</v>
      </c>
    </row>
    <row r="447" spans="4:12" x14ac:dyDescent="0.25">
      <c r="D447" s="18" t="str">
        <v>Leonardo Brooks</v>
      </c>
      <c r="E447" t="str">
        <v>Married</v>
      </c>
      <c r="F447">
        <v>5</v>
      </c>
      <c r="J447" t="str">
        <v>Leonardo Brooks</v>
      </c>
      <c r="K447" t="str">
        <v>Married</v>
      </c>
      <c r="L447">
        <v>5</v>
      </c>
    </row>
    <row r="448" spans="4:12" x14ac:dyDescent="0.25">
      <c r="D448" s="18" t="str">
        <v>Sarah Dixon</v>
      </c>
      <c r="E448" t="str">
        <v>Married</v>
      </c>
      <c r="F448">
        <v>2</v>
      </c>
      <c r="J448" t="str">
        <v>Sarah Dixon</v>
      </c>
      <c r="K448" t="str">
        <v>Married</v>
      </c>
      <c r="L448">
        <v>2</v>
      </c>
    </row>
    <row r="449" spans="4:12" x14ac:dyDescent="0.25">
      <c r="D449" s="18" t="str">
        <v>Evelyn Tucker</v>
      </c>
      <c r="E449" t="str">
        <v>Married</v>
      </c>
      <c r="F449">
        <v>0</v>
      </c>
      <c r="J449" t="str">
        <v>Evelyn Tucker</v>
      </c>
      <c r="K449" t="str">
        <v>Married</v>
      </c>
      <c r="L449">
        <v>0</v>
      </c>
    </row>
    <row r="450" spans="4:12" x14ac:dyDescent="0.25">
      <c r="D450" s="18" t="str">
        <v>Luke Alexander</v>
      </c>
      <c r="E450" t="str">
        <v>Married</v>
      </c>
      <c r="F450">
        <v>2</v>
      </c>
      <c r="J450" t="str">
        <v>Luke Alexander</v>
      </c>
      <c r="K450" t="str">
        <v>Married</v>
      </c>
      <c r="L450">
        <v>2</v>
      </c>
    </row>
    <row r="451" spans="4:12" x14ac:dyDescent="0.25">
      <c r="D451" s="18" t="str">
        <v>Heather Harper</v>
      </c>
      <c r="E451" t="str">
        <v>Married</v>
      </c>
      <c r="F451">
        <v>3</v>
      </c>
      <c r="J451" t="str">
        <v>Heather Harper</v>
      </c>
      <c r="K451" t="str">
        <v>Married</v>
      </c>
      <c r="L451">
        <v>3</v>
      </c>
    </row>
    <row r="452" spans="4:12" x14ac:dyDescent="0.25">
      <c r="D452" s="18" t="str">
        <v>Fiona Harper</v>
      </c>
      <c r="E452" t="str">
        <v>Married</v>
      </c>
      <c r="F452">
        <v>5</v>
      </c>
      <c r="J452" t="str">
        <v>Fiona Harper</v>
      </c>
      <c r="K452" t="str">
        <v>Married</v>
      </c>
      <c r="L452">
        <v>5</v>
      </c>
    </row>
    <row r="453" spans="4:12" x14ac:dyDescent="0.25">
      <c r="D453" s="18" t="str">
        <v>Max Tucker</v>
      </c>
      <c r="E453" t="str">
        <v>Married</v>
      </c>
      <c r="F453">
        <v>0</v>
      </c>
      <c r="J453" t="str">
        <v>Max Tucker</v>
      </c>
      <c r="K453" t="str">
        <v>Married</v>
      </c>
      <c r="L453">
        <v>0</v>
      </c>
    </row>
    <row r="454" spans="4:12" x14ac:dyDescent="0.25">
      <c r="D454" s="18" t="str">
        <v>Carlos Fowler</v>
      </c>
      <c r="E454" t="str">
        <v>Married</v>
      </c>
      <c r="F454">
        <v>4</v>
      </c>
      <c r="J454" t="str">
        <v>Carlos Fowler</v>
      </c>
      <c r="K454" t="str">
        <v>Married</v>
      </c>
      <c r="L454">
        <v>4</v>
      </c>
    </row>
    <row r="455" spans="4:12" x14ac:dyDescent="0.25">
      <c r="D455" s="18" t="str">
        <v>Dominik Carroll</v>
      </c>
      <c r="E455" t="str">
        <v>Married</v>
      </c>
      <c r="F455">
        <v>2</v>
      </c>
      <c r="J455" t="str">
        <v>Dominik Carroll</v>
      </c>
      <c r="K455" t="str">
        <v>Married</v>
      </c>
      <c r="L455">
        <v>2</v>
      </c>
    </row>
    <row r="456" spans="4:12" x14ac:dyDescent="0.25">
      <c r="D456" s="18" t="str">
        <v>Ned Morgan</v>
      </c>
      <c r="E456" t="str">
        <v>Married</v>
      </c>
      <c r="F456">
        <v>3</v>
      </c>
      <c r="J456" t="str">
        <v>Ned Morgan</v>
      </c>
      <c r="K456" t="str">
        <v>Married</v>
      </c>
      <c r="L456">
        <v>3</v>
      </c>
    </row>
    <row r="457" spans="4:12" x14ac:dyDescent="0.25">
      <c r="D457" s="18" t="str">
        <v>Jessica Wells</v>
      </c>
      <c r="E457" t="str">
        <v>Married</v>
      </c>
      <c r="F457">
        <v>4</v>
      </c>
      <c r="J457" t="str">
        <v>Jessica Wells</v>
      </c>
      <c r="K457" t="str">
        <v>Married</v>
      </c>
      <c r="L457">
        <v>4</v>
      </c>
    </row>
    <row r="458" spans="4:12" x14ac:dyDescent="0.25">
      <c r="D458" s="18" t="str">
        <v>Frederick Henderson</v>
      </c>
      <c r="E458" t="str">
        <v>Married</v>
      </c>
      <c r="F458">
        <v>5</v>
      </c>
      <c r="J458" t="str">
        <v>Frederick Henderson</v>
      </c>
      <c r="K458" t="str">
        <v>Married</v>
      </c>
      <c r="L458">
        <v>5</v>
      </c>
    </row>
    <row r="459" spans="4:12" x14ac:dyDescent="0.25">
      <c r="D459" s="18" t="str">
        <v>Tony Douglas</v>
      </c>
      <c r="E459" t="str">
        <v>Married</v>
      </c>
      <c r="F459">
        <v>0</v>
      </c>
      <c r="J459" t="str">
        <v>Tony Douglas</v>
      </c>
      <c r="K459" t="str">
        <v>Married</v>
      </c>
      <c r="L459">
        <v>0</v>
      </c>
    </row>
    <row r="460" spans="4:12" x14ac:dyDescent="0.25">
      <c r="D460" s="18" t="str">
        <v>Ted Foster</v>
      </c>
      <c r="E460" t="str">
        <v>Married</v>
      </c>
      <c r="F460">
        <v>5</v>
      </c>
      <c r="J460" t="str">
        <v>Ted Foster</v>
      </c>
      <c r="K460" t="str">
        <v>Married</v>
      </c>
      <c r="L460">
        <v>5</v>
      </c>
    </row>
    <row r="461" spans="4:12" x14ac:dyDescent="0.25">
      <c r="D461" s="18" t="str">
        <v>Carl Walker</v>
      </c>
      <c r="E461" t="str">
        <v>Married</v>
      </c>
      <c r="F461">
        <v>3</v>
      </c>
      <c r="J461" t="str">
        <v>Carl Walker</v>
      </c>
      <c r="K461" t="str">
        <v>Married</v>
      </c>
      <c r="L461">
        <v>3</v>
      </c>
    </row>
    <row r="462" spans="4:12" x14ac:dyDescent="0.25">
      <c r="D462" s="18" t="str">
        <v>Aldus Higgins</v>
      </c>
      <c r="E462" t="str">
        <v>Married</v>
      </c>
      <c r="F462">
        <v>5</v>
      </c>
      <c r="J462" t="str">
        <v>Aldus Higgins</v>
      </c>
      <c r="K462" t="str">
        <v>Married</v>
      </c>
      <c r="L462">
        <v>5</v>
      </c>
    </row>
    <row r="463" spans="4:12" x14ac:dyDescent="0.25">
      <c r="D463" s="18" t="str">
        <v>Derek Adams</v>
      </c>
      <c r="E463" t="str">
        <v>Married</v>
      </c>
      <c r="F463">
        <v>0</v>
      </c>
      <c r="J463" t="str">
        <v>Derek Adams</v>
      </c>
      <c r="K463" t="str">
        <v>Married</v>
      </c>
      <c r="L463">
        <v>0</v>
      </c>
    </row>
    <row r="464" spans="4:12" x14ac:dyDescent="0.25">
      <c r="D464" s="18" t="str">
        <v>Arthur Stevens</v>
      </c>
      <c r="E464" t="str">
        <v>Married</v>
      </c>
      <c r="F464">
        <v>1</v>
      </c>
      <c r="J464" t="str">
        <v>Arthur Stevens</v>
      </c>
      <c r="K464" t="str">
        <v>Married</v>
      </c>
      <c r="L464">
        <v>1</v>
      </c>
    </row>
    <row r="465" spans="4:12" x14ac:dyDescent="0.25">
      <c r="D465" s="18" t="str">
        <v>Brooke Morrison</v>
      </c>
      <c r="E465" t="str">
        <v>Married</v>
      </c>
      <c r="F465">
        <v>5</v>
      </c>
      <c r="J465" t="str">
        <v>Brooke Morrison</v>
      </c>
      <c r="K465" t="str">
        <v>Married</v>
      </c>
      <c r="L465">
        <v>5</v>
      </c>
    </row>
    <row r="466" spans="4:12" x14ac:dyDescent="0.25">
      <c r="D466" s="18" t="str">
        <v>Tiana Thompson</v>
      </c>
      <c r="E466" t="str">
        <v>Married</v>
      </c>
      <c r="F466">
        <v>1</v>
      </c>
      <c r="J466" t="str">
        <v>Tiana Thompson</v>
      </c>
      <c r="K466" t="str">
        <v>Married</v>
      </c>
      <c r="L466">
        <v>1</v>
      </c>
    </row>
    <row r="467" spans="4:12" x14ac:dyDescent="0.25">
      <c r="D467" s="18" t="str">
        <v>Julia Ferguson</v>
      </c>
      <c r="E467" t="str">
        <v>Married</v>
      </c>
      <c r="F467">
        <v>1</v>
      </c>
      <c r="J467" t="str">
        <v>Julia Ferguson</v>
      </c>
      <c r="K467" t="str">
        <v>Married</v>
      </c>
      <c r="L467">
        <v>1</v>
      </c>
    </row>
    <row r="468" spans="4:12" x14ac:dyDescent="0.25">
      <c r="D468" s="18" t="str">
        <v>Rebecca Holmes</v>
      </c>
      <c r="E468" t="str">
        <v>Married</v>
      </c>
      <c r="F468">
        <v>3</v>
      </c>
      <c r="J468" t="str">
        <v>Rebecca Holmes</v>
      </c>
      <c r="K468" t="str">
        <v>Married</v>
      </c>
      <c r="L468">
        <v>3</v>
      </c>
    </row>
    <row r="469" spans="4:12" x14ac:dyDescent="0.25">
      <c r="D469" s="18" t="str">
        <v>Fiona Kelly</v>
      </c>
      <c r="E469" t="str">
        <v>Married</v>
      </c>
      <c r="F469">
        <v>0</v>
      </c>
      <c r="J469" t="str">
        <v>Fiona Kelly</v>
      </c>
      <c r="K469" t="str">
        <v>Married</v>
      </c>
      <c r="L469">
        <v>0</v>
      </c>
    </row>
    <row r="470" spans="4:12" x14ac:dyDescent="0.25">
      <c r="D470" s="18" t="str">
        <v>Adison Elliott</v>
      </c>
      <c r="E470" t="str">
        <v>Married</v>
      </c>
      <c r="F470">
        <v>1</v>
      </c>
      <c r="J470" t="str">
        <v>Adison Elliott</v>
      </c>
      <c r="K470" t="str">
        <v>Married</v>
      </c>
      <c r="L470">
        <v>1</v>
      </c>
    </row>
    <row r="471" spans="4:12" x14ac:dyDescent="0.25">
      <c r="D471" s="18" t="str">
        <v>Eric Hamilton</v>
      </c>
      <c r="E471" t="str">
        <v>Married</v>
      </c>
      <c r="F471">
        <v>2</v>
      </c>
      <c r="J471" t="str">
        <v>Eric Hamilton</v>
      </c>
      <c r="K471" t="str">
        <v>Married</v>
      </c>
      <c r="L471">
        <v>2</v>
      </c>
    </row>
    <row r="472" spans="4:12" x14ac:dyDescent="0.25">
      <c r="D472" s="18" t="str">
        <v>Byron Warren</v>
      </c>
      <c r="E472" t="str">
        <v>Married</v>
      </c>
      <c r="F472">
        <v>4</v>
      </c>
      <c r="J472" t="str">
        <v>Byron Warren</v>
      </c>
      <c r="K472" t="str">
        <v>Married</v>
      </c>
      <c r="L472">
        <v>4</v>
      </c>
    </row>
    <row r="473" spans="4:12" x14ac:dyDescent="0.25">
      <c r="D473" s="18" t="str">
        <v>Sydney Douglas</v>
      </c>
      <c r="E473" t="str">
        <v>Married</v>
      </c>
      <c r="F473">
        <v>0</v>
      </c>
      <c r="J473" t="str">
        <v>Sydney Douglas</v>
      </c>
      <c r="K473" t="str">
        <v>Married</v>
      </c>
      <c r="L473">
        <v>0</v>
      </c>
    </row>
    <row r="474" spans="4:12" x14ac:dyDescent="0.25">
      <c r="D474" s="18" t="str">
        <v>William Miller</v>
      </c>
      <c r="E474" t="str">
        <v>Married</v>
      </c>
      <c r="F474">
        <v>1</v>
      </c>
      <c r="J474" t="str">
        <v>William Miller</v>
      </c>
      <c r="K474" t="str">
        <v>Married</v>
      </c>
      <c r="L474">
        <v>1</v>
      </c>
    </row>
    <row r="475" spans="4:12" x14ac:dyDescent="0.25">
      <c r="D475" s="18" t="str">
        <v>Edgar Wilson</v>
      </c>
      <c r="E475" t="str">
        <v>Married</v>
      </c>
      <c r="F475">
        <v>5</v>
      </c>
      <c r="J475" t="str">
        <v>Edgar Wilson</v>
      </c>
      <c r="K475" t="str">
        <v>Married</v>
      </c>
      <c r="L475">
        <v>5</v>
      </c>
    </row>
    <row r="476" spans="4:12" x14ac:dyDescent="0.25">
      <c r="D476" s="18" t="str">
        <v>Paige Tucker</v>
      </c>
      <c r="E476" t="str">
        <v>Married</v>
      </c>
      <c r="F476">
        <v>2</v>
      </c>
      <c r="J476" t="str">
        <v>Paige Tucker</v>
      </c>
      <c r="K476" t="str">
        <v>Married</v>
      </c>
      <c r="L476">
        <v>2</v>
      </c>
    </row>
    <row r="477" spans="4:12" x14ac:dyDescent="0.25">
      <c r="D477" s="18" t="str">
        <v>Antony Roberts</v>
      </c>
      <c r="E477" t="str">
        <v>Married</v>
      </c>
      <c r="F477">
        <v>3</v>
      </c>
      <c r="J477" t="str">
        <v>Antony Roberts</v>
      </c>
      <c r="K477" t="str">
        <v>Married</v>
      </c>
      <c r="L477">
        <v>3</v>
      </c>
    </row>
    <row r="478" spans="4:12" x14ac:dyDescent="0.25">
      <c r="D478" s="18" t="str">
        <v>Adison Hall</v>
      </c>
      <c r="E478" t="str">
        <v>Married</v>
      </c>
      <c r="F478">
        <v>2</v>
      </c>
      <c r="J478" t="str">
        <v>Adison Hall</v>
      </c>
      <c r="K478" t="str">
        <v>Married</v>
      </c>
      <c r="L478">
        <v>2</v>
      </c>
    </row>
    <row r="479" spans="4:12" x14ac:dyDescent="0.25">
      <c r="D479" s="18" t="str">
        <v>Oscar Alexander</v>
      </c>
      <c r="E479" t="str">
        <v>Married</v>
      </c>
      <c r="F479">
        <v>1</v>
      </c>
      <c r="J479" t="str">
        <v>Oscar Alexander</v>
      </c>
      <c r="K479" t="str">
        <v>Married</v>
      </c>
      <c r="L479">
        <v>1</v>
      </c>
    </row>
    <row r="480" spans="4:12" x14ac:dyDescent="0.25">
      <c r="D480" s="18" t="str">
        <v>Jessica Fowler</v>
      </c>
      <c r="E480" t="str">
        <v>Married</v>
      </c>
      <c r="F480">
        <v>4</v>
      </c>
      <c r="J480" t="str">
        <v>Jessica Fowler</v>
      </c>
      <c r="K480" t="str">
        <v>Married</v>
      </c>
      <c r="L480">
        <v>4</v>
      </c>
    </row>
    <row r="481" spans="4:12" x14ac:dyDescent="0.25">
      <c r="D481" s="18" t="str">
        <v>Lucas Jones</v>
      </c>
      <c r="E481" t="str">
        <v>Married</v>
      </c>
      <c r="F481">
        <v>1</v>
      </c>
      <c r="J481" t="str">
        <v>Lucas Jones</v>
      </c>
      <c r="K481" t="str">
        <v>Married</v>
      </c>
      <c r="L481">
        <v>1</v>
      </c>
    </row>
    <row r="482" spans="4:12" x14ac:dyDescent="0.25">
      <c r="D482" s="18" t="str">
        <v>Vivian Casey</v>
      </c>
      <c r="E482" t="str">
        <v>Married</v>
      </c>
      <c r="F482">
        <v>0</v>
      </c>
      <c r="J482" t="str">
        <v>Vivian Casey</v>
      </c>
      <c r="K482" t="str">
        <v>Married</v>
      </c>
      <c r="L482">
        <v>0</v>
      </c>
    </row>
    <row r="483" spans="4:12" x14ac:dyDescent="0.25">
      <c r="D483" s="18" t="str">
        <v>Anna Tucker</v>
      </c>
      <c r="E483" t="str">
        <v>Married</v>
      </c>
      <c r="F483">
        <v>0</v>
      </c>
      <c r="J483" t="str">
        <v>Anna Tucker</v>
      </c>
      <c r="K483" t="str">
        <v>Married</v>
      </c>
      <c r="L483">
        <v>0</v>
      </c>
    </row>
    <row r="484" spans="4:12" x14ac:dyDescent="0.25">
      <c r="D484" s="18" t="str">
        <v>Adelaide Montgomery</v>
      </c>
      <c r="E484" t="str">
        <v>Married</v>
      </c>
      <c r="F484">
        <v>2</v>
      </c>
      <c r="J484" t="str">
        <v>Adelaide Montgomery</v>
      </c>
      <c r="K484" t="str">
        <v>Married</v>
      </c>
      <c r="L484">
        <v>2</v>
      </c>
    </row>
    <row r="485" spans="4:12" x14ac:dyDescent="0.25">
      <c r="D485" s="18" t="str">
        <v>Rosie Harper</v>
      </c>
      <c r="E485" t="str">
        <v>Married</v>
      </c>
      <c r="F485">
        <v>0</v>
      </c>
      <c r="J485" t="str">
        <v>Rosie Harper</v>
      </c>
      <c r="K485" t="str">
        <v>Married</v>
      </c>
      <c r="L485">
        <v>0</v>
      </c>
    </row>
    <row r="486" spans="4:12" x14ac:dyDescent="0.25">
      <c r="D486" s="18" t="str">
        <v>Emily Baker</v>
      </c>
      <c r="E486" t="str">
        <v>Married</v>
      </c>
      <c r="F486">
        <v>0</v>
      </c>
      <c r="J486" t="str">
        <v>Emily Baker</v>
      </c>
      <c r="K486" t="str">
        <v>Married</v>
      </c>
      <c r="L486">
        <v>0</v>
      </c>
    </row>
    <row r="487" spans="4:12" x14ac:dyDescent="0.25">
      <c r="D487" s="18" t="str">
        <v>Lydia Chapman</v>
      </c>
      <c r="E487" t="str">
        <v>Married</v>
      </c>
      <c r="F487">
        <v>0</v>
      </c>
      <c r="J487" t="str">
        <v>Lydia Chapman</v>
      </c>
      <c r="K487" t="str">
        <v>Married</v>
      </c>
      <c r="L487">
        <v>0</v>
      </c>
    </row>
    <row r="488" spans="4:12" x14ac:dyDescent="0.25">
      <c r="D488" s="18" t="str">
        <v>Aiden Chapman</v>
      </c>
      <c r="E488" t="str">
        <v>Married</v>
      </c>
      <c r="F488">
        <v>1</v>
      </c>
      <c r="J488" t="str">
        <v>Aiden Chapman</v>
      </c>
      <c r="K488" t="str">
        <v>Married</v>
      </c>
      <c r="L488">
        <v>1</v>
      </c>
    </row>
  </sheetData>
  <dataValidations count="2">
    <dataValidation type="list" allowBlank="1" showInputMessage="1" showErrorMessage="1" sqref="C2" xr:uid="{60B8F648-32C8-4D19-8B32-D7634BFD1590}">
      <formula1>"married,single"</formula1>
    </dataValidation>
    <dataValidation type="list" allowBlank="1" showInputMessage="1" showErrorMessage="1" sqref="I2" xr:uid="{269EA34C-0D43-48D8-AE82-F204C340D531}">
      <formula1>"single,married"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0B47D-533F-4DBD-BFC5-2B46AC4C9562}">
  <dimension ref="B1:M516"/>
  <sheetViews>
    <sheetView workbookViewId="0">
      <selection activeCell="F2" sqref="F2"/>
    </sheetView>
  </sheetViews>
  <sheetFormatPr defaultRowHeight="13.8" x14ac:dyDescent="0.25"/>
  <cols>
    <col min="2" max="2" width="8.296875" bestFit="1" customWidth="1"/>
    <col min="3" max="3" width="8.296875" customWidth="1"/>
    <col min="5" max="5" width="11.09765625" bestFit="1" customWidth="1"/>
    <col min="6" max="6" width="9.69921875" customWidth="1"/>
    <col min="7" max="7" width="16.09765625" bestFit="1" customWidth="1"/>
    <col min="8" max="8" width="13.796875" bestFit="1" customWidth="1"/>
    <col min="9" max="9" width="15.69921875" bestFit="1" customWidth="1"/>
    <col min="10" max="10" width="19.09765625" bestFit="1" customWidth="1"/>
    <col min="11" max="11" width="15.69921875" style="26" bestFit="1" customWidth="1"/>
    <col min="12" max="12" width="11.19921875" bestFit="1" customWidth="1"/>
    <col min="13" max="13" width="13.19921875" bestFit="1" customWidth="1"/>
  </cols>
  <sheetData>
    <row r="1" spans="2:13" ht="15" x14ac:dyDescent="0.25">
      <c r="B1" s="21" t="s">
        <v>1346</v>
      </c>
      <c r="C1" s="21"/>
      <c r="D1" s="20"/>
      <c r="E1" s="21" t="s">
        <v>1343</v>
      </c>
      <c r="F1" s="21" t="s">
        <v>1346</v>
      </c>
      <c r="G1" s="21" t="s">
        <v>1348</v>
      </c>
      <c r="H1" s="21" t="s">
        <v>1350</v>
      </c>
      <c r="I1" s="22" t="s">
        <v>1351</v>
      </c>
      <c r="J1" s="22" t="s">
        <v>1345</v>
      </c>
      <c r="K1" s="25" t="s">
        <v>1351</v>
      </c>
      <c r="L1" s="22" t="s">
        <v>1344</v>
      </c>
      <c r="M1" s="22" t="s">
        <v>1356</v>
      </c>
    </row>
    <row r="2" spans="2:13" x14ac:dyDescent="0.25">
      <c r="B2" s="20" t="s">
        <v>8</v>
      </c>
      <c r="D2" s="20"/>
      <c r="E2" s="20" t="str" cm="1">
        <f t="array" ref="E2:E487">_xlfn._xlws.FILTER(Sheet1!A:A,Sheet1!D:D=Index_Match!B2)</f>
        <v>Grace</v>
      </c>
      <c r="F2" s="20" t="str">
        <f>IF(ISBLANK($E2),"",INDEX(Sheet1!$A:$J,MATCH(Index_Match!$E2,Sheet1!$A:$A,0),MATCH(Index_Match!F$1,Sheet1!$A$1:$J$1,0)))</f>
        <v>Female</v>
      </c>
      <c r="G2" s="20" t="str">
        <f>IF(ISBLANK($E2),"",INDEX(Sheet1!$A:$J,MATCH(Index_Match!$E2,Sheet1!$A:$A,0),MATCH(Index_Match!G$1,Sheet1!$A$1:$J$1,0)))</f>
        <v>Insurer</v>
      </c>
      <c r="H2" s="20" t="str">
        <f>IF(ISBLANK($E2),"",INDEX(Sheet1!$A:$J,MATCH(Index_Match!$E2,Sheet1!$A:$A,0),MATCH(Index_Match!H$1,Sheet1!$A$1:$J$1,0)))</f>
        <v>Married</v>
      </c>
      <c r="I2" s="23">
        <f>IF(ISBLANK($E2),"",INDEX(Sheet1!$A:$J,MATCH(Index_Match!$E2,Sheet1!$A:$A,0),MATCH(Index_Match!I$1,Sheet1!$A$1:$J$1,0)))</f>
        <v>1</v>
      </c>
      <c r="J2" s="20" t="str">
        <f>IF(ISBLANK($E2),"",INDEX(Sheet1!$A:$J,MATCH(Index_Match!$E2,Sheet1!$A:$A,0),MATCH(Index_Match!J$1,Sheet1!$A$1:$J$1,0)))</f>
        <v>Grace Taylor</v>
      </c>
      <c r="K2" s="23">
        <f>IF(ISBLANK($E2),"",INDEX(Sheet1!$A:$J,MATCH(Index_Match!$E2,Sheet1!$A:$A,0),MATCH(Index_Match!K$1,Sheet1!$A$1:$J$1,0)))</f>
        <v>1</v>
      </c>
      <c r="L2" s="20" t="str">
        <f>IF(ISBLANK($E2),"",INDEX(Sheet1!$A:$J,MATCH(Index_Match!$E2,Sheet1!$A:$A,0),MATCH(Index_Match!L$1,Sheet1!$A$1:$J$1,0)))</f>
        <v>Taylor</v>
      </c>
      <c r="M2" s="20" t="str">
        <f>IF(ISBLANK($E2),"",INDEX(Sheet1!$A:$J,MATCH(Index_Match!$E2,Sheet1!$A:$A,0),MATCH(Index_Match!M$1,Sheet1!$A$1:$J$1,0)))</f>
        <v>Middle Age</v>
      </c>
    </row>
    <row r="3" spans="2:13" x14ac:dyDescent="0.25">
      <c r="B3" s="20"/>
      <c r="C3" s="20"/>
      <c r="D3" s="20"/>
      <c r="E3" s="20" t="str">
        <v>Vanessa</v>
      </c>
      <c r="F3" s="20" t="str">
        <f>IF(ISBLANK($E3),"",INDEX(Sheet1!$A:$J,MATCH(Index_Match!$E3,Sheet1!$A:$A,0),MATCH(Index_Match!F$1,Sheet1!$A$1:$J$1,0)))</f>
        <v>Female</v>
      </c>
      <c r="G3" s="20" t="str">
        <f>IF(ISBLANK($E3),"",INDEX(Sheet1!$A:$J,MATCH(Index_Match!$E3,Sheet1!$A:$A,0),MATCH(Index_Match!G$1,Sheet1!$A$1:$J$1,0)))</f>
        <v>Lawyer</v>
      </c>
      <c r="H3" s="20" t="str">
        <f>IF(ISBLANK($E3),"",INDEX(Sheet1!$A:$J,MATCH(Index_Match!$E3,Sheet1!$A:$A,0),MATCH(Index_Match!H$1,Sheet1!$A$1:$J$1,0)))</f>
        <v>Married</v>
      </c>
      <c r="I3" s="23">
        <f>IF(ISBLANK($E3),"",INDEX(Sheet1!$A:$J,MATCH(Index_Match!$E3,Sheet1!$A:$A,0),MATCH(Index_Match!I$1,Sheet1!$A$1:$J$1,0)))</f>
        <v>2</v>
      </c>
      <c r="J3" s="20" t="str">
        <f>IF(ISBLANK($E3),"",INDEX(Sheet1!$A:$J,MATCH(Index_Match!$E3,Sheet1!$A:$A,0),MATCH(Index_Match!J$1,Sheet1!$A$1:$J$1,0)))</f>
        <v>Vanessa Farrell</v>
      </c>
      <c r="K3" s="23">
        <f>IF(ISBLANK($E3),"",INDEX(Sheet1!$A:$J,MATCH(Index_Match!$E3,Sheet1!$A:$A,0),MATCH(Index_Match!K$1,Sheet1!$A$1:$J$1,0)))</f>
        <v>2</v>
      </c>
      <c r="L3" s="20" t="str">
        <f>IF(ISBLANK($E3),"",INDEX(Sheet1!$A:$J,MATCH(Index_Match!$E3,Sheet1!$A:$A,0),MATCH(Index_Match!L$1,Sheet1!$A$1:$J$1,0)))</f>
        <v>Farrell</v>
      </c>
      <c r="M3" s="20" t="str">
        <f>IF(ISBLANK($E3),"",INDEX(Sheet1!$A:$J,MATCH(Index_Match!$E3,Sheet1!$A:$A,0),MATCH(Index_Match!M$1,Sheet1!$A$1:$J$1,0)))</f>
        <v>Young</v>
      </c>
    </row>
    <row r="4" spans="2:13" x14ac:dyDescent="0.25">
      <c r="B4" s="20"/>
      <c r="C4" s="20"/>
      <c r="D4" s="20"/>
      <c r="E4" s="20" t="str">
        <v>Belinda</v>
      </c>
      <c r="F4" s="20" t="str">
        <f>IF(ISBLANK($E4),"",INDEX(Sheet1!$A:$J,MATCH(Index_Match!$E4,Sheet1!$A:$A,0),MATCH(Index_Match!F$1,Sheet1!$A$1:$J$1,0)))</f>
        <v>Female</v>
      </c>
      <c r="G4" s="20" t="str">
        <f>IF(ISBLANK($E4),"",INDEX(Sheet1!$A:$J,MATCH(Index_Match!$E4,Sheet1!$A:$A,0),MATCH(Index_Match!G$1,Sheet1!$A$1:$J$1,0)))</f>
        <v>Dancer</v>
      </c>
      <c r="H4" s="20" t="str">
        <f>IF(ISBLANK($E4),"",INDEX(Sheet1!$A:$J,MATCH(Index_Match!$E4,Sheet1!$A:$A,0),MATCH(Index_Match!H$1,Sheet1!$A$1:$J$1,0)))</f>
        <v>Married</v>
      </c>
      <c r="I4" s="23">
        <f>IF(ISBLANK($E4),"",INDEX(Sheet1!$A:$J,MATCH(Index_Match!$E4,Sheet1!$A:$A,0),MATCH(Index_Match!I$1,Sheet1!$A$1:$J$1,0)))</f>
        <v>5</v>
      </c>
      <c r="J4" s="20" t="str">
        <f>IF(ISBLANK($E4),"",INDEX(Sheet1!$A:$J,MATCH(Index_Match!$E4,Sheet1!$A:$A,0),MATCH(Index_Match!J$1,Sheet1!$A$1:$J$1,0)))</f>
        <v>Belinda Spencer</v>
      </c>
      <c r="K4" s="23">
        <f>IF(ISBLANK($E4),"",INDEX(Sheet1!$A:$J,MATCH(Index_Match!$E4,Sheet1!$A:$A,0),MATCH(Index_Match!K$1,Sheet1!$A$1:$J$1,0)))</f>
        <v>5</v>
      </c>
      <c r="L4" s="20" t="str">
        <f>IF(ISBLANK($E4),"",INDEX(Sheet1!$A:$J,MATCH(Index_Match!$E4,Sheet1!$A:$A,0),MATCH(Index_Match!L$1,Sheet1!$A$1:$J$1,0)))</f>
        <v>Spencer</v>
      </c>
      <c r="M4" s="20" t="str">
        <f>IF(ISBLANK($E4),"",INDEX(Sheet1!$A:$J,MATCH(Index_Match!$E4,Sheet1!$A:$A,0),MATCH(Index_Match!M$1,Sheet1!$A$1:$J$1,0)))</f>
        <v>Young</v>
      </c>
    </row>
    <row r="5" spans="2:13" x14ac:dyDescent="0.25">
      <c r="B5" s="20"/>
      <c r="C5" s="20"/>
      <c r="D5" s="20"/>
      <c r="E5" s="20" t="str">
        <v>Alina</v>
      </c>
      <c r="F5" s="20" t="str">
        <f>IF(ISBLANK($E5),"",INDEX(Sheet1!$A:$J,MATCH(Index_Match!$E5,Sheet1!$A:$A,0),MATCH(Index_Match!F$1,Sheet1!$A$1:$J$1,0)))</f>
        <v>Female</v>
      </c>
      <c r="G5" s="20" t="str">
        <f>IF(ISBLANK($E5),"",INDEX(Sheet1!$A:$J,MATCH(Index_Match!$E5,Sheet1!$A:$A,0),MATCH(Index_Match!G$1,Sheet1!$A$1:$J$1,0)))</f>
        <v>Engineer</v>
      </c>
      <c r="H5" s="20" t="str">
        <f>IF(ISBLANK($E5),"",INDEX(Sheet1!$A:$J,MATCH(Index_Match!$E5,Sheet1!$A:$A,0),MATCH(Index_Match!H$1,Sheet1!$A$1:$J$1,0)))</f>
        <v>Single</v>
      </c>
      <c r="I5" s="23">
        <f>IF(ISBLANK($E5),"",INDEX(Sheet1!$A:$J,MATCH(Index_Match!$E5,Sheet1!$A:$A,0),MATCH(Index_Match!I$1,Sheet1!$A$1:$J$1,0)))</f>
        <v>0</v>
      </c>
      <c r="J5" s="20" t="str">
        <f>IF(ISBLANK($E5),"",INDEX(Sheet1!$A:$J,MATCH(Index_Match!$E5,Sheet1!$A:$A,0),MATCH(Index_Match!J$1,Sheet1!$A$1:$J$1,0)))</f>
        <v>Alina Russell</v>
      </c>
      <c r="K5" s="23">
        <f>IF(ISBLANK($E5),"",INDEX(Sheet1!$A:$J,MATCH(Index_Match!$E5,Sheet1!$A:$A,0),MATCH(Index_Match!K$1,Sheet1!$A$1:$J$1,0)))</f>
        <v>0</v>
      </c>
      <c r="L5" s="20" t="str">
        <f>IF(ISBLANK($E5),"",INDEX(Sheet1!$A:$J,MATCH(Index_Match!$E5,Sheet1!$A:$A,0),MATCH(Index_Match!L$1,Sheet1!$A$1:$J$1,0)))</f>
        <v>Russell</v>
      </c>
      <c r="M5" s="20" t="str">
        <f>IF(ISBLANK($E5),"",INDEX(Sheet1!$A:$J,MATCH(Index_Match!$E5,Sheet1!$A:$A,0),MATCH(Index_Match!M$1,Sheet1!$A$1:$J$1,0)))</f>
        <v>Old</v>
      </c>
    </row>
    <row r="6" spans="2:13" x14ac:dyDescent="0.25">
      <c r="B6" s="20"/>
      <c r="C6" s="20"/>
      <c r="D6" s="20"/>
      <c r="E6" s="20" t="str">
        <v>Tiana</v>
      </c>
      <c r="F6" s="20" t="str">
        <f>IF(ISBLANK($E6),"",INDEX(Sheet1!$A:$J,MATCH(Index_Match!$E6,Sheet1!$A:$A,0),MATCH(Index_Match!F$1,Sheet1!$A$1:$J$1,0)))</f>
        <v>Female</v>
      </c>
      <c r="G6" s="20" t="str">
        <f>IF(ISBLANK($E6),"",INDEX(Sheet1!$A:$J,MATCH(Index_Match!$E6,Sheet1!$A:$A,0),MATCH(Index_Match!G$1,Sheet1!$A$1:$J$1,0)))</f>
        <v>Composer</v>
      </c>
      <c r="H6" s="20" t="str">
        <f>IF(ISBLANK($E6),"",INDEX(Sheet1!$A:$J,MATCH(Index_Match!$E6,Sheet1!$A:$A,0),MATCH(Index_Match!H$1,Sheet1!$A$1:$J$1,0)))</f>
        <v>Single</v>
      </c>
      <c r="I6" s="23">
        <f>IF(ISBLANK($E6),"",INDEX(Sheet1!$A:$J,MATCH(Index_Match!$E6,Sheet1!$A:$A,0),MATCH(Index_Match!I$1,Sheet1!$A$1:$J$1,0)))</f>
        <v>4</v>
      </c>
      <c r="J6" s="20" t="str">
        <f>IF(ISBLANK($E6),"",INDEX(Sheet1!$A:$J,MATCH(Index_Match!$E6,Sheet1!$A:$A,0),MATCH(Index_Match!J$1,Sheet1!$A$1:$J$1,0)))</f>
        <v>Tiana Wright</v>
      </c>
      <c r="K6" s="23">
        <f>IF(ISBLANK($E6),"",INDEX(Sheet1!$A:$J,MATCH(Index_Match!$E6,Sheet1!$A:$A,0),MATCH(Index_Match!K$1,Sheet1!$A$1:$J$1,0)))</f>
        <v>4</v>
      </c>
      <c r="L6" s="20" t="str">
        <f>IF(ISBLANK($E6),"",INDEX(Sheet1!$A:$J,MATCH(Index_Match!$E6,Sheet1!$A:$A,0),MATCH(Index_Match!L$1,Sheet1!$A$1:$J$1,0)))</f>
        <v>Wright</v>
      </c>
      <c r="M6" s="20" t="str">
        <f>IF(ISBLANK($E6),"",INDEX(Sheet1!$A:$J,MATCH(Index_Match!$E6,Sheet1!$A:$A,0),MATCH(Index_Match!M$1,Sheet1!$A$1:$J$1,0)))</f>
        <v>Old</v>
      </c>
    </row>
    <row r="7" spans="2:13" x14ac:dyDescent="0.25">
      <c r="B7" s="20"/>
      <c r="C7" s="20"/>
      <c r="D7" s="20"/>
      <c r="E7" s="20" t="str">
        <v>Kimberly</v>
      </c>
      <c r="F7" s="20" t="str">
        <f>IF(ISBLANK($E7),"",INDEX(Sheet1!$A:$J,MATCH(Index_Match!$E7,Sheet1!$A:$A,0),MATCH(Index_Match!F$1,Sheet1!$A$1:$J$1,0)))</f>
        <v>Female</v>
      </c>
      <c r="G7" s="20" t="str">
        <f>IF(ISBLANK($E7),"",INDEX(Sheet1!$A:$J,MATCH(Index_Match!$E7,Sheet1!$A:$A,0),MATCH(Index_Match!G$1,Sheet1!$A$1:$J$1,0)))</f>
        <v>Geologist</v>
      </c>
      <c r="H7" s="20" t="str">
        <f>IF(ISBLANK($E7),"",INDEX(Sheet1!$A:$J,MATCH(Index_Match!$E7,Sheet1!$A:$A,0),MATCH(Index_Match!H$1,Sheet1!$A$1:$J$1,0)))</f>
        <v>Single</v>
      </c>
      <c r="I7" s="23">
        <f>IF(ISBLANK($E7),"",INDEX(Sheet1!$A:$J,MATCH(Index_Match!$E7,Sheet1!$A:$A,0),MATCH(Index_Match!I$1,Sheet1!$A$1:$J$1,0)))</f>
        <v>2</v>
      </c>
      <c r="J7" s="20" t="str">
        <f>IF(ISBLANK($E7),"",INDEX(Sheet1!$A:$J,MATCH(Index_Match!$E7,Sheet1!$A:$A,0),MATCH(Index_Match!J$1,Sheet1!$A$1:$J$1,0)))</f>
        <v>Kimberly Rogers</v>
      </c>
      <c r="K7" s="23">
        <f>IF(ISBLANK($E7),"",INDEX(Sheet1!$A:$J,MATCH(Index_Match!$E7,Sheet1!$A:$A,0),MATCH(Index_Match!K$1,Sheet1!$A$1:$J$1,0)))</f>
        <v>2</v>
      </c>
      <c r="L7" s="20" t="str">
        <f>IF(ISBLANK($E7),"",INDEX(Sheet1!$A:$J,MATCH(Index_Match!$E7,Sheet1!$A:$A,0),MATCH(Index_Match!L$1,Sheet1!$A$1:$J$1,0)))</f>
        <v>Rogers</v>
      </c>
      <c r="M7" s="20" t="str">
        <f>IF(ISBLANK($E7),"",INDEX(Sheet1!$A:$J,MATCH(Index_Match!$E7,Sheet1!$A:$A,0),MATCH(Index_Match!M$1,Sheet1!$A$1:$J$1,0)))</f>
        <v>Old</v>
      </c>
    </row>
    <row r="8" spans="2:13" x14ac:dyDescent="0.25">
      <c r="B8" s="20"/>
      <c r="C8" s="20"/>
      <c r="D8" s="20"/>
      <c r="E8" s="20" t="str">
        <v>Amelia</v>
      </c>
      <c r="F8" s="20" t="str">
        <f>IF(ISBLANK($E8),"",INDEX(Sheet1!$A:$J,MATCH(Index_Match!$E8,Sheet1!$A:$A,0),MATCH(Index_Match!F$1,Sheet1!$A$1:$J$1,0)))</f>
        <v>Female</v>
      </c>
      <c r="G8" s="20" t="str">
        <f>IF(ISBLANK($E8),"",INDEX(Sheet1!$A:$J,MATCH(Index_Match!$E8,Sheet1!$A:$A,0),MATCH(Index_Match!G$1,Sheet1!$A$1:$J$1,0)))</f>
        <v>Scientist</v>
      </c>
      <c r="H8" s="20" t="str">
        <f>IF(ISBLANK($E8),"",INDEX(Sheet1!$A:$J,MATCH(Index_Match!$E8,Sheet1!$A:$A,0),MATCH(Index_Match!H$1,Sheet1!$A$1:$J$1,0)))</f>
        <v>Single</v>
      </c>
      <c r="I8" s="23">
        <f>IF(ISBLANK($E8),"",INDEX(Sheet1!$A:$J,MATCH(Index_Match!$E8,Sheet1!$A:$A,0),MATCH(Index_Match!I$1,Sheet1!$A$1:$J$1,0)))</f>
        <v>2</v>
      </c>
      <c r="J8" s="20" t="str">
        <f>IF(ISBLANK($E8),"",INDEX(Sheet1!$A:$J,MATCH(Index_Match!$E8,Sheet1!$A:$A,0),MATCH(Index_Match!J$1,Sheet1!$A$1:$J$1,0)))</f>
        <v>Amelia Craig</v>
      </c>
      <c r="K8" s="23">
        <f>IF(ISBLANK($E8),"",INDEX(Sheet1!$A:$J,MATCH(Index_Match!$E8,Sheet1!$A:$A,0),MATCH(Index_Match!K$1,Sheet1!$A$1:$J$1,0)))</f>
        <v>2</v>
      </c>
      <c r="L8" s="20" t="str">
        <f>IF(ISBLANK($E8),"",INDEX(Sheet1!$A:$J,MATCH(Index_Match!$E8,Sheet1!$A:$A,0),MATCH(Index_Match!L$1,Sheet1!$A$1:$J$1,0)))</f>
        <v>Craig</v>
      </c>
      <c r="M8" s="20" t="str">
        <f>IF(ISBLANK($E8),"",INDEX(Sheet1!$A:$J,MATCH(Index_Match!$E8,Sheet1!$A:$A,0),MATCH(Index_Match!M$1,Sheet1!$A$1:$J$1,0)))</f>
        <v>Old</v>
      </c>
    </row>
    <row r="9" spans="2:13" x14ac:dyDescent="0.25">
      <c r="B9" s="20"/>
      <c r="C9" s="20"/>
      <c r="D9" s="20"/>
      <c r="E9" s="20" t="str">
        <v>Connie</v>
      </c>
      <c r="F9" s="20" t="str">
        <f>IF(ISBLANK($E9),"",INDEX(Sheet1!$A:$J,MATCH(Index_Match!$E9,Sheet1!$A:$A,0),MATCH(Index_Match!F$1,Sheet1!$A$1:$J$1,0)))</f>
        <v>Female</v>
      </c>
      <c r="G9" s="20" t="str">
        <f>IF(ISBLANK($E9),"",INDEX(Sheet1!$A:$J,MATCH(Index_Match!$E9,Sheet1!$A:$A,0),MATCH(Index_Match!G$1,Sheet1!$A$1:$J$1,0)))</f>
        <v>Economist</v>
      </c>
      <c r="H9" s="20" t="str">
        <f>IF(ISBLANK($E9),"",INDEX(Sheet1!$A:$J,MATCH(Index_Match!$E9,Sheet1!$A:$A,0),MATCH(Index_Match!H$1,Sheet1!$A$1:$J$1,0)))</f>
        <v>Single</v>
      </c>
      <c r="I9" s="23">
        <f>IF(ISBLANK($E9),"",INDEX(Sheet1!$A:$J,MATCH(Index_Match!$E9,Sheet1!$A:$A,0),MATCH(Index_Match!I$1,Sheet1!$A$1:$J$1,0)))</f>
        <v>1</v>
      </c>
      <c r="J9" s="20" t="str">
        <f>IF(ISBLANK($E9),"",INDEX(Sheet1!$A:$J,MATCH(Index_Match!$E9,Sheet1!$A:$A,0),MATCH(Index_Match!J$1,Sheet1!$A$1:$J$1,0)))</f>
        <v>Connie Martin</v>
      </c>
      <c r="K9" s="23">
        <f>IF(ISBLANK($E9),"",INDEX(Sheet1!$A:$J,MATCH(Index_Match!$E9,Sheet1!$A:$A,0),MATCH(Index_Match!K$1,Sheet1!$A$1:$J$1,0)))</f>
        <v>1</v>
      </c>
      <c r="L9" s="20" t="str">
        <f>IF(ISBLANK($E9),"",INDEX(Sheet1!$A:$J,MATCH(Index_Match!$E9,Sheet1!$A:$A,0),MATCH(Index_Match!L$1,Sheet1!$A$1:$J$1,0)))</f>
        <v>Martin</v>
      </c>
      <c r="M9" s="20" t="str">
        <f>IF(ISBLANK($E9),"",INDEX(Sheet1!$A:$J,MATCH(Index_Match!$E9,Sheet1!$A:$A,0),MATCH(Index_Match!M$1,Sheet1!$A$1:$J$1,0)))</f>
        <v>Old</v>
      </c>
    </row>
    <row r="10" spans="2:13" x14ac:dyDescent="0.25">
      <c r="B10" s="20"/>
      <c r="C10" s="20"/>
      <c r="D10" s="20"/>
      <c r="E10" s="20" t="str">
        <v>Tiana</v>
      </c>
      <c r="F10" s="20" t="str">
        <f>IF(ISBLANK($E10),"",INDEX(Sheet1!$A:$J,MATCH(Index_Match!$E10,Sheet1!$A:$A,0),MATCH(Index_Match!F$1,Sheet1!$A$1:$J$1,0)))</f>
        <v>Female</v>
      </c>
      <c r="G10" s="20" t="str">
        <f>IF(ISBLANK($E10),"",INDEX(Sheet1!$A:$J,MATCH(Index_Match!$E10,Sheet1!$A:$A,0),MATCH(Index_Match!G$1,Sheet1!$A$1:$J$1,0)))</f>
        <v>Composer</v>
      </c>
      <c r="H10" s="20" t="str">
        <f>IF(ISBLANK($E10),"",INDEX(Sheet1!$A:$J,MATCH(Index_Match!$E10,Sheet1!$A:$A,0),MATCH(Index_Match!H$1,Sheet1!$A$1:$J$1,0)))</f>
        <v>Single</v>
      </c>
      <c r="I10" s="23">
        <f>IF(ISBLANK($E10),"",INDEX(Sheet1!$A:$J,MATCH(Index_Match!$E10,Sheet1!$A:$A,0),MATCH(Index_Match!I$1,Sheet1!$A$1:$J$1,0)))</f>
        <v>4</v>
      </c>
      <c r="J10" s="20" t="str">
        <f>IF(ISBLANK($E10),"",INDEX(Sheet1!$A:$J,MATCH(Index_Match!$E10,Sheet1!$A:$A,0),MATCH(Index_Match!J$1,Sheet1!$A$1:$J$1,0)))</f>
        <v>Tiana Wright</v>
      </c>
      <c r="K10" s="23">
        <f>IF(ISBLANK($E10),"",INDEX(Sheet1!$A:$J,MATCH(Index_Match!$E10,Sheet1!$A:$A,0),MATCH(Index_Match!K$1,Sheet1!$A$1:$J$1,0)))</f>
        <v>4</v>
      </c>
      <c r="L10" s="20" t="str">
        <f>IF(ISBLANK($E10),"",INDEX(Sheet1!$A:$J,MATCH(Index_Match!$E10,Sheet1!$A:$A,0),MATCH(Index_Match!L$1,Sheet1!$A$1:$J$1,0)))</f>
        <v>Wright</v>
      </c>
      <c r="M10" s="20" t="str">
        <f>IF(ISBLANK($E10),"",INDEX(Sheet1!$A:$J,MATCH(Index_Match!$E10,Sheet1!$A:$A,0),MATCH(Index_Match!M$1,Sheet1!$A$1:$J$1,0)))</f>
        <v>Old</v>
      </c>
    </row>
    <row r="11" spans="2:13" x14ac:dyDescent="0.25">
      <c r="B11" s="20"/>
      <c r="C11" s="20"/>
      <c r="D11" s="20"/>
      <c r="E11" s="20" t="str">
        <v>Sofia</v>
      </c>
      <c r="F11" s="20" t="str">
        <f>IF(ISBLANK($E11),"",INDEX(Sheet1!$A:$J,MATCH(Index_Match!$E11,Sheet1!$A:$A,0),MATCH(Index_Match!F$1,Sheet1!$A$1:$J$1,0)))</f>
        <v>Female</v>
      </c>
      <c r="G11" s="20" t="str">
        <f>IF(ISBLANK($E11),"",INDEX(Sheet1!$A:$J,MATCH(Index_Match!$E11,Sheet1!$A:$A,0),MATCH(Index_Match!G$1,Sheet1!$A$1:$J$1,0)))</f>
        <v>Cook</v>
      </c>
      <c r="H11" s="20" t="str">
        <f>IF(ISBLANK($E11),"",INDEX(Sheet1!$A:$J,MATCH(Index_Match!$E11,Sheet1!$A:$A,0),MATCH(Index_Match!H$1,Sheet1!$A$1:$J$1,0)))</f>
        <v>Married</v>
      </c>
      <c r="I11" s="23">
        <f>IF(ISBLANK($E11),"",INDEX(Sheet1!$A:$J,MATCH(Index_Match!$E11,Sheet1!$A:$A,0),MATCH(Index_Match!I$1,Sheet1!$A$1:$J$1,0)))</f>
        <v>5</v>
      </c>
      <c r="J11" s="20" t="str">
        <f>IF(ISBLANK($E11),"",INDEX(Sheet1!$A:$J,MATCH(Index_Match!$E11,Sheet1!$A:$A,0),MATCH(Index_Match!J$1,Sheet1!$A$1:$J$1,0)))</f>
        <v>Sofia Barnes</v>
      </c>
      <c r="K11" s="23">
        <f>IF(ISBLANK($E11),"",INDEX(Sheet1!$A:$J,MATCH(Index_Match!$E11,Sheet1!$A:$A,0),MATCH(Index_Match!K$1,Sheet1!$A$1:$J$1,0)))</f>
        <v>5</v>
      </c>
      <c r="L11" s="20" t="str">
        <f>IF(ISBLANK($E11),"",INDEX(Sheet1!$A:$J,MATCH(Index_Match!$E11,Sheet1!$A:$A,0),MATCH(Index_Match!L$1,Sheet1!$A$1:$J$1,0)))</f>
        <v>Barnes</v>
      </c>
      <c r="M11" s="20" t="str">
        <f>IF(ISBLANK($E11),"",INDEX(Sheet1!$A:$J,MATCH(Index_Match!$E11,Sheet1!$A:$A,0),MATCH(Index_Match!M$1,Sheet1!$A$1:$J$1,0)))</f>
        <v>Old</v>
      </c>
    </row>
    <row r="12" spans="2:13" x14ac:dyDescent="0.25">
      <c r="B12" s="20"/>
      <c r="C12" s="20"/>
      <c r="D12" s="20"/>
      <c r="E12" s="20" t="str">
        <v>Kimberly</v>
      </c>
      <c r="F12" s="20" t="str">
        <f>IF(ISBLANK($E12),"",INDEX(Sheet1!$A:$J,MATCH(Index_Match!$E12,Sheet1!$A:$A,0),MATCH(Index_Match!F$1,Sheet1!$A$1:$J$1,0)))</f>
        <v>Female</v>
      </c>
      <c r="G12" s="20" t="str">
        <f>IF(ISBLANK($E12),"",INDEX(Sheet1!$A:$J,MATCH(Index_Match!$E12,Sheet1!$A:$A,0),MATCH(Index_Match!G$1,Sheet1!$A$1:$J$1,0)))</f>
        <v>Geologist</v>
      </c>
      <c r="H12" s="20" t="str">
        <f>IF(ISBLANK($E12),"",INDEX(Sheet1!$A:$J,MATCH(Index_Match!$E12,Sheet1!$A:$A,0),MATCH(Index_Match!H$1,Sheet1!$A$1:$J$1,0)))</f>
        <v>Single</v>
      </c>
      <c r="I12" s="23">
        <f>IF(ISBLANK($E12),"",INDEX(Sheet1!$A:$J,MATCH(Index_Match!$E12,Sheet1!$A:$A,0),MATCH(Index_Match!I$1,Sheet1!$A$1:$J$1,0)))</f>
        <v>2</v>
      </c>
      <c r="J12" s="20" t="str">
        <f>IF(ISBLANK($E12),"",INDEX(Sheet1!$A:$J,MATCH(Index_Match!$E12,Sheet1!$A:$A,0),MATCH(Index_Match!J$1,Sheet1!$A$1:$J$1,0)))</f>
        <v>Kimberly Rogers</v>
      </c>
      <c r="K12" s="23">
        <f>IF(ISBLANK($E12),"",INDEX(Sheet1!$A:$J,MATCH(Index_Match!$E12,Sheet1!$A:$A,0),MATCH(Index_Match!K$1,Sheet1!$A$1:$J$1,0)))</f>
        <v>2</v>
      </c>
      <c r="L12" s="20" t="str">
        <f>IF(ISBLANK($E12),"",INDEX(Sheet1!$A:$J,MATCH(Index_Match!$E12,Sheet1!$A:$A,0),MATCH(Index_Match!L$1,Sheet1!$A$1:$J$1,0)))</f>
        <v>Rogers</v>
      </c>
      <c r="M12" s="20" t="str">
        <f>IF(ISBLANK($E12),"",INDEX(Sheet1!$A:$J,MATCH(Index_Match!$E12,Sheet1!$A:$A,0),MATCH(Index_Match!M$1,Sheet1!$A$1:$J$1,0)))</f>
        <v>Old</v>
      </c>
    </row>
    <row r="13" spans="2:13" x14ac:dyDescent="0.25">
      <c r="B13" s="20"/>
      <c r="C13" s="20"/>
      <c r="D13" s="20"/>
      <c r="E13" s="20" t="str">
        <v>Emily</v>
      </c>
      <c r="F13" s="20" t="str">
        <f>IF(ISBLANK($E13),"",INDEX(Sheet1!$A:$J,MATCH(Index_Match!$E13,Sheet1!$A:$A,0),MATCH(Index_Match!F$1,Sheet1!$A$1:$J$1,0)))</f>
        <v>Female</v>
      </c>
      <c r="G13" s="20" t="str">
        <f>IF(ISBLANK($E13),"",INDEX(Sheet1!$A:$J,MATCH(Index_Match!$E13,Sheet1!$A:$A,0),MATCH(Index_Match!G$1,Sheet1!$A$1:$J$1,0)))</f>
        <v>Lawyer</v>
      </c>
      <c r="H13" s="20" t="str">
        <f>IF(ISBLANK($E13),"",INDEX(Sheet1!$A:$J,MATCH(Index_Match!$E13,Sheet1!$A:$A,0),MATCH(Index_Match!H$1,Sheet1!$A$1:$J$1,0)))</f>
        <v>Single</v>
      </c>
      <c r="I13" s="23">
        <f>IF(ISBLANK($E13),"",INDEX(Sheet1!$A:$J,MATCH(Index_Match!$E13,Sheet1!$A:$A,0),MATCH(Index_Match!I$1,Sheet1!$A$1:$J$1,0)))</f>
        <v>0</v>
      </c>
      <c r="J13" s="20" t="str">
        <f>IF(ISBLANK($E13),"",INDEX(Sheet1!$A:$J,MATCH(Index_Match!$E13,Sheet1!$A:$A,0),MATCH(Index_Match!J$1,Sheet1!$A$1:$J$1,0)))</f>
        <v>Emily Chapman</v>
      </c>
      <c r="K13" s="23">
        <f>IF(ISBLANK($E13),"",INDEX(Sheet1!$A:$J,MATCH(Index_Match!$E13,Sheet1!$A:$A,0),MATCH(Index_Match!K$1,Sheet1!$A$1:$J$1,0)))</f>
        <v>0</v>
      </c>
      <c r="L13" s="20" t="str">
        <f>IF(ISBLANK($E13),"",INDEX(Sheet1!$A:$J,MATCH(Index_Match!$E13,Sheet1!$A:$A,0),MATCH(Index_Match!L$1,Sheet1!$A$1:$J$1,0)))</f>
        <v>Chapman</v>
      </c>
      <c r="M13" s="20" t="str">
        <f>IF(ISBLANK($E13),"",INDEX(Sheet1!$A:$J,MATCH(Index_Match!$E13,Sheet1!$A:$A,0),MATCH(Index_Match!M$1,Sheet1!$A$1:$J$1,0)))</f>
        <v>Middle Age</v>
      </c>
    </row>
    <row r="14" spans="2:13" x14ac:dyDescent="0.25">
      <c r="B14" s="20"/>
      <c r="C14" s="20"/>
      <c r="D14" s="20"/>
      <c r="E14" s="20" t="str">
        <v>Lucy</v>
      </c>
      <c r="F14" s="20" t="str">
        <f>IF(ISBLANK($E14),"",INDEX(Sheet1!$A:$J,MATCH(Index_Match!$E14,Sheet1!$A:$A,0),MATCH(Index_Match!F$1,Sheet1!$A$1:$J$1,0)))</f>
        <v>Female</v>
      </c>
      <c r="G14" s="20" t="str">
        <f>IF(ISBLANK($E14),"",INDEX(Sheet1!$A:$J,MATCH(Index_Match!$E14,Sheet1!$A:$A,0),MATCH(Index_Match!G$1,Sheet1!$A$1:$J$1,0)))</f>
        <v>Manager</v>
      </c>
      <c r="H14" s="20" t="str">
        <f>IF(ISBLANK($E14),"",INDEX(Sheet1!$A:$J,MATCH(Index_Match!$E14,Sheet1!$A:$A,0),MATCH(Index_Match!H$1,Sheet1!$A$1:$J$1,0)))</f>
        <v>Single</v>
      </c>
      <c r="I14" s="23">
        <f>IF(ISBLANK($E14),"",INDEX(Sheet1!$A:$J,MATCH(Index_Match!$E14,Sheet1!$A:$A,0),MATCH(Index_Match!I$1,Sheet1!$A$1:$J$1,0)))</f>
        <v>0</v>
      </c>
      <c r="J14" s="20" t="str">
        <f>IF(ISBLANK($E14),"",INDEX(Sheet1!$A:$J,MATCH(Index_Match!$E14,Sheet1!$A:$A,0),MATCH(Index_Match!J$1,Sheet1!$A$1:$J$1,0)))</f>
        <v>Lucy Anderson</v>
      </c>
      <c r="K14" s="23">
        <f>IF(ISBLANK($E14),"",INDEX(Sheet1!$A:$J,MATCH(Index_Match!$E14,Sheet1!$A:$A,0),MATCH(Index_Match!K$1,Sheet1!$A$1:$J$1,0)))</f>
        <v>0</v>
      </c>
      <c r="L14" s="20" t="str">
        <f>IF(ISBLANK($E14),"",INDEX(Sheet1!$A:$J,MATCH(Index_Match!$E14,Sheet1!$A:$A,0),MATCH(Index_Match!L$1,Sheet1!$A$1:$J$1,0)))</f>
        <v>Anderson</v>
      </c>
      <c r="M14" s="20" t="str">
        <f>IF(ISBLANK($E14),"",INDEX(Sheet1!$A:$J,MATCH(Index_Match!$E14,Sheet1!$A:$A,0),MATCH(Index_Match!M$1,Sheet1!$A$1:$J$1,0)))</f>
        <v>Old</v>
      </c>
    </row>
    <row r="15" spans="2:13" x14ac:dyDescent="0.25">
      <c r="B15" s="20"/>
      <c r="C15" s="20"/>
      <c r="D15" s="20"/>
      <c r="E15" s="20" t="str">
        <v>Lucy</v>
      </c>
      <c r="F15" s="20" t="str">
        <f>IF(ISBLANK($E15),"",INDEX(Sheet1!$A:$J,MATCH(Index_Match!$E15,Sheet1!$A:$A,0),MATCH(Index_Match!F$1,Sheet1!$A$1:$J$1,0)))</f>
        <v>Female</v>
      </c>
      <c r="G15" s="20" t="str">
        <f>IF(ISBLANK($E15),"",INDEX(Sheet1!$A:$J,MATCH(Index_Match!$E15,Sheet1!$A:$A,0),MATCH(Index_Match!G$1,Sheet1!$A$1:$J$1,0)))</f>
        <v>Manager</v>
      </c>
      <c r="H15" s="20" t="str">
        <f>IF(ISBLANK($E15),"",INDEX(Sheet1!$A:$J,MATCH(Index_Match!$E15,Sheet1!$A:$A,0),MATCH(Index_Match!H$1,Sheet1!$A$1:$J$1,0)))</f>
        <v>Single</v>
      </c>
      <c r="I15" s="23">
        <f>IF(ISBLANK($E15),"",INDEX(Sheet1!$A:$J,MATCH(Index_Match!$E15,Sheet1!$A:$A,0),MATCH(Index_Match!I$1,Sheet1!$A$1:$J$1,0)))</f>
        <v>0</v>
      </c>
      <c r="J15" s="20" t="str">
        <f>IF(ISBLANK($E15),"",INDEX(Sheet1!$A:$J,MATCH(Index_Match!$E15,Sheet1!$A:$A,0),MATCH(Index_Match!J$1,Sheet1!$A$1:$J$1,0)))</f>
        <v>Lucy Anderson</v>
      </c>
      <c r="K15" s="23">
        <f>IF(ISBLANK($E15),"",INDEX(Sheet1!$A:$J,MATCH(Index_Match!$E15,Sheet1!$A:$A,0),MATCH(Index_Match!K$1,Sheet1!$A$1:$J$1,0)))</f>
        <v>0</v>
      </c>
      <c r="L15" s="20" t="str">
        <f>IF(ISBLANK($E15),"",INDEX(Sheet1!$A:$J,MATCH(Index_Match!$E15,Sheet1!$A:$A,0),MATCH(Index_Match!L$1,Sheet1!$A$1:$J$1,0)))</f>
        <v>Anderson</v>
      </c>
      <c r="M15" s="20" t="str">
        <f>IF(ISBLANK($E15),"",INDEX(Sheet1!$A:$J,MATCH(Index_Match!$E15,Sheet1!$A:$A,0),MATCH(Index_Match!M$1,Sheet1!$A$1:$J$1,0)))</f>
        <v>Old</v>
      </c>
    </row>
    <row r="16" spans="2:13" x14ac:dyDescent="0.25">
      <c r="B16" s="20"/>
      <c r="C16" s="20"/>
      <c r="D16" s="20"/>
      <c r="E16" s="20" t="str">
        <v>Jenna</v>
      </c>
      <c r="F16" s="20" t="str">
        <f>IF(ISBLANK($E16),"",INDEX(Sheet1!$A:$J,MATCH(Index_Match!$E16,Sheet1!$A:$A,0),MATCH(Index_Match!F$1,Sheet1!$A$1:$J$1,0)))</f>
        <v>Female</v>
      </c>
      <c r="G16" s="20" t="str">
        <f>IF(ISBLANK($E16),"",INDEX(Sheet1!$A:$J,MATCH(Index_Match!$E16,Sheet1!$A:$A,0),MATCH(Index_Match!G$1,Sheet1!$A$1:$J$1,0)))</f>
        <v>Baker</v>
      </c>
      <c r="H16" s="20" t="str">
        <f>IF(ISBLANK($E16),"",INDEX(Sheet1!$A:$J,MATCH(Index_Match!$E16,Sheet1!$A:$A,0),MATCH(Index_Match!H$1,Sheet1!$A$1:$J$1,0)))</f>
        <v>Single</v>
      </c>
      <c r="I16" s="23">
        <f>IF(ISBLANK($E16),"",INDEX(Sheet1!$A:$J,MATCH(Index_Match!$E16,Sheet1!$A:$A,0),MATCH(Index_Match!I$1,Sheet1!$A$1:$J$1,0)))</f>
        <v>1</v>
      </c>
      <c r="J16" s="20" t="str">
        <f>IF(ISBLANK($E16),"",INDEX(Sheet1!$A:$J,MATCH(Index_Match!$E16,Sheet1!$A:$A,0),MATCH(Index_Match!J$1,Sheet1!$A$1:$J$1,0)))</f>
        <v>Jenna Ellis</v>
      </c>
      <c r="K16" s="23">
        <f>IF(ISBLANK($E16),"",INDEX(Sheet1!$A:$J,MATCH(Index_Match!$E16,Sheet1!$A:$A,0),MATCH(Index_Match!K$1,Sheet1!$A$1:$J$1,0)))</f>
        <v>1</v>
      </c>
      <c r="L16" s="20" t="str">
        <f>IF(ISBLANK($E16),"",INDEX(Sheet1!$A:$J,MATCH(Index_Match!$E16,Sheet1!$A:$A,0),MATCH(Index_Match!L$1,Sheet1!$A$1:$J$1,0)))</f>
        <v>Ellis</v>
      </c>
      <c r="M16" s="20" t="str">
        <f>IF(ISBLANK($E16),"",INDEX(Sheet1!$A:$J,MATCH(Index_Match!$E16,Sheet1!$A:$A,0),MATCH(Index_Match!M$1,Sheet1!$A$1:$J$1,0)))</f>
        <v>Old</v>
      </c>
    </row>
    <row r="17" spans="2:13" x14ac:dyDescent="0.25">
      <c r="B17" s="20"/>
      <c r="C17" s="20"/>
      <c r="D17" s="20"/>
      <c r="E17" s="20" t="str">
        <v>Anna</v>
      </c>
      <c r="F17" s="20" t="str">
        <f>IF(ISBLANK($E17),"",INDEX(Sheet1!$A:$J,MATCH(Index_Match!$E17,Sheet1!$A:$A,0),MATCH(Index_Match!F$1,Sheet1!$A$1:$J$1,0)))</f>
        <v>Female</v>
      </c>
      <c r="G17" s="20" t="str">
        <f>IF(ISBLANK($E17),"",INDEX(Sheet1!$A:$J,MATCH(Index_Match!$E17,Sheet1!$A:$A,0),MATCH(Index_Match!G$1,Sheet1!$A$1:$J$1,0)))</f>
        <v>Fine Artist</v>
      </c>
      <c r="H17" s="20" t="str">
        <f>IF(ISBLANK($E17),"",INDEX(Sheet1!$A:$J,MATCH(Index_Match!$E17,Sheet1!$A:$A,0),MATCH(Index_Match!H$1,Sheet1!$A$1:$J$1,0)))</f>
        <v>Single</v>
      </c>
      <c r="I17" s="23">
        <f>IF(ISBLANK($E17),"",INDEX(Sheet1!$A:$J,MATCH(Index_Match!$E17,Sheet1!$A:$A,0),MATCH(Index_Match!I$1,Sheet1!$A$1:$J$1,0)))</f>
        <v>2</v>
      </c>
      <c r="J17" s="20" t="str">
        <f>IF(ISBLANK($E17),"",INDEX(Sheet1!$A:$J,MATCH(Index_Match!$E17,Sheet1!$A:$A,0),MATCH(Index_Match!J$1,Sheet1!$A$1:$J$1,0)))</f>
        <v>Anna Smith</v>
      </c>
      <c r="K17" s="23">
        <f>IF(ISBLANK($E17),"",INDEX(Sheet1!$A:$J,MATCH(Index_Match!$E17,Sheet1!$A:$A,0),MATCH(Index_Match!K$1,Sheet1!$A$1:$J$1,0)))</f>
        <v>2</v>
      </c>
      <c r="L17" s="20" t="str">
        <f>IF(ISBLANK($E17),"",INDEX(Sheet1!$A:$J,MATCH(Index_Match!$E17,Sheet1!$A:$A,0),MATCH(Index_Match!L$1,Sheet1!$A$1:$J$1,0)))</f>
        <v>Smith</v>
      </c>
      <c r="M17" s="20" t="str">
        <f>IF(ISBLANK($E17),"",INDEX(Sheet1!$A:$J,MATCH(Index_Match!$E17,Sheet1!$A:$A,0),MATCH(Index_Match!M$1,Sheet1!$A$1:$J$1,0)))</f>
        <v>Old</v>
      </c>
    </row>
    <row r="18" spans="2:13" x14ac:dyDescent="0.25">
      <c r="B18" s="20"/>
      <c r="C18" s="20"/>
      <c r="D18" s="20"/>
      <c r="E18" s="20" t="str">
        <v>Tara</v>
      </c>
      <c r="F18" s="20" t="str">
        <f>IF(ISBLANK($E18),"",INDEX(Sheet1!$A:$J,MATCH(Index_Match!$E18,Sheet1!$A:$A,0),MATCH(Index_Match!F$1,Sheet1!$A$1:$J$1,0)))</f>
        <v>Female</v>
      </c>
      <c r="G18" s="20" t="str">
        <f>IF(ISBLANK($E18),"",INDEX(Sheet1!$A:$J,MATCH(Index_Match!$E18,Sheet1!$A:$A,0),MATCH(Index_Match!G$1,Sheet1!$A$1:$J$1,0)))</f>
        <v>Jeweller</v>
      </c>
      <c r="H18" s="20" t="str">
        <f>IF(ISBLANK($E18),"",INDEX(Sheet1!$A:$J,MATCH(Index_Match!$E18,Sheet1!$A:$A,0),MATCH(Index_Match!H$1,Sheet1!$A$1:$J$1,0)))</f>
        <v>Married</v>
      </c>
      <c r="I18" s="23">
        <f>IF(ISBLANK($E18),"",INDEX(Sheet1!$A:$J,MATCH(Index_Match!$E18,Sheet1!$A:$A,0),MATCH(Index_Match!I$1,Sheet1!$A$1:$J$1,0)))</f>
        <v>4</v>
      </c>
      <c r="J18" s="20" t="str">
        <f>IF(ISBLANK($E18),"",INDEX(Sheet1!$A:$J,MATCH(Index_Match!$E18,Sheet1!$A:$A,0),MATCH(Index_Match!J$1,Sheet1!$A$1:$J$1,0)))</f>
        <v>Tara Brown</v>
      </c>
      <c r="K18" s="23">
        <f>IF(ISBLANK($E18),"",INDEX(Sheet1!$A:$J,MATCH(Index_Match!$E18,Sheet1!$A:$A,0),MATCH(Index_Match!K$1,Sheet1!$A$1:$J$1,0)))</f>
        <v>4</v>
      </c>
      <c r="L18" s="20" t="str">
        <f>IF(ISBLANK($E18),"",INDEX(Sheet1!$A:$J,MATCH(Index_Match!$E18,Sheet1!$A:$A,0),MATCH(Index_Match!L$1,Sheet1!$A$1:$J$1,0)))</f>
        <v>Brown</v>
      </c>
      <c r="M18" s="20" t="str">
        <f>IF(ISBLANK($E18),"",INDEX(Sheet1!$A:$J,MATCH(Index_Match!$E18,Sheet1!$A:$A,0),MATCH(Index_Match!M$1,Sheet1!$A$1:$J$1,0)))</f>
        <v>Young</v>
      </c>
    </row>
    <row r="19" spans="2:13" x14ac:dyDescent="0.25">
      <c r="B19" s="20"/>
      <c r="C19" s="20"/>
      <c r="D19" s="20"/>
      <c r="E19" s="20" t="str">
        <v>Tara</v>
      </c>
      <c r="F19" s="20" t="str">
        <f>IF(ISBLANK($E19),"",INDEX(Sheet1!$A:$J,MATCH(Index_Match!$E19,Sheet1!$A:$A,0),MATCH(Index_Match!F$1,Sheet1!$A$1:$J$1,0)))</f>
        <v>Female</v>
      </c>
      <c r="G19" s="20" t="str">
        <f>IF(ISBLANK($E19),"",INDEX(Sheet1!$A:$J,MATCH(Index_Match!$E19,Sheet1!$A:$A,0),MATCH(Index_Match!G$1,Sheet1!$A$1:$J$1,0)))</f>
        <v>Jeweller</v>
      </c>
      <c r="H19" s="20" t="str">
        <f>IF(ISBLANK($E19),"",INDEX(Sheet1!$A:$J,MATCH(Index_Match!$E19,Sheet1!$A:$A,0),MATCH(Index_Match!H$1,Sheet1!$A$1:$J$1,0)))</f>
        <v>Married</v>
      </c>
      <c r="I19" s="23">
        <f>IF(ISBLANK($E19),"",INDEX(Sheet1!$A:$J,MATCH(Index_Match!$E19,Sheet1!$A:$A,0),MATCH(Index_Match!I$1,Sheet1!$A$1:$J$1,0)))</f>
        <v>4</v>
      </c>
      <c r="J19" s="20" t="str">
        <f>IF(ISBLANK($E19),"",INDEX(Sheet1!$A:$J,MATCH(Index_Match!$E19,Sheet1!$A:$A,0),MATCH(Index_Match!J$1,Sheet1!$A$1:$J$1,0)))</f>
        <v>Tara Brown</v>
      </c>
      <c r="K19" s="23">
        <f>IF(ISBLANK($E19),"",INDEX(Sheet1!$A:$J,MATCH(Index_Match!$E19,Sheet1!$A:$A,0),MATCH(Index_Match!K$1,Sheet1!$A$1:$J$1,0)))</f>
        <v>4</v>
      </c>
      <c r="L19" s="20" t="str">
        <f>IF(ISBLANK($E19),"",INDEX(Sheet1!$A:$J,MATCH(Index_Match!$E19,Sheet1!$A:$A,0),MATCH(Index_Match!L$1,Sheet1!$A$1:$J$1,0)))</f>
        <v>Brown</v>
      </c>
      <c r="M19" s="20" t="str">
        <f>IF(ISBLANK($E19),"",INDEX(Sheet1!$A:$J,MATCH(Index_Match!$E19,Sheet1!$A:$A,0),MATCH(Index_Match!M$1,Sheet1!$A$1:$J$1,0)))</f>
        <v>Young</v>
      </c>
    </row>
    <row r="20" spans="2:13" x14ac:dyDescent="0.25">
      <c r="B20" s="20"/>
      <c r="C20" s="20"/>
      <c r="D20" s="20"/>
      <c r="E20" s="20" t="str">
        <v>Valeria</v>
      </c>
      <c r="F20" s="20" t="str">
        <f>IF(ISBLANK($E20),"",INDEX(Sheet1!$A:$J,MATCH(Index_Match!$E20,Sheet1!$A:$A,0),MATCH(Index_Match!F$1,Sheet1!$A$1:$J$1,0)))</f>
        <v>Female</v>
      </c>
      <c r="G20" s="20" t="str">
        <f>IF(ISBLANK($E20),"",INDEX(Sheet1!$A:$J,MATCH(Index_Match!$E20,Sheet1!$A:$A,0),MATCH(Index_Match!G$1,Sheet1!$A$1:$J$1,0)))</f>
        <v>Medic</v>
      </c>
      <c r="H20" s="20" t="str">
        <f>IF(ISBLANK($E20),"",INDEX(Sheet1!$A:$J,MATCH(Index_Match!$E20,Sheet1!$A:$A,0),MATCH(Index_Match!H$1,Sheet1!$A$1:$J$1,0)))</f>
        <v>Married</v>
      </c>
      <c r="I20" s="23">
        <f>IF(ISBLANK($E20),"",INDEX(Sheet1!$A:$J,MATCH(Index_Match!$E20,Sheet1!$A:$A,0),MATCH(Index_Match!I$1,Sheet1!$A$1:$J$1,0)))</f>
        <v>5</v>
      </c>
      <c r="J20" s="20" t="str">
        <f>IF(ISBLANK($E20),"",INDEX(Sheet1!$A:$J,MATCH(Index_Match!$E20,Sheet1!$A:$A,0),MATCH(Index_Match!J$1,Sheet1!$A$1:$J$1,0)))</f>
        <v>Valeria Perry</v>
      </c>
      <c r="K20" s="23">
        <f>IF(ISBLANK($E20),"",INDEX(Sheet1!$A:$J,MATCH(Index_Match!$E20,Sheet1!$A:$A,0),MATCH(Index_Match!K$1,Sheet1!$A$1:$J$1,0)))</f>
        <v>5</v>
      </c>
      <c r="L20" s="20" t="str">
        <f>IF(ISBLANK($E20),"",INDEX(Sheet1!$A:$J,MATCH(Index_Match!$E20,Sheet1!$A:$A,0),MATCH(Index_Match!L$1,Sheet1!$A$1:$J$1,0)))</f>
        <v>Perry</v>
      </c>
      <c r="M20" s="20" t="str">
        <f>IF(ISBLANK($E20),"",INDEX(Sheet1!$A:$J,MATCH(Index_Match!$E20,Sheet1!$A:$A,0),MATCH(Index_Match!M$1,Sheet1!$A$1:$J$1,0)))</f>
        <v>Middle Age</v>
      </c>
    </row>
    <row r="21" spans="2:13" x14ac:dyDescent="0.25">
      <c r="B21" s="20"/>
      <c r="C21" s="20"/>
      <c r="D21" s="20"/>
      <c r="E21" s="20" t="str">
        <v>Emma</v>
      </c>
      <c r="F21" s="20" t="str">
        <f>IF(ISBLANK($E21),"",INDEX(Sheet1!$A:$J,MATCH(Index_Match!$E21,Sheet1!$A:$A,0),MATCH(Index_Match!F$1,Sheet1!$A$1:$J$1,0)))</f>
        <v>Female</v>
      </c>
      <c r="G21" s="20" t="str">
        <f>IF(ISBLANK($E21),"",INDEX(Sheet1!$A:$J,MATCH(Index_Match!$E21,Sheet1!$A:$A,0),MATCH(Index_Match!G$1,Sheet1!$A$1:$J$1,0)))</f>
        <v>Baker</v>
      </c>
      <c r="H21" s="20" t="str">
        <f>IF(ISBLANK($E21),"",INDEX(Sheet1!$A:$J,MATCH(Index_Match!$E21,Sheet1!$A:$A,0),MATCH(Index_Match!H$1,Sheet1!$A$1:$J$1,0)))</f>
        <v>Married</v>
      </c>
      <c r="I21" s="23">
        <f>IF(ISBLANK($E21),"",INDEX(Sheet1!$A:$J,MATCH(Index_Match!$E21,Sheet1!$A:$A,0),MATCH(Index_Match!I$1,Sheet1!$A$1:$J$1,0)))</f>
        <v>2</v>
      </c>
      <c r="J21" s="20" t="str">
        <f>IF(ISBLANK($E21),"",INDEX(Sheet1!$A:$J,MATCH(Index_Match!$E21,Sheet1!$A:$A,0),MATCH(Index_Match!J$1,Sheet1!$A$1:$J$1,0)))</f>
        <v>Emma Farrell</v>
      </c>
      <c r="K21" s="23">
        <f>IF(ISBLANK($E21),"",INDEX(Sheet1!$A:$J,MATCH(Index_Match!$E21,Sheet1!$A:$A,0),MATCH(Index_Match!K$1,Sheet1!$A$1:$J$1,0)))</f>
        <v>2</v>
      </c>
      <c r="L21" s="20" t="str">
        <f>IF(ISBLANK($E21),"",INDEX(Sheet1!$A:$J,MATCH(Index_Match!$E21,Sheet1!$A:$A,0),MATCH(Index_Match!L$1,Sheet1!$A$1:$J$1,0)))</f>
        <v>Farrell</v>
      </c>
      <c r="M21" s="20" t="str">
        <f>IF(ISBLANK($E21),"",INDEX(Sheet1!$A:$J,MATCH(Index_Match!$E21,Sheet1!$A:$A,0),MATCH(Index_Match!M$1,Sheet1!$A$1:$J$1,0)))</f>
        <v>Middle Age</v>
      </c>
    </row>
    <row r="22" spans="2:13" x14ac:dyDescent="0.25">
      <c r="B22" s="20"/>
      <c r="C22" s="20"/>
      <c r="D22" s="20"/>
      <c r="E22" s="20" t="str">
        <v>Belinda</v>
      </c>
      <c r="F22" s="20" t="str">
        <f>IF(ISBLANK($E22),"",INDEX(Sheet1!$A:$J,MATCH(Index_Match!$E22,Sheet1!$A:$A,0),MATCH(Index_Match!F$1,Sheet1!$A$1:$J$1,0)))</f>
        <v>Female</v>
      </c>
      <c r="G22" s="20" t="str">
        <f>IF(ISBLANK($E22),"",INDEX(Sheet1!$A:$J,MATCH(Index_Match!$E22,Sheet1!$A:$A,0),MATCH(Index_Match!G$1,Sheet1!$A$1:$J$1,0)))</f>
        <v>Dancer</v>
      </c>
      <c r="H22" s="20" t="str">
        <f>IF(ISBLANK($E22),"",INDEX(Sheet1!$A:$J,MATCH(Index_Match!$E22,Sheet1!$A:$A,0),MATCH(Index_Match!H$1,Sheet1!$A$1:$J$1,0)))</f>
        <v>Married</v>
      </c>
      <c r="I22" s="23">
        <f>IF(ISBLANK($E22),"",INDEX(Sheet1!$A:$J,MATCH(Index_Match!$E22,Sheet1!$A:$A,0),MATCH(Index_Match!I$1,Sheet1!$A$1:$J$1,0)))</f>
        <v>5</v>
      </c>
      <c r="J22" s="20" t="str">
        <f>IF(ISBLANK($E22),"",INDEX(Sheet1!$A:$J,MATCH(Index_Match!$E22,Sheet1!$A:$A,0),MATCH(Index_Match!J$1,Sheet1!$A$1:$J$1,0)))</f>
        <v>Belinda Spencer</v>
      </c>
      <c r="K22" s="23">
        <f>IF(ISBLANK($E22),"",INDEX(Sheet1!$A:$J,MATCH(Index_Match!$E22,Sheet1!$A:$A,0),MATCH(Index_Match!K$1,Sheet1!$A$1:$J$1,0)))</f>
        <v>5</v>
      </c>
      <c r="L22" s="20" t="str">
        <f>IF(ISBLANK($E22),"",INDEX(Sheet1!$A:$J,MATCH(Index_Match!$E22,Sheet1!$A:$A,0),MATCH(Index_Match!L$1,Sheet1!$A$1:$J$1,0)))</f>
        <v>Spencer</v>
      </c>
      <c r="M22" s="20" t="str">
        <f>IF(ISBLANK($E22),"",INDEX(Sheet1!$A:$J,MATCH(Index_Match!$E22,Sheet1!$A:$A,0),MATCH(Index_Match!M$1,Sheet1!$A$1:$J$1,0)))</f>
        <v>Young</v>
      </c>
    </row>
    <row r="23" spans="2:13" x14ac:dyDescent="0.25">
      <c r="B23" s="20"/>
      <c r="C23" s="20"/>
      <c r="D23" s="20"/>
      <c r="E23" s="20" t="str">
        <v>Alexia</v>
      </c>
      <c r="F23" s="20" t="str">
        <f>IF(ISBLANK($E23),"",INDEX(Sheet1!$A:$J,MATCH(Index_Match!$E23,Sheet1!$A:$A,0),MATCH(Index_Match!F$1,Sheet1!$A$1:$J$1,0)))</f>
        <v>Female</v>
      </c>
      <c r="G23" s="20" t="str">
        <f>IF(ISBLANK($E23),"",INDEX(Sheet1!$A:$J,MATCH(Index_Match!$E23,Sheet1!$A:$A,0),MATCH(Index_Match!G$1,Sheet1!$A$1:$J$1,0)))</f>
        <v>Auditor</v>
      </c>
      <c r="H23" s="20" t="str">
        <f>IF(ISBLANK($E23),"",INDEX(Sheet1!$A:$J,MATCH(Index_Match!$E23,Sheet1!$A:$A,0),MATCH(Index_Match!H$1,Sheet1!$A$1:$J$1,0)))</f>
        <v>Married</v>
      </c>
      <c r="I23" s="23">
        <f>IF(ISBLANK($E23),"",INDEX(Sheet1!$A:$J,MATCH(Index_Match!$E23,Sheet1!$A:$A,0),MATCH(Index_Match!I$1,Sheet1!$A$1:$J$1,0)))</f>
        <v>0</v>
      </c>
      <c r="J23" s="20" t="str">
        <f>IF(ISBLANK($E23),"",INDEX(Sheet1!$A:$J,MATCH(Index_Match!$E23,Sheet1!$A:$A,0),MATCH(Index_Match!J$1,Sheet1!$A$1:$J$1,0)))</f>
        <v>Alexia Cooper</v>
      </c>
      <c r="K23" s="23">
        <f>IF(ISBLANK($E23),"",INDEX(Sheet1!$A:$J,MATCH(Index_Match!$E23,Sheet1!$A:$A,0),MATCH(Index_Match!K$1,Sheet1!$A$1:$J$1,0)))</f>
        <v>0</v>
      </c>
      <c r="L23" s="20" t="str">
        <f>IF(ISBLANK($E23),"",INDEX(Sheet1!$A:$J,MATCH(Index_Match!$E23,Sheet1!$A:$A,0),MATCH(Index_Match!L$1,Sheet1!$A$1:$J$1,0)))</f>
        <v>Cooper</v>
      </c>
      <c r="M23" s="20" t="str">
        <f>IF(ISBLANK($E23),"",INDEX(Sheet1!$A:$J,MATCH(Index_Match!$E23,Sheet1!$A:$A,0),MATCH(Index_Match!M$1,Sheet1!$A$1:$J$1,0)))</f>
        <v>Young</v>
      </c>
    </row>
    <row r="24" spans="2:13" x14ac:dyDescent="0.25">
      <c r="B24" s="20"/>
      <c r="C24" s="20"/>
      <c r="D24" s="20"/>
      <c r="E24" s="20" t="str">
        <v>Myra</v>
      </c>
      <c r="F24" s="20" t="str">
        <f>IF(ISBLANK($E24),"",INDEX(Sheet1!$A:$J,MATCH(Index_Match!$E24,Sheet1!$A:$A,0),MATCH(Index_Match!F$1,Sheet1!$A$1:$J$1,0)))</f>
        <v>Female</v>
      </c>
      <c r="G24" s="20" t="str">
        <f>IF(ISBLANK($E24),"",INDEX(Sheet1!$A:$J,MATCH(Index_Match!$E24,Sheet1!$A:$A,0),MATCH(Index_Match!G$1,Sheet1!$A$1:$J$1,0)))</f>
        <v>Architect</v>
      </c>
      <c r="H24" s="20" t="str">
        <f>IF(ISBLANK($E24),"",INDEX(Sheet1!$A:$J,MATCH(Index_Match!$E24,Sheet1!$A:$A,0),MATCH(Index_Match!H$1,Sheet1!$A$1:$J$1,0)))</f>
        <v>Single</v>
      </c>
      <c r="I24" s="23">
        <f>IF(ISBLANK($E24),"",INDEX(Sheet1!$A:$J,MATCH(Index_Match!$E24,Sheet1!$A:$A,0),MATCH(Index_Match!I$1,Sheet1!$A$1:$J$1,0)))</f>
        <v>0</v>
      </c>
      <c r="J24" s="20" t="str">
        <f>IF(ISBLANK($E24),"",INDEX(Sheet1!$A:$J,MATCH(Index_Match!$E24,Sheet1!$A:$A,0),MATCH(Index_Match!J$1,Sheet1!$A$1:$J$1,0)))</f>
        <v>Myra Ryan</v>
      </c>
      <c r="K24" s="23">
        <f>IF(ISBLANK($E24),"",INDEX(Sheet1!$A:$J,MATCH(Index_Match!$E24,Sheet1!$A:$A,0),MATCH(Index_Match!K$1,Sheet1!$A$1:$J$1,0)))</f>
        <v>0</v>
      </c>
      <c r="L24" s="20" t="str">
        <f>IF(ISBLANK($E24),"",INDEX(Sheet1!$A:$J,MATCH(Index_Match!$E24,Sheet1!$A:$A,0),MATCH(Index_Match!L$1,Sheet1!$A$1:$J$1,0)))</f>
        <v>Ryan</v>
      </c>
      <c r="M24" s="20" t="str">
        <f>IF(ISBLANK($E24),"",INDEX(Sheet1!$A:$J,MATCH(Index_Match!$E24,Sheet1!$A:$A,0),MATCH(Index_Match!M$1,Sheet1!$A$1:$J$1,0)))</f>
        <v>Young</v>
      </c>
    </row>
    <row r="25" spans="2:13" x14ac:dyDescent="0.25">
      <c r="B25" s="20"/>
      <c r="C25" s="20"/>
      <c r="D25" s="20"/>
      <c r="E25" s="20" t="str">
        <v>Honey</v>
      </c>
      <c r="F25" s="20" t="str">
        <f>IF(ISBLANK($E25),"",INDEX(Sheet1!$A:$J,MATCH(Index_Match!$E25,Sheet1!$A:$A,0),MATCH(Index_Match!F$1,Sheet1!$A$1:$J$1,0)))</f>
        <v>Female</v>
      </c>
      <c r="G25" s="20" t="str">
        <f>IF(ISBLANK($E25),"",INDEX(Sheet1!$A:$J,MATCH(Index_Match!$E25,Sheet1!$A:$A,0),MATCH(Index_Match!G$1,Sheet1!$A$1:$J$1,0)))</f>
        <v>Photographer</v>
      </c>
      <c r="H25" s="20" t="str">
        <f>IF(ISBLANK($E25),"",INDEX(Sheet1!$A:$J,MATCH(Index_Match!$E25,Sheet1!$A:$A,0),MATCH(Index_Match!H$1,Sheet1!$A$1:$J$1,0)))</f>
        <v>Single</v>
      </c>
      <c r="I25" s="23">
        <f>IF(ISBLANK($E25),"",INDEX(Sheet1!$A:$J,MATCH(Index_Match!$E25,Sheet1!$A:$A,0),MATCH(Index_Match!I$1,Sheet1!$A$1:$J$1,0)))</f>
        <v>5</v>
      </c>
      <c r="J25" s="20" t="str">
        <f>IF(ISBLANK($E25),"",INDEX(Sheet1!$A:$J,MATCH(Index_Match!$E25,Sheet1!$A:$A,0),MATCH(Index_Match!J$1,Sheet1!$A$1:$J$1,0)))</f>
        <v>Honey Turner</v>
      </c>
      <c r="K25" s="23">
        <f>IF(ISBLANK($E25),"",INDEX(Sheet1!$A:$J,MATCH(Index_Match!$E25,Sheet1!$A:$A,0),MATCH(Index_Match!K$1,Sheet1!$A$1:$J$1,0)))</f>
        <v>5</v>
      </c>
      <c r="L25" s="20" t="str">
        <f>IF(ISBLANK($E25),"",INDEX(Sheet1!$A:$J,MATCH(Index_Match!$E25,Sheet1!$A:$A,0),MATCH(Index_Match!L$1,Sheet1!$A$1:$J$1,0)))</f>
        <v>Turner</v>
      </c>
      <c r="M25" s="20" t="str">
        <f>IF(ISBLANK($E25),"",INDEX(Sheet1!$A:$J,MATCH(Index_Match!$E25,Sheet1!$A:$A,0),MATCH(Index_Match!M$1,Sheet1!$A$1:$J$1,0)))</f>
        <v>Old</v>
      </c>
    </row>
    <row r="26" spans="2:13" x14ac:dyDescent="0.25">
      <c r="B26" s="20"/>
      <c r="C26" s="20"/>
      <c r="D26" s="20"/>
      <c r="E26" s="20" t="str">
        <v>Tara</v>
      </c>
      <c r="F26" s="20" t="str">
        <f>IF(ISBLANK($E26),"",INDEX(Sheet1!$A:$J,MATCH(Index_Match!$E26,Sheet1!$A:$A,0),MATCH(Index_Match!F$1,Sheet1!$A$1:$J$1,0)))</f>
        <v>Female</v>
      </c>
      <c r="G26" s="20" t="str">
        <f>IF(ISBLANK($E26),"",INDEX(Sheet1!$A:$J,MATCH(Index_Match!$E26,Sheet1!$A:$A,0),MATCH(Index_Match!G$1,Sheet1!$A$1:$J$1,0)))</f>
        <v>Jeweller</v>
      </c>
      <c r="H26" s="20" t="str">
        <f>IF(ISBLANK($E26),"",INDEX(Sheet1!$A:$J,MATCH(Index_Match!$E26,Sheet1!$A:$A,0),MATCH(Index_Match!H$1,Sheet1!$A$1:$J$1,0)))</f>
        <v>Married</v>
      </c>
      <c r="I26" s="23">
        <f>IF(ISBLANK($E26),"",INDEX(Sheet1!$A:$J,MATCH(Index_Match!$E26,Sheet1!$A:$A,0),MATCH(Index_Match!I$1,Sheet1!$A$1:$J$1,0)))</f>
        <v>4</v>
      </c>
      <c r="J26" s="20" t="str">
        <f>IF(ISBLANK($E26),"",INDEX(Sheet1!$A:$J,MATCH(Index_Match!$E26,Sheet1!$A:$A,0),MATCH(Index_Match!J$1,Sheet1!$A$1:$J$1,0)))</f>
        <v>Tara Brown</v>
      </c>
      <c r="K26" s="23">
        <f>IF(ISBLANK($E26),"",INDEX(Sheet1!$A:$J,MATCH(Index_Match!$E26,Sheet1!$A:$A,0),MATCH(Index_Match!K$1,Sheet1!$A$1:$J$1,0)))</f>
        <v>4</v>
      </c>
      <c r="L26" s="20" t="str">
        <f>IF(ISBLANK($E26),"",INDEX(Sheet1!$A:$J,MATCH(Index_Match!$E26,Sheet1!$A:$A,0),MATCH(Index_Match!L$1,Sheet1!$A$1:$J$1,0)))</f>
        <v>Brown</v>
      </c>
      <c r="M26" s="20" t="str">
        <f>IF(ISBLANK($E26),"",INDEX(Sheet1!$A:$J,MATCH(Index_Match!$E26,Sheet1!$A:$A,0),MATCH(Index_Match!M$1,Sheet1!$A$1:$J$1,0)))</f>
        <v>Young</v>
      </c>
    </row>
    <row r="27" spans="2:13" x14ac:dyDescent="0.25">
      <c r="B27" s="20"/>
      <c r="C27" s="20"/>
      <c r="D27" s="20"/>
      <c r="E27" s="20" t="str">
        <v>Mary</v>
      </c>
      <c r="F27" s="20" t="str">
        <f>IF(ISBLANK($E27),"",INDEX(Sheet1!$A:$J,MATCH(Index_Match!$E27,Sheet1!$A:$A,0),MATCH(Index_Match!F$1,Sheet1!$A$1:$J$1,0)))</f>
        <v>Female</v>
      </c>
      <c r="G27" s="20" t="str">
        <f>IF(ISBLANK($E27),"",INDEX(Sheet1!$A:$J,MATCH(Index_Match!$E27,Sheet1!$A:$A,0),MATCH(Index_Match!G$1,Sheet1!$A$1:$J$1,0)))</f>
        <v>Meteorologist</v>
      </c>
      <c r="H27" s="20" t="str">
        <f>IF(ISBLANK($E27),"",INDEX(Sheet1!$A:$J,MATCH(Index_Match!$E27,Sheet1!$A:$A,0),MATCH(Index_Match!H$1,Sheet1!$A$1:$J$1,0)))</f>
        <v>Married</v>
      </c>
      <c r="I27" s="23">
        <f>IF(ISBLANK($E27),"",INDEX(Sheet1!$A:$J,MATCH(Index_Match!$E27,Sheet1!$A:$A,0),MATCH(Index_Match!I$1,Sheet1!$A$1:$J$1,0)))</f>
        <v>4</v>
      </c>
      <c r="J27" s="20" t="str">
        <f>IF(ISBLANK($E27),"",INDEX(Sheet1!$A:$J,MATCH(Index_Match!$E27,Sheet1!$A:$A,0),MATCH(Index_Match!J$1,Sheet1!$A$1:$J$1,0)))</f>
        <v>Mary Stevens</v>
      </c>
      <c r="K27" s="23">
        <f>IF(ISBLANK($E27),"",INDEX(Sheet1!$A:$J,MATCH(Index_Match!$E27,Sheet1!$A:$A,0),MATCH(Index_Match!K$1,Sheet1!$A$1:$J$1,0)))</f>
        <v>4</v>
      </c>
      <c r="L27" s="20" t="str">
        <f>IF(ISBLANK($E27),"",INDEX(Sheet1!$A:$J,MATCH(Index_Match!$E27,Sheet1!$A:$A,0),MATCH(Index_Match!L$1,Sheet1!$A$1:$J$1,0)))</f>
        <v>Stevens</v>
      </c>
      <c r="M27" s="20" t="str">
        <f>IF(ISBLANK($E27),"",INDEX(Sheet1!$A:$J,MATCH(Index_Match!$E27,Sheet1!$A:$A,0),MATCH(Index_Match!M$1,Sheet1!$A$1:$J$1,0)))</f>
        <v>Young</v>
      </c>
    </row>
    <row r="28" spans="2:13" x14ac:dyDescent="0.25">
      <c r="B28" s="20"/>
      <c r="C28" s="20"/>
      <c r="D28" s="20"/>
      <c r="E28" s="20" t="str">
        <v>Sofia</v>
      </c>
      <c r="F28" s="20" t="str">
        <f>IF(ISBLANK($E28),"",INDEX(Sheet1!$A:$J,MATCH(Index_Match!$E28,Sheet1!$A:$A,0),MATCH(Index_Match!F$1,Sheet1!$A$1:$J$1,0)))</f>
        <v>Female</v>
      </c>
      <c r="G28" s="20" t="str">
        <f>IF(ISBLANK($E28),"",INDEX(Sheet1!$A:$J,MATCH(Index_Match!$E28,Sheet1!$A:$A,0),MATCH(Index_Match!G$1,Sheet1!$A$1:$J$1,0)))</f>
        <v>Cook</v>
      </c>
      <c r="H28" s="20" t="str">
        <f>IF(ISBLANK($E28),"",INDEX(Sheet1!$A:$J,MATCH(Index_Match!$E28,Sheet1!$A:$A,0),MATCH(Index_Match!H$1,Sheet1!$A$1:$J$1,0)))</f>
        <v>Married</v>
      </c>
      <c r="I28" s="23">
        <f>IF(ISBLANK($E28),"",INDEX(Sheet1!$A:$J,MATCH(Index_Match!$E28,Sheet1!$A:$A,0),MATCH(Index_Match!I$1,Sheet1!$A$1:$J$1,0)))</f>
        <v>5</v>
      </c>
      <c r="J28" s="20" t="str">
        <f>IF(ISBLANK($E28),"",INDEX(Sheet1!$A:$J,MATCH(Index_Match!$E28,Sheet1!$A:$A,0),MATCH(Index_Match!J$1,Sheet1!$A$1:$J$1,0)))</f>
        <v>Sofia Barnes</v>
      </c>
      <c r="K28" s="23">
        <f>IF(ISBLANK($E28),"",INDEX(Sheet1!$A:$J,MATCH(Index_Match!$E28,Sheet1!$A:$A,0),MATCH(Index_Match!K$1,Sheet1!$A$1:$J$1,0)))</f>
        <v>5</v>
      </c>
      <c r="L28" s="20" t="str">
        <f>IF(ISBLANK($E28),"",INDEX(Sheet1!$A:$J,MATCH(Index_Match!$E28,Sheet1!$A:$A,0),MATCH(Index_Match!L$1,Sheet1!$A$1:$J$1,0)))</f>
        <v>Barnes</v>
      </c>
      <c r="M28" s="20" t="str">
        <f>IF(ISBLANK($E28),"",INDEX(Sheet1!$A:$J,MATCH(Index_Match!$E28,Sheet1!$A:$A,0),MATCH(Index_Match!M$1,Sheet1!$A$1:$J$1,0)))</f>
        <v>Old</v>
      </c>
    </row>
    <row r="29" spans="2:13" x14ac:dyDescent="0.25">
      <c r="B29" s="20"/>
      <c r="C29" s="20"/>
      <c r="D29" s="20"/>
      <c r="E29" s="20" t="str">
        <v>Sarah</v>
      </c>
      <c r="F29" s="20" t="str">
        <f>IF(ISBLANK($E29),"",INDEX(Sheet1!$A:$J,MATCH(Index_Match!$E29,Sheet1!$A:$A,0),MATCH(Index_Match!F$1,Sheet1!$A$1:$J$1,0)))</f>
        <v>Female</v>
      </c>
      <c r="G29" s="20" t="str">
        <f>IF(ISBLANK($E29),"",INDEX(Sheet1!$A:$J,MATCH(Index_Match!$E29,Sheet1!$A:$A,0),MATCH(Index_Match!G$1,Sheet1!$A$1:$J$1,0)))</f>
        <v>Lecturer</v>
      </c>
      <c r="H29" s="20" t="str">
        <f>IF(ISBLANK($E29),"",INDEX(Sheet1!$A:$J,MATCH(Index_Match!$E29,Sheet1!$A:$A,0),MATCH(Index_Match!H$1,Sheet1!$A$1:$J$1,0)))</f>
        <v>Single</v>
      </c>
      <c r="I29" s="23">
        <f>IF(ISBLANK($E29),"",INDEX(Sheet1!$A:$J,MATCH(Index_Match!$E29,Sheet1!$A:$A,0),MATCH(Index_Match!I$1,Sheet1!$A$1:$J$1,0)))</f>
        <v>4</v>
      </c>
      <c r="J29" s="20" t="str">
        <f>IF(ISBLANK($E29),"",INDEX(Sheet1!$A:$J,MATCH(Index_Match!$E29,Sheet1!$A:$A,0),MATCH(Index_Match!J$1,Sheet1!$A$1:$J$1,0)))</f>
        <v>Sarah Stevens</v>
      </c>
      <c r="K29" s="23">
        <f>IF(ISBLANK($E29),"",INDEX(Sheet1!$A:$J,MATCH(Index_Match!$E29,Sheet1!$A:$A,0),MATCH(Index_Match!K$1,Sheet1!$A$1:$J$1,0)))</f>
        <v>4</v>
      </c>
      <c r="L29" s="20" t="str">
        <f>IF(ISBLANK($E29),"",INDEX(Sheet1!$A:$J,MATCH(Index_Match!$E29,Sheet1!$A:$A,0),MATCH(Index_Match!L$1,Sheet1!$A$1:$J$1,0)))</f>
        <v>Stevens</v>
      </c>
      <c r="M29" s="20" t="str">
        <f>IF(ISBLANK($E29),"",INDEX(Sheet1!$A:$J,MATCH(Index_Match!$E29,Sheet1!$A:$A,0),MATCH(Index_Match!M$1,Sheet1!$A$1:$J$1,0)))</f>
        <v>Middle Age</v>
      </c>
    </row>
    <row r="30" spans="2:13" x14ac:dyDescent="0.25">
      <c r="B30" s="20"/>
      <c r="C30" s="20"/>
      <c r="D30" s="20"/>
      <c r="E30" s="20" t="str">
        <v>Maria</v>
      </c>
      <c r="F30" s="20" t="str">
        <f>IF(ISBLANK($E30),"",INDEX(Sheet1!$A:$J,MATCH(Index_Match!$E30,Sheet1!$A:$A,0),MATCH(Index_Match!F$1,Sheet1!$A$1:$J$1,0)))</f>
        <v>Female</v>
      </c>
      <c r="G30" s="20" t="str">
        <f>IF(ISBLANK($E30),"",INDEX(Sheet1!$A:$J,MATCH(Index_Match!$E30,Sheet1!$A:$A,0),MATCH(Index_Match!G$1,Sheet1!$A$1:$J$1,0)))</f>
        <v>Engineer</v>
      </c>
      <c r="H30" s="20" t="str">
        <f>IF(ISBLANK($E30),"",INDEX(Sheet1!$A:$J,MATCH(Index_Match!$E30,Sheet1!$A:$A,0),MATCH(Index_Match!H$1,Sheet1!$A$1:$J$1,0)))</f>
        <v>Married</v>
      </c>
      <c r="I30" s="23">
        <f>IF(ISBLANK($E30),"",INDEX(Sheet1!$A:$J,MATCH(Index_Match!$E30,Sheet1!$A:$A,0),MATCH(Index_Match!I$1,Sheet1!$A$1:$J$1,0)))</f>
        <v>3</v>
      </c>
      <c r="J30" s="20" t="str">
        <f>IF(ISBLANK($E30),"",INDEX(Sheet1!$A:$J,MATCH(Index_Match!$E30,Sheet1!$A:$A,0),MATCH(Index_Match!J$1,Sheet1!$A$1:$J$1,0)))</f>
        <v>Maria Andrews</v>
      </c>
      <c r="K30" s="23">
        <f>IF(ISBLANK($E30),"",INDEX(Sheet1!$A:$J,MATCH(Index_Match!$E30,Sheet1!$A:$A,0),MATCH(Index_Match!K$1,Sheet1!$A$1:$J$1,0)))</f>
        <v>3</v>
      </c>
      <c r="L30" s="20" t="str">
        <f>IF(ISBLANK($E30),"",INDEX(Sheet1!$A:$J,MATCH(Index_Match!$E30,Sheet1!$A:$A,0),MATCH(Index_Match!L$1,Sheet1!$A$1:$J$1,0)))</f>
        <v>Andrews</v>
      </c>
      <c r="M30" s="20" t="str">
        <f>IF(ISBLANK($E30),"",INDEX(Sheet1!$A:$J,MATCH(Index_Match!$E30,Sheet1!$A:$A,0),MATCH(Index_Match!M$1,Sheet1!$A$1:$J$1,0)))</f>
        <v>Middle Age</v>
      </c>
    </row>
    <row r="31" spans="2:13" x14ac:dyDescent="0.25">
      <c r="B31" s="20"/>
      <c r="C31" s="20"/>
      <c r="D31" s="20"/>
      <c r="E31" s="20" t="str">
        <v>April</v>
      </c>
      <c r="F31" s="20" t="str">
        <f>IF(ISBLANK($E31),"",INDEX(Sheet1!$A:$J,MATCH(Index_Match!$E31,Sheet1!$A:$A,0),MATCH(Index_Match!F$1,Sheet1!$A$1:$J$1,0)))</f>
        <v>Female</v>
      </c>
      <c r="G31" s="20" t="str">
        <f>IF(ISBLANK($E31),"",INDEX(Sheet1!$A:$J,MATCH(Index_Match!$E31,Sheet1!$A:$A,0),MATCH(Index_Match!G$1,Sheet1!$A$1:$J$1,0)))</f>
        <v>Fashion Designer</v>
      </c>
      <c r="H31" s="20" t="str">
        <f>IF(ISBLANK($E31),"",INDEX(Sheet1!$A:$J,MATCH(Index_Match!$E31,Sheet1!$A:$A,0),MATCH(Index_Match!H$1,Sheet1!$A$1:$J$1,0)))</f>
        <v>Married</v>
      </c>
      <c r="I31" s="23">
        <f>IF(ISBLANK($E31),"",INDEX(Sheet1!$A:$J,MATCH(Index_Match!$E31,Sheet1!$A:$A,0),MATCH(Index_Match!I$1,Sheet1!$A$1:$J$1,0)))</f>
        <v>3</v>
      </c>
      <c r="J31" s="20" t="str">
        <f>IF(ISBLANK($E31),"",INDEX(Sheet1!$A:$J,MATCH(Index_Match!$E31,Sheet1!$A:$A,0),MATCH(Index_Match!J$1,Sheet1!$A$1:$J$1,0)))</f>
        <v>April Kelley</v>
      </c>
      <c r="K31" s="23">
        <f>IF(ISBLANK($E31),"",INDEX(Sheet1!$A:$J,MATCH(Index_Match!$E31,Sheet1!$A:$A,0),MATCH(Index_Match!K$1,Sheet1!$A$1:$J$1,0)))</f>
        <v>3</v>
      </c>
      <c r="L31" s="20" t="str">
        <f>IF(ISBLANK($E31),"",INDEX(Sheet1!$A:$J,MATCH(Index_Match!$E31,Sheet1!$A:$A,0),MATCH(Index_Match!L$1,Sheet1!$A$1:$J$1,0)))</f>
        <v>Kelley</v>
      </c>
      <c r="M31" s="20" t="str">
        <f>IF(ISBLANK($E31),"",INDEX(Sheet1!$A:$J,MATCH(Index_Match!$E31,Sheet1!$A:$A,0),MATCH(Index_Match!M$1,Sheet1!$A$1:$J$1,0)))</f>
        <v>Old</v>
      </c>
    </row>
    <row r="32" spans="2:13" x14ac:dyDescent="0.25">
      <c r="B32" s="20"/>
      <c r="C32" s="20"/>
      <c r="D32" s="20"/>
      <c r="E32" s="20" t="str">
        <v>Grace</v>
      </c>
      <c r="F32" s="20" t="str">
        <f>IF(ISBLANK($E32),"",INDEX(Sheet1!$A:$J,MATCH(Index_Match!$E32,Sheet1!$A:$A,0),MATCH(Index_Match!F$1,Sheet1!$A$1:$J$1,0)))</f>
        <v>Female</v>
      </c>
      <c r="G32" s="20" t="str">
        <f>IF(ISBLANK($E32),"",INDEX(Sheet1!$A:$J,MATCH(Index_Match!$E32,Sheet1!$A:$A,0),MATCH(Index_Match!G$1,Sheet1!$A$1:$J$1,0)))</f>
        <v>Insurer</v>
      </c>
      <c r="H32" s="20" t="str">
        <f>IF(ISBLANK($E32),"",INDEX(Sheet1!$A:$J,MATCH(Index_Match!$E32,Sheet1!$A:$A,0),MATCH(Index_Match!H$1,Sheet1!$A$1:$J$1,0)))</f>
        <v>Married</v>
      </c>
      <c r="I32" s="23">
        <f>IF(ISBLANK($E32),"",INDEX(Sheet1!$A:$J,MATCH(Index_Match!$E32,Sheet1!$A:$A,0),MATCH(Index_Match!I$1,Sheet1!$A$1:$J$1,0)))</f>
        <v>1</v>
      </c>
      <c r="J32" s="20" t="str">
        <f>IF(ISBLANK($E32),"",INDEX(Sheet1!$A:$J,MATCH(Index_Match!$E32,Sheet1!$A:$A,0),MATCH(Index_Match!J$1,Sheet1!$A$1:$J$1,0)))</f>
        <v>Grace Taylor</v>
      </c>
      <c r="K32" s="23">
        <f>IF(ISBLANK($E32),"",INDEX(Sheet1!$A:$J,MATCH(Index_Match!$E32,Sheet1!$A:$A,0),MATCH(Index_Match!K$1,Sheet1!$A$1:$J$1,0)))</f>
        <v>1</v>
      </c>
      <c r="L32" s="20" t="str">
        <f>IF(ISBLANK($E32),"",INDEX(Sheet1!$A:$J,MATCH(Index_Match!$E32,Sheet1!$A:$A,0),MATCH(Index_Match!L$1,Sheet1!$A$1:$J$1,0)))</f>
        <v>Taylor</v>
      </c>
      <c r="M32" s="20" t="str">
        <f>IF(ISBLANK($E32),"",INDEX(Sheet1!$A:$J,MATCH(Index_Match!$E32,Sheet1!$A:$A,0),MATCH(Index_Match!M$1,Sheet1!$A$1:$J$1,0)))</f>
        <v>Middle Age</v>
      </c>
    </row>
    <row r="33" spans="2:13" x14ac:dyDescent="0.25">
      <c r="B33" s="20"/>
      <c r="C33" s="20"/>
      <c r="D33" s="20"/>
      <c r="E33" s="20" t="str">
        <v>Nicole</v>
      </c>
      <c r="F33" s="20" t="str">
        <f>IF(ISBLANK($E33),"",INDEX(Sheet1!$A:$J,MATCH(Index_Match!$E33,Sheet1!$A:$A,0),MATCH(Index_Match!F$1,Sheet1!$A$1:$J$1,0)))</f>
        <v>Female</v>
      </c>
      <c r="G33" s="20" t="str">
        <f>IF(ISBLANK($E33),"",INDEX(Sheet1!$A:$J,MATCH(Index_Match!$E33,Sheet1!$A:$A,0),MATCH(Index_Match!G$1,Sheet1!$A$1:$J$1,0)))</f>
        <v>Aeroplane Pilot</v>
      </c>
      <c r="H33" s="20" t="str">
        <f>IF(ISBLANK($E33),"",INDEX(Sheet1!$A:$J,MATCH(Index_Match!$E33,Sheet1!$A:$A,0),MATCH(Index_Match!H$1,Sheet1!$A$1:$J$1,0)))</f>
        <v>Married</v>
      </c>
      <c r="I33" s="23">
        <f>IF(ISBLANK($E33),"",INDEX(Sheet1!$A:$J,MATCH(Index_Match!$E33,Sheet1!$A:$A,0),MATCH(Index_Match!I$1,Sheet1!$A$1:$J$1,0)))</f>
        <v>0</v>
      </c>
      <c r="J33" s="20" t="str">
        <f>IF(ISBLANK($E33),"",INDEX(Sheet1!$A:$J,MATCH(Index_Match!$E33,Sheet1!$A:$A,0),MATCH(Index_Match!J$1,Sheet1!$A$1:$J$1,0)))</f>
        <v>Nicole Morgan</v>
      </c>
      <c r="K33" s="23">
        <f>IF(ISBLANK($E33),"",INDEX(Sheet1!$A:$J,MATCH(Index_Match!$E33,Sheet1!$A:$A,0),MATCH(Index_Match!K$1,Sheet1!$A$1:$J$1,0)))</f>
        <v>0</v>
      </c>
      <c r="L33" s="20" t="str">
        <f>IF(ISBLANK($E33),"",INDEX(Sheet1!$A:$J,MATCH(Index_Match!$E33,Sheet1!$A:$A,0),MATCH(Index_Match!L$1,Sheet1!$A$1:$J$1,0)))</f>
        <v>Morgan</v>
      </c>
      <c r="M33" s="20" t="str">
        <f>IF(ISBLANK($E33),"",INDEX(Sheet1!$A:$J,MATCH(Index_Match!$E33,Sheet1!$A:$A,0),MATCH(Index_Match!M$1,Sheet1!$A$1:$J$1,0)))</f>
        <v>Middle Age</v>
      </c>
    </row>
    <row r="34" spans="2:13" x14ac:dyDescent="0.25">
      <c r="B34" s="20"/>
      <c r="C34" s="20"/>
      <c r="D34" s="20"/>
      <c r="E34" s="20" t="str">
        <v>Kate</v>
      </c>
      <c r="F34" s="20" t="str">
        <f>IF(ISBLANK($E34),"",INDEX(Sheet1!$A:$J,MATCH(Index_Match!$E34,Sheet1!$A:$A,0),MATCH(Index_Match!F$1,Sheet1!$A$1:$J$1,0)))</f>
        <v>Female</v>
      </c>
      <c r="G34" s="20" t="str">
        <f>IF(ISBLANK($E34),"",INDEX(Sheet1!$A:$J,MATCH(Index_Match!$E34,Sheet1!$A:$A,0),MATCH(Index_Match!G$1,Sheet1!$A$1:$J$1,0)))</f>
        <v>Astronomer</v>
      </c>
      <c r="H34" s="20" t="str">
        <f>IF(ISBLANK($E34),"",INDEX(Sheet1!$A:$J,MATCH(Index_Match!$E34,Sheet1!$A:$A,0),MATCH(Index_Match!H$1,Sheet1!$A$1:$J$1,0)))</f>
        <v>Single</v>
      </c>
      <c r="I34" s="23">
        <f>IF(ISBLANK($E34),"",INDEX(Sheet1!$A:$J,MATCH(Index_Match!$E34,Sheet1!$A:$A,0),MATCH(Index_Match!I$1,Sheet1!$A$1:$J$1,0)))</f>
        <v>1</v>
      </c>
      <c r="J34" s="20" t="str">
        <f>IF(ISBLANK($E34),"",INDEX(Sheet1!$A:$J,MATCH(Index_Match!$E34,Sheet1!$A:$A,0),MATCH(Index_Match!J$1,Sheet1!$A$1:$J$1,0)))</f>
        <v>Kate Robinson</v>
      </c>
      <c r="K34" s="23">
        <f>IF(ISBLANK($E34),"",INDEX(Sheet1!$A:$J,MATCH(Index_Match!$E34,Sheet1!$A:$A,0),MATCH(Index_Match!K$1,Sheet1!$A$1:$J$1,0)))</f>
        <v>1</v>
      </c>
      <c r="L34" s="20" t="str">
        <f>IF(ISBLANK($E34),"",INDEX(Sheet1!$A:$J,MATCH(Index_Match!$E34,Sheet1!$A:$A,0),MATCH(Index_Match!L$1,Sheet1!$A$1:$J$1,0)))</f>
        <v>Robinson</v>
      </c>
      <c r="M34" s="20" t="str">
        <f>IF(ISBLANK($E34),"",INDEX(Sheet1!$A:$J,MATCH(Index_Match!$E34,Sheet1!$A:$A,0),MATCH(Index_Match!M$1,Sheet1!$A$1:$J$1,0)))</f>
        <v>Young</v>
      </c>
    </row>
    <row r="35" spans="2:13" x14ac:dyDescent="0.25">
      <c r="B35" s="20"/>
      <c r="C35" s="20"/>
      <c r="D35" s="20"/>
      <c r="E35" s="20" t="str">
        <v>Isabella</v>
      </c>
      <c r="F35" s="20" t="str">
        <f>IF(ISBLANK($E35),"",INDEX(Sheet1!$A:$J,MATCH(Index_Match!$E35,Sheet1!$A:$A,0),MATCH(Index_Match!F$1,Sheet1!$A$1:$J$1,0)))</f>
        <v>Female</v>
      </c>
      <c r="G35" s="20" t="str">
        <f>IF(ISBLANK($E35),"",INDEX(Sheet1!$A:$J,MATCH(Index_Match!$E35,Sheet1!$A:$A,0),MATCH(Index_Match!G$1,Sheet1!$A$1:$J$1,0)))</f>
        <v>Aeroplane Pilot</v>
      </c>
      <c r="H35" s="20" t="str">
        <f>IF(ISBLANK($E35),"",INDEX(Sheet1!$A:$J,MATCH(Index_Match!$E35,Sheet1!$A:$A,0),MATCH(Index_Match!H$1,Sheet1!$A$1:$J$1,0)))</f>
        <v>Married</v>
      </c>
      <c r="I35" s="23">
        <f>IF(ISBLANK($E35),"",INDEX(Sheet1!$A:$J,MATCH(Index_Match!$E35,Sheet1!$A:$A,0),MATCH(Index_Match!I$1,Sheet1!$A$1:$J$1,0)))</f>
        <v>5</v>
      </c>
      <c r="J35" s="20" t="str">
        <f>IF(ISBLANK($E35),"",INDEX(Sheet1!$A:$J,MATCH(Index_Match!$E35,Sheet1!$A:$A,0),MATCH(Index_Match!J$1,Sheet1!$A$1:$J$1,0)))</f>
        <v>Isabella Perry</v>
      </c>
      <c r="K35" s="23">
        <f>IF(ISBLANK($E35),"",INDEX(Sheet1!$A:$J,MATCH(Index_Match!$E35,Sheet1!$A:$A,0),MATCH(Index_Match!K$1,Sheet1!$A$1:$J$1,0)))</f>
        <v>5</v>
      </c>
      <c r="L35" s="20" t="str">
        <f>IF(ISBLANK($E35),"",INDEX(Sheet1!$A:$J,MATCH(Index_Match!$E35,Sheet1!$A:$A,0),MATCH(Index_Match!L$1,Sheet1!$A$1:$J$1,0)))</f>
        <v>Perry</v>
      </c>
      <c r="M35" s="20" t="str">
        <f>IF(ISBLANK($E35),"",INDEX(Sheet1!$A:$J,MATCH(Index_Match!$E35,Sheet1!$A:$A,0),MATCH(Index_Match!M$1,Sheet1!$A$1:$J$1,0)))</f>
        <v>Middle Age</v>
      </c>
    </row>
    <row r="36" spans="2:13" x14ac:dyDescent="0.25">
      <c r="B36" s="20"/>
      <c r="C36" s="20"/>
      <c r="D36" s="20"/>
      <c r="E36" s="20" t="str">
        <v>Samantha</v>
      </c>
      <c r="F36" s="20" t="str">
        <f>IF(ISBLANK($E36),"",INDEX(Sheet1!$A:$J,MATCH(Index_Match!$E36,Sheet1!$A:$A,0),MATCH(Index_Match!F$1,Sheet1!$A$1:$J$1,0)))</f>
        <v>Female</v>
      </c>
      <c r="G36" s="20" t="str">
        <f>IF(ISBLANK($E36),"",INDEX(Sheet1!$A:$J,MATCH(Index_Match!$E36,Sheet1!$A:$A,0),MATCH(Index_Match!G$1,Sheet1!$A$1:$J$1,0)))</f>
        <v>Carpenter</v>
      </c>
      <c r="H36" s="20" t="str">
        <f>IF(ISBLANK($E36),"",INDEX(Sheet1!$A:$J,MATCH(Index_Match!$E36,Sheet1!$A:$A,0),MATCH(Index_Match!H$1,Sheet1!$A$1:$J$1,0)))</f>
        <v>Married</v>
      </c>
      <c r="I36" s="23">
        <f>IF(ISBLANK($E36),"",INDEX(Sheet1!$A:$J,MATCH(Index_Match!$E36,Sheet1!$A:$A,0),MATCH(Index_Match!I$1,Sheet1!$A$1:$J$1,0)))</f>
        <v>0</v>
      </c>
      <c r="J36" s="20" t="str">
        <f>IF(ISBLANK($E36),"",INDEX(Sheet1!$A:$J,MATCH(Index_Match!$E36,Sheet1!$A:$A,0),MATCH(Index_Match!J$1,Sheet1!$A$1:$J$1,0)))</f>
        <v>Samantha Clark</v>
      </c>
      <c r="K36" s="23">
        <f>IF(ISBLANK($E36),"",INDEX(Sheet1!$A:$J,MATCH(Index_Match!$E36,Sheet1!$A:$A,0),MATCH(Index_Match!K$1,Sheet1!$A$1:$J$1,0)))</f>
        <v>0</v>
      </c>
      <c r="L36" s="20" t="str">
        <f>IF(ISBLANK($E36),"",INDEX(Sheet1!$A:$J,MATCH(Index_Match!$E36,Sheet1!$A:$A,0),MATCH(Index_Match!L$1,Sheet1!$A$1:$J$1,0)))</f>
        <v>Clark</v>
      </c>
      <c r="M36" s="20" t="str">
        <f>IF(ISBLANK($E36),"",INDEX(Sheet1!$A:$J,MATCH(Index_Match!$E36,Sheet1!$A:$A,0),MATCH(Index_Match!M$1,Sheet1!$A$1:$J$1,0)))</f>
        <v>Middle Age</v>
      </c>
    </row>
    <row r="37" spans="2:13" x14ac:dyDescent="0.25">
      <c r="B37" s="20"/>
      <c r="C37" s="20"/>
      <c r="D37" s="20"/>
      <c r="E37" s="20" t="str">
        <v>Sienna</v>
      </c>
      <c r="F37" s="20" t="str">
        <f>IF(ISBLANK($E37),"",INDEX(Sheet1!$A:$J,MATCH(Index_Match!$E37,Sheet1!$A:$A,0),MATCH(Index_Match!F$1,Sheet1!$A$1:$J$1,0)))</f>
        <v>Female</v>
      </c>
      <c r="G37" s="20" t="str">
        <f>IF(ISBLANK($E37),"",INDEX(Sheet1!$A:$J,MATCH(Index_Match!$E37,Sheet1!$A:$A,0),MATCH(Index_Match!G$1,Sheet1!$A$1:$J$1,0)))</f>
        <v>Biochemist</v>
      </c>
      <c r="H37" s="20" t="str">
        <f>IF(ISBLANK($E37),"",INDEX(Sheet1!$A:$J,MATCH(Index_Match!$E37,Sheet1!$A:$A,0),MATCH(Index_Match!H$1,Sheet1!$A$1:$J$1,0)))</f>
        <v>Single</v>
      </c>
      <c r="I37" s="23">
        <f>IF(ISBLANK($E37),"",INDEX(Sheet1!$A:$J,MATCH(Index_Match!$E37,Sheet1!$A:$A,0),MATCH(Index_Match!I$1,Sheet1!$A$1:$J$1,0)))</f>
        <v>1</v>
      </c>
      <c r="J37" s="20" t="str">
        <f>IF(ISBLANK($E37),"",INDEX(Sheet1!$A:$J,MATCH(Index_Match!$E37,Sheet1!$A:$A,0),MATCH(Index_Match!J$1,Sheet1!$A$1:$J$1,0)))</f>
        <v>Sienna Baker</v>
      </c>
      <c r="K37" s="23">
        <f>IF(ISBLANK($E37),"",INDEX(Sheet1!$A:$J,MATCH(Index_Match!$E37,Sheet1!$A:$A,0),MATCH(Index_Match!K$1,Sheet1!$A$1:$J$1,0)))</f>
        <v>1</v>
      </c>
      <c r="L37" s="20" t="str">
        <f>IF(ISBLANK($E37),"",INDEX(Sheet1!$A:$J,MATCH(Index_Match!$E37,Sheet1!$A:$A,0),MATCH(Index_Match!L$1,Sheet1!$A$1:$J$1,0)))</f>
        <v>Baker</v>
      </c>
      <c r="M37" s="20" t="str">
        <f>IF(ISBLANK($E37),"",INDEX(Sheet1!$A:$J,MATCH(Index_Match!$E37,Sheet1!$A:$A,0),MATCH(Index_Match!M$1,Sheet1!$A$1:$J$1,0)))</f>
        <v>Young</v>
      </c>
    </row>
    <row r="38" spans="2:13" x14ac:dyDescent="0.25">
      <c r="B38" s="20"/>
      <c r="C38" s="20"/>
      <c r="D38" s="20"/>
      <c r="E38" s="20" t="str">
        <v>Miranda</v>
      </c>
      <c r="F38" s="20" t="str">
        <f>IF(ISBLANK($E38),"",INDEX(Sheet1!$A:$J,MATCH(Index_Match!$E38,Sheet1!$A:$A,0),MATCH(Index_Match!F$1,Sheet1!$A$1:$J$1,0)))</f>
        <v>Female</v>
      </c>
      <c r="G38" s="20" t="str">
        <f>IF(ISBLANK($E38),"",INDEX(Sheet1!$A:$J,MATCH(Index_Match!$E38,Sheet1!$A:$A,0),MATCH(Index_Match!G$1,Sheet1!$A$1:$J$1,0)))</f>
        <v>Astronomer</v>
      </c>
      <c r="H38" s="20" t="str">
        <f>IF(ISBLANK($E38),"",INDEX(Sheet1!$A:$J,MATCH(Index_Match!$E38,Sheet1!$A:$A,0),MATCH(Index_Match!H$1,Sheet1!$A$1:$J$1,0)))</f>
        <v>Married</v>
      </c>
      <c r="I38" s="23">
        <f>IF(ISBLANK($E38),"",INDEX(Sheet1!$A:$J,MATCH(Index_Match!$E38,Sheet1!$A:$A,0),MATCH(Index_Match!I$1,Sheet1!$A$1:$J$1,0)))</f>
        <v>3</v>
      </c>
      <c r="J38" s="20" t="str">
        <f>IF(ISBLANK($E38),"",INDEX(Sheet1!$A:$J,MATCH(Index_Match!$E38,Sheet1!$A:$A,0),MATCH(Index_Match!J$1,Sheet1!$A$1:$J$1,0)))</f>
        <v>Miranda Douglas</v>
      </c>
      <c r="K38" s="23">
        <f>IF(ISBLANK($E38),"",INDEX(Sheet1!$A:$J,MATCH(Index_Match!$E38,Sheet1!$A:$A,0),MATCH(Index_Match!K$1,Sheet1!$A$1:$J$1,0)))</f>
        <v>3</v>
      </c>
      <c r="L38" s="20" t="str">
        <f>IF(ISBLANK($E38),"",INDEX(Sheet1!$A:$J,MATCH(Index_Match!$E38,Sheet1!$A:$A,0),MATCH(Index_Match!L$1,Sheet1!$A$1:$J$1,0)))</f>
        <v>Douglas</v>
      </c>
      <c r="M38" s="20" t="str">
        <f>IF(ISBLANK($E38),"",INDEX(Sheet1!$A:$J,MATCH(Index_Match!$E38,Sheet1!$A:$A,0),MATCH(Index_Match!M$1,Sheet1!$A$1:$J$1,0)))</f>
        <v>Young</v>
      </c>
    </row>
    <row r="39" spans="2:13" x14ac:dyDescent="0.25">
      <c r="B39" s="20"/>
      <c r="C39" s="20"/>
      <c r="D39" s="20"/>
      <c r="E39" s="20" t="str">
        <v>Heather</v>
      </c>
      <c r="F39" s="20" t="str">
        <f>IF(ISBLANK($E39),"",INDEX(Sheet1!$A:$J,MATCH(Index_Match!$E39,Sheet1!$A:$A,0),MATCH(Index_Match!F$1,Sheet1!$A$1:$J$1,0)))</f>
        <v>Female</v>
      </c>
      <c r="G39" s="20" t="str">
        <f>IF(ISBLANK($E39),"",INDEX(Sheet1!$A:$J,MATCH(Index_Match!$E39,Sheet1!$A:$A,0),MATCH(Index_Match!G$1,Sheet1!$A$1:$J$1,0)))</f>
        <v>Carpenter</v>
      </c>
      <c r="H39" s="20" t="str">
        <f>IF(ISBLANK($E39),"",INDEX(Sheet1!$A:$J,MATCH(Index_Match!$E39,Sheet1!$A:$A,0),MATCH(Index_Match!H$1,Sheet1!$A$1:$J$1,0)))</f>
        <v>Single</v>
      </c>
      <c r="I39" s="23">
        <f>IF(ISBLANK($E39),"",INDEX(Sheet1!$A:$J,MATCH(Index_Match!$E39,Sheet1!$A:$A,0),MATCH(Index_Match!I$1,Sheet1!$A$1:$J$1,0)))</f>
        <v>5</v>
      </c>
      <c r="J39" s="20" t="str">
        <f>IF(ISBLANK($E39),"",INDEX(Sheet1!$A:$J,MATCH(Index_Match!$E39,Sheet1!$A:$A,0),MATCH(Index_Match!J$1,Sheet1!$A$1:$J$1,0)))</f>
        <v>Heather Perry</v>
      </c>
      <c r="K39" s="23">
        <f>IF(ISBLANK($E39),"",INDEX(Sheet1!$A:$J,MATCH(Index_Match!$E39,Sheet1!$A:$A,0),MATCH(Index_Match!K$1,Sheet1!$A$1:$J$1,0)))</f>
        <v>5</v>
      </c>
      <c r="L39" s="20" t="str">
        <f>IF(ISBLANK($E39),"",INDEX(Sheet1!$A:$J,MATCH(Index_Match!$E39,Sheet1!$A:$A,0),MATCH(Index_Match!L$1,Sheet1!$A$1:$J$1,0)))</f>
        <v>Perry</v>
      </c>
      <c r="M39" s="20" t="str">
        <f>IF(ISBLANK($E39),"",INDEX(Sheet1!$A:$J,MATCH(Index_Match!$E39,Sheet1!$A:$A,0),MATCH(Index_Match!M$1,Sheet1!$A$1:$J$1,0)))</f>
        <v>Middle Age</v>
      </c>
    </row>
    <row r="40" spans="2:13" x14ac:dyDescent="0.25">
      <c r="B40" s="20"/>
      <c r="C40" s="20"/>
      <c r="D40" s="20"/>
      <c r="E40" s="20" t="str">
        <v>Vanessa</v>
      </c>
      <c r="F40" s="20" t="str">
        <f>IF(ISBLANK($E40),"",INDEX(Sheet1!$A:$J,MATCH(Index_Match!$E40,Sheet1!$A:$A,0),MATCH(Index_Match!F$1,Sheet1!$A$1:$J$1,0)))</f>
        <v>Female</v>
      </c>
      <c r="G40" s="20" t="str">
        <f>IF(ISBLANK($E40),"",INDEX(Sheet1!$A:$J,MATCH(Index_Match!$E40,Sheet1!$A:$A,0),MATCH(Index_Match!G$1,Sheet1!$A$1:$J$1,0)))</f>
        <v>Lawyer</v>
      </c>
      <c r="H40" s="20" t="str">
        <f>IF(ISBLANK($E40),"",INDEX(Sheet1!$A:$J,MATCH(Index_Match!$E40,Sheet1!$A:$A,0),MATCH(Index_Match!H$1,Sheet1!$A$1:$J$1,0)))</f>
        <v>Married</v>
      </c>
      <c r="I40" s="23">
        <f>IF(ISBLANK($E40),"",INDEX(Sheet1!$A:$J,MATCH(Index_Match!$E40,Sheet1!$A:$A,0),MATCH(Index_Match!I$1,Sheet1!$A$1:$J$1,0)))</f>
        <v>2</v>
      </c>
      <c r="J40" s="20" t="str">
        <f>IF(ISBLANK($E40),"",INDEX(Sheet1!$A:$J,MATCH(Index_Match!$E40,Sheet1!$A:$A,0),MATCH(Index_Match!J$1,Sheet1!$A$1:$J$1,0)))</f>
        <v>Vanessa Farrell</v>
      </c>
      <c r="K40" s="23">
        <f>IF(ISBLANK($E40),"",INDEX(Sheet1!$A:$J,MATCH(Index_Match!$E40,Sheet1!$A:$A,0),MATCH(Index_Match!K$1,Sheet1!$A$1:$J$1,0)))</f>
        <v>2</v>
      </c>
      <c r="L40" s="20" t="str">
        <f>IF(ISBLANK($E40),"",INDEX(Sheet1!$A:$J,MATCH(Index_Match!$E40,Sheet1!$A:$A,0),MATCH(Index_Match!L$1,Sheet1!$A$1:$J$1,0)))</f>
        <v>Farrell</v>
      </c>
      <c r="M40" s="20" t="str">
        <f>IF(ISBLANK($E40),"",INDEX(Sheet1!$A:$J,MATCH(Index_Match!$E40,Sheet1!$A:$A,0),MATCH(Index_Match!M$1,Sheet1!$A$1:$J$1,0)))</f>
        <v>Young</v>
      </c>
    </row>
    <row r="41" spans="2:13" x14ac:dyDescent="0.25">
      <c r="B41" s="20"/>
      <c r="C41" s="20"/>
      <c r="D41" s="20"/>
      <c r="E41" s="20" t="str">
        <v>Samantha</v>
      </c>
      <c r="F41" s="20" t="str">
        <f>IF(ISBLANK($E41),"",INDEX(Sheet1!$A:$J,MATCH(Index_Match!$E41,Sheet1!$A:$A,0),MATCH(Index_Match!F$1,Sheet1!$A$1:$J$1,0)))</f>
        <v>Female</v>
      </c>
      <c r="G41" s="20" t="str">
        <f>IF(ISBLANK($E41),"",INDEX(Sheet1!$A:$J,MATCH(Index_Match!$E41,Sheet1!$A:$A,0),MATCH(Index_Match!G$1,Sheet1!$A$1:$J$1,0)))</f>
        <v>Carpenter</v>
      </c>
      <c r="H41" s="20" t="str">
        <f>IF(ISBLANK($E41),"",INDEX(Sheet1!$A:$J,MATCH(Index_Match!$E41,Sheet1!$A:$A,0),MATCH(Index_Match!H$1,Sheet1!$A$1:$J$1,0)))</f>
        <v>Married</v>
      </c>
      <c r="I41" s="23">
        <f>IF(ISBLANK($E41),"",INDEX(Sheet1!$A:$J,MATCH(Index_Match!$E41,Sheet1!$A:$A,0),MATCH(Index_Match!I$1,Sheet1!$A$1:$J$1,0)))</f>
        <v>0</v>
      </c>
      <c r="J41" s="20" t="str">
        <f>IF(ISBLANK($E41),"",INDEX(Sheet1!$A:$J,MATCH(Index_Match!$E41,Sheet1!$A:$A,0),MATCH(Index_Match!J$1,Sheet1!$A$1:$J$1,0)))</f>
        <v>Samantha Clark</v>
      </c>
      <c r="K41" s="23">
        <f>IF(ISBLANK($E41),"",INDEX(Sheet1!$A:$J,MATCH(Index_Match!$E41,Sheet1!$A:$A,0),MATCH(Index_Match!K$1,Sheet1!$A$1:$J$1,0)))</f>
        <v>0</v>
      </c>
      <c r="L41" s="20" t="str">
        <f>IF(ISBLANK($E41),"",INDEX(Sheet1!$A:$J,MATCH(Index_Match!$E41,Sheet1!$A:$A,0),MATCH(Index_Match!L$1,Sheet1!$A$1:$J$1,0)))</f>
        <v>Clark</v>
      </c>
      <c r="M41" s="20" t="str">
        <f>IF(ISBLANK($E41),"",INDEX(Sheet1!$A:$J,MATCH(Index_Match!$E41,Sheet1!$A:$A,0),MATCH(Index_Match!M$1,Sheet1!$A$1:$J$1,0)))</f>
        <v>Middle Age</v>
      </c>
    </row>
    <row r="42" spans="2:13" x14ac:dyDescent="0.25">
      <c r="B42" s="20"/>
      <c r="C42" s="20"/>
      <c r="D42" s="20"/>
      <c r="E42" s="20" t="str">
        <v>Mary</v>
      </c>
      <c r="F42" s="20" t="str">
        <f>IF(ISBLANK($E42),"",INDEX(Sheet1!$A:$J,MATCH(Index_Match!$E42,Sheet1!$A:$A,0),MATCH(Index_Match!F$1,Sheet1!$A$1:$J$1,0)))</f>
        <v>Female</v>
      </c>
      <c r="G42" s="20" t="str">
        <f>IF(ISBLANK($E42),"",INDEX(Sheet1!$A:$J,MATCH(Index_Match!$E42,Sheet1!$A:$A,0),MATCH(Index_Match!G$1,Sheet1!$A$1:$J$1,0)))</f>
        <v>Meteorologist</v>
      </c>
      <c r="H42" s="20" t="str">
        <f>IF(ISBLANK($E42),"",INDEX(Sheet1!$A:$J,MATCH(Index_Match!$E42,Sheet1!$A:$A,0),MATCH(Index_Match!H$1,Sheet1!$A$1:$J$1,0)))</f>
        <v>Married</v>
      </c>
      <c r="I42" s="23">
        <f>IF(ISBLANK($E42),"",INDEX(Sheet1!$A:$J,MATCH(Index_Match!$E42,Sheet1!$A:$A,0),MATCH(Index_Match!I$1,Sheet1!$A$1:$J$1,0)))</f>
        <v>4</v>
      </c>
      <c r="J42" s="20" t="str">
        <f>IF(ISBLANK($E42),"",INDEX(Sheet1!$A:$J,MATCH(Index_Match!$E42,Sheet1!$A:$A,0),MATCH(Index_Match!J$1,Sheet1!$A$1:$J$1,0)))</f>
        <v>Mary Stevens</v>
      </c>
      <c r="K42" s="23">
        <f>IF(ISBLANK($E42),"",INDEX(Sheet1!$A:$J,MATCH(Index_Match!$E42,Sheet1!$A:$A,0),MATCH(Index_Match!K$1,Sheet1!$A$1:$J$1,0)))</f>
        <v>4</v>
      </c>
      <c r="L42" s="20" t="str">
        <f>IF(ISBLANK($E42),"",INDEX(Sheet1!$A:$J,MATCH(Index_Match!$E42,Sheet1!$A:$A,0),MATCH(Index_Match!L$1,Sheet1!$A$1:$J$1,0)))</f>
        <v>Stevens</v>
      </c>
      <c r="M42" s="20" t="str">
        <f>IF(ISBLANK($E42),"",INDEX(Sheet1!$A:$J,MATCH(Index_Match!$E42,Sheet1!$A:$A,0),MATCH(Index_Match!M$1,Sheet1!$A$1:$J$1,0)))</f>
        <v>Young</v>
      </c>
    </row>
    <row r="43" spans="2:13" x14ac:dyDescent="0.25">
      <c r="B43" s="20"/>
      <c r="C43" s="20"/>
      <c r="D43" s="20"/>
      <c r="E43" s="20" t="str">
        <v>Sarah</v>
      </c>
      <c r="F43" s="20" t="str">
        <f>IF(ISBLANK($E43),"",INDEX(Sheet1!$A:$J,MATCH(Index_Match!$E43,Sheet1!$A:$A,0),MATCH(Index_Match!F$1,Sheet1!$A$1:$J$1,0)))</f>
        <v>Female</v>
      </c>
      <c r="G43" s="20" t="str">
        <f>IF(ISBLANK($E43),"",INDEX(Sheet1!$A:$J,MATCH(Index_Match!$E43,Sheet1!$A:$A,0),MATCH(Index_Match!G$1,Sheet1!$A$1:$J$1,0)))</f>
        <v>Lecturer</v>
      </c>
      <c r="H43" s="20" t="str">
        <f>IF(ISBLANK($E43),"",INDEX(Sheet1!$A:$J,MATCH(Index_Match!$E43,Sheet1!$A:$A,0),MATCH(Index_Match!H$1,Sheet1!$A$1:$J$1,0)))</f>
        <v>Single</v>
      </c>
      <c r="I43" s="23">
        <f>IF(ISBLANK($E43),"",INDEX(Sheet1!$A:$J,MATCH(Index_Match!$E43,Sheet1!$A:$A,0),MATCH(Index_Match!I$1,Sheet1!$A$1:$J$1,0)))</f>
        <v>4</v>
      </c>
      <c r="J43" s="20" t="str">
        <f>IF(ISBLANK($E43),"",INDEX(Sheet1!$A:$J,MATCH(Index_Match!$E43,Sheet1!$A:$A,0),MATCH(Index_Match!J$1,Sheet1!$A$1:$J$1,0)))</f>
        <v>Sarah Stevens</v>
      </c>
      <c r="K43" s="23">
        <f>IF(ISBLANK($E43),"",INDEX(Sheet1!$A:$J,MATCH(Index_Match!$E43,Sheet1!$A:$A,0),MATCH(Index_Match!K$1,Sheet1!$A$1:$J$1,0)))</f>
        <v>4</v>
      </c>
      <c r="L43" s="20" t="str">
        <f>IF(ISBLANK($E43),"",INDEX(Sheet1!$A:$J,MATCH(Index_Match!$E43,Sheet1!$A:$A,0),MATCH(Index_Match!L$1,Sheet1!$A$1:$J$1,0)))</f>
        <v>Stevens</v>
      </c>
      <c r="M43" s="20" t="str">
        <f>IF(ISBLANK($E43),"",INDEX(Sheet1!$A:$J,MATCH(Index_Match!$E43,Sheet1!$A:$A,0),MATCH(Index_Match!M$1,Sheet1!$A$1:$J$1,0)))</f>
        <v>Middle Age</v>
      </c>
    </row>
    <row r="44" spans="2:13" x14ac:dyDescent="0.25">
      <c r="B44" s="20"/>
      <c r="C44" s="20"/>
      <c r="D44" s="20"/>
      <c r="E44" s="20" t="str">
        <v>Belinda</v>
      </c>
      <c r="F44" s="20" t="str">
        <f>IF(ISBLANK($E44),"",INDEX(Sheet1!$A:$J,MATCH(Index_Match!$E44,Sheet1!$A:$A,0),MATCH(Index_Match!F$1,Sheet1!$A$1:$J$1,0)))</f>
        <v>Female</v>
      </c>
      <c r="G44" s="20" t="str">
        <f>IF(ISBLANK($E44),"",INDEX(Sheet1!$A:$J,MATCH(Index_Match!$E44,Sheet1!$A:$A,0),MATCH(Index_Match!G$1,Sheet1!$A$1:$J$1,0)))</f>
        <v>Dancer</v>
      </c>
      <c r="H44" s="20" t="str">
        <f>IF(ISBLANK($E44),"",INDEX(Sheet1!$A:$J,MATCH(Index_Match!$E44,Sheet1!$A:$A,0),MATCH(Index_Match!H$1,Sheet1!$A$1:$J$1,0)))</f>
        <v>Married</v>
      </c>
      <c r="I44" s="23">
        <f>IF(ISBLANK($E44),"",INDEX(Sheet1!$A:$J,MATCH(Index_Match!$E44,Sheet1!$A:$A,0),MATCH(Index_Match!I$1,Sheet1!$A$1:$J$1,0)))</f>
        <v>5</v>
      </c>
      <c r="J44" s="20" t="str">
        <f>IF(ISBLANK($E44),"",INDEX(Sheet1!$A:$J,MATCH(Index_Match!$E44,Sheet1!$A:$A,0),MATCH(Index_Match!J$1,Sheet1!$A$1:$J$1,0)))</f>
        <v>Belinda Spencer</v>
      </c>
      <c r="K44" s="23">
        <f>IF(ISBLANK($E44),"",INDEX(Sheet1!$A:$J,MATCH(Index_Match!$E44,Sheet1!$A:$A,0),MATCH(Index_Match!K$1,Sheet1!$A$1:$J$1,0)))</f>
        <v>5</v>
      </c>
      <c r="L44" s="20" t="str">
        <f>IF(ISBLANK($E44),"",INDEX(Sheet1!$A:$J,MATCH(Index_Match!$E44,Sheet1!$A:$A,0),MATCH(Index_Match!L$1,Sheet1!$A$1:$J$1,0)))</f>
        <v>Spencer</v>
      </c>
      <c r="M44" s="20" t="str">
        <f>IF(ISBLANK($E44),"",INDEX(Sheet1!$A:$J,MATCH(Index_Match!$E44,Sheet1!$A:$A,0),MATCH(Index_Match!M$1,Sheet1!$A$1:$J$1,0)))</f>
        <v>Young</v>
      </c>
    </row>
    <row r="45" spans="2:13" x14ac:dyDescent="0.25">
      <c r="B45" s="20"/>
      <c r="C45" s="20"/>
      <c r="D45" s="20"/>
      <c r="E45" s="20" t="str">
        <v>Maria</v>
      </c>
      <c r="F45" s="20" t="str">
        <f>IF(ISBLANK($E45),"",INDEX(Sheet1!$A:$J,MATCH(Index_Match!$E45,Sheet1!$A:$A,0),MATCH(Index_Match!F$1,Sheet1!$A$1:$J$1,0)))</f>
        <v>Female</v>
      </c>
      <c r="G45" s="20" t="str">
        <f>IF(ISBLANK($E45),"",INDEX(Sheet1!$A:$J,MATCH(Index_Match!$E45,Sheet1!$A:$A,0),MATCH(Index_Match!G$1,Sheet1!$A$1:$J$1,0)))</f>
        <v>Engineer</v>
      </c>
      <c r="H45" s="20" t="str">
        <f>IF(ISBLANK($E45),"",INDEX(Sheet1!$A:$J,MATCH(Index_Match!$E45,Sheet1!$A:$A,0),MATCH(Index_Match!H$1,Sheet1!$A$1:$J$1,0)))</f>
        <v>Married</v>
      </c>
      <c r="I45" s="23">
        <f>IF(ISBLANK($E45),"",INDEX(Sheet1!$A:$J,MATCH(Index_Match!$E45,Sheet1!$A:$A,0),MATCH(Index_Match!I$1,Sheet1!$A$1:$J$1,0)))</f>
        <v>3</v>
      </c>
      <c r="J45" s="20" t="str">
        <f>IF(ISBLANK($E45),"",INDEX(Sheet1!$A:$J,MATCH(Index_Match!$E45,Sheet1!$A:$A,0),MATCH(Index_Match!J$1,Sheet1!$A$1:$J$1,0)))</f>
        <v>Maria Andrews</v>
      </c>
      <c r="K45" s="23">
        <f>IF(ISBLANK($E45),"",INDEX(Sheet1!$A:$J,MATCH(Index_Match!$E45,Sheet1!$A:$A,0),MATCH(Index_Match!K$1,Sheet1!$A$1:$J$1,0)))</f>
        <v>3</v>
      </c>
      <c r="L45" s="20" t="str">
        <f>IF(ISBLANK($E45),"",INDEX(Sheet1!$A:$J,MATCH(Index_Match!$E45,Sheet1!$A:$A,0),MATCH(Index_Match!L$1,Sheet1!$A$1:$J$1,0)))</f>
        <v>Andrews</v>
      </c>
      <c r="M45" s="20" t="str">
        <f>IF(ISBLANK($E45),"",INDEX(Sheet1!$A:$J,MATCH(Index_Match!$E45,Sheet1!$A:$A,0),MATCH(Index_Match!M$1,Sheet1!$A$1:$J$1,0)))</f>
        <v>Middle Age</v>
      </c>
    </row>
    <row r="46" spans="2:13" x14ac:dyDescent="0.25">
      <c r="B46" s="20"/>
      <c r="C46" s="20"/>
      <c r="D46" s="20"/>
      <c r="E46" s="20" t="str">
        <v>Tara</v>
      </c>
      <c r="F46" s="20" t="str">
        <f>IF(ISBLANK($E46),"",INDEX(Sheet1!$A:$J,MATCH(Index_Match!$E46,Sheet1!$A:$A,0),MATCH(Index_Match!F$1,Sheet1!$A$1:$J$1,0)))</f>
        <v>Female</v>
      </c>
      <c r="G46" s="20" t="str">
        <f>IF(ISBLANK($E46),"",INDEX(Sheet1!$A:$J,MATCH(Index_Match!$E46,Sheet1!$A:$A,0),MATCH(Index_Match!G$1,Sheet1!$A$1:$J$1,0)))</f>
        <v>Jeweller</v>
      </c>
      <c r="H46" s="20" t="str">
        <f>IF(ISBLANK($E46),"",INDEX(Sheet1!$A:$J,MATCH(Index_Match!$E46,Sheet1!$A:$A,0),MATCH(Index_Match!H$1,Sheet1!$A$1:$J$1,0)))</f>
        <v>Married</v>
      </c>
      <c r="I46" s="23">
        <f>IF(ISBLANK($E46),"",INDEX(Sheet1!$A:$J,MATCH(Index_Match!$E46,Sheet1!$A:$A,0),MATCH(Index_Match!I$1,Sheet1!$A$1:$J$1,0)))</f>
        <v>4</v>
      </c>
      <c r="J46" s="20" t="str">
        <f>IF(ISBLANK($E46),"",INDEX(Sheet1!$A:$J,MATCH(Index_Match!$E46,Sheet1!$A:$A,0),MATCH(Index_Match!J$1,Sheet1!$A$1:$J$1,0)))</f>
        <v>Tara Brown</v>
      </c>
      <c r="K46" s="23">
        <f>IF(ISBLANK($E46),"",INDEX(Sheet1!$A:$J,MATCH(Index_Match!$E46,Sheet1!$A:$A,0),MATCH(Index_Match!K$1,Sheet1!$A$1:$J$1,0)))</f>
        <v>4</v>
      </c>
      <c r="L46" s="20" t="str">
        <f>IF(ISBLANK($E46),"",INDEX(Sheet1!$A:$J,MATCH(Index_Match!$E46,Sheet1!$A:$A,0),MATCH(Index_Match!L$1,Sheet1!$A$1:$J$1,0)))</f>
        <v>Brown</v>
      </c>
      <c r="M46" s="20" t="str">
        <f>IF(ISBLANK($E46),"",INDEX(Sheet1!$A:$J,MATCH(Index_Match!$E46,Sheet1!$A:$A,0),MATCH(Index_Match!M$1,Sheet1!$A$1:$J$1,0)))</f>
        <v>Young</v>
      </c>
    </row>
    <row r="47" spans="2:13" x14ac:dyDescent="0.25">
      <c r="B47" s="20"/>
      <c r="C47" s="20"/>
      <c r="D47" s="20"/>
      <c r="E47" s="20" t="str">
        <v>Valeria</v>
      </c>
      <c r="F47" s="20" t="str">
        <f>IF(ISBLANK($E47),"",INDEX(Sheet1!$A:$J,MATCH(Index_Match!$E47,Sheet1!$A:$A,0),MATCH(Index_Match!F$1,Sheet1!$A$1:$J$1,0)))</f>
        <v>Female</v>
      </c>
      <c r="G47" s="20" t="str">
        <f>IF(ISBLANK($E47),"",INDEX(Sheet1!$A:$J,MATCH(Index_Match!$E47,Sheet1!$A:$A,0),MATCH(Index_Match!G$1,Sheet1!$A$1:$J$1,0)))</f>
        <v>Medic</v>
      </c>
      <c r="H47" s="20" t="str">
        <f>IF(ISBLANK($E47),"",INDEX(Sheet1!$A:$J,MATCH(Index_Match!$E47,Sheet1!$A:$A,0),MATCH(Index_Match!H$1,Sheet1!$A$1:$J$1,0)))</f>
        <v>Married</v>
      </c>
      <c r="I47" s="23">
        <f>IF(ISBLANK($E47),"",INDEX(Sheet1!$A:$J,MATCH(Index_Match!$E47,Sheet1!$A:$A,0),MATCH(Index_Match!I$1,Sheet1!$A$1:$J$1,0)))</f>
        <v>5</v>
      </c>
      <c r="J47" s="20" t="str">
        <f>IF(ISBLANK($E47),"",INDEX(Sheet1!$A:$J,MATCH(Index_Match!$E47,Sheet1!$A:$A,0),MATCH(Index_Match!J$1,Sheet1!$A$1:$J$1,0)))</f>
        <v>Valeria Perry</v>
      </c>
      <c r="K47" s="23">
        <f>IF(ISBLANK($E47),"",INDEX(Sheet1!$A:$J,MATCH(Index_Match!$E47,Sheet1!$A:$A,0),MATCH(Index_Match!K$1,Sheet1!$A$1:$J$1,0)))</f>
        <v>5</v>
      </c>
      <c r="L47" s="20" t="str">
        <f>IF(ISBLANK($E47),"",INDEX(Sheet1!$A:$J,MATCH(Index_Match!$E47,Sheet1!$A:$A,0),MATCH(Index_Match!L$1,Sheet1!$A$1:$J$1,0)))</f>
        <v>Perry</v>
      </c>
      <c r="M47" s="20" t="str">
        <f>IF(ISBLANK($E47),"",INDEX(Sheet1!$A:$J,MATCH(Index_Match!$E47,Sheet1!$A:$A,0),MATCH(Index_Match!M$1,Sheet1!$A$1:$J$1,0)))</f>
        <v>Middle Age</v>
      </c>
    </row>
    <row r="48" spans="2:13" x14ac:dyDescent="0.25">
      <c r="B48" s="20"/>
      <c r="C48" s="20"/>
      <c r="D48" s="20"/>
      <c r="E48" s="20" t="str">
        <v>Camila</v>
      </c>
      <c r="F48" s="20" t="str">
        <f>IF(ISBLANK($E48),"",INDEX(Sheet1!$A:$J,MATCH(Index_Match!$E48,Sheet1!$A:$A,0),MATCH(Index_Match!F$1,Sheet1!$A$1:$J$1,0)))</f>
        <v>Female</v>
      </c>
      <c r="G48" s="20" t="str">
        <f>IF(ISBLANK($E48),"",INDEX(Sheet1!$A:$J,MATCH(Index_Match!$E48,Sheet1!$A:$A,0),MATCH(Index_Match!G$1,Sheet1!$A$1:$J$1,0)))</f>
        <v>Veterinarian</v>
      </c>
      <c r="H48" s="20" t="str">
        <f>IF(ISBLANK($E48),"",INDEX(Sheet1!$A:$J,MATCH(Index_Match!$E48,Sheet1!$A:$A,0),MATCH(Index_Match!H$1,Sheet1!$A$1:$J$1,0)))</f>
        <v>Single</v>
      </c>
      <c r="I48" s="23">
        <f>IF(ISBLANK($E48),"",INDEX(Sheet1!$A:$J,MATCH(Index_Match!$E48,Sheet1!$A:$A,0),MATCH(Index_Match!I$1,Sheet1!$A$1:$J$1,0)))</f>
        <v>5</v>
      </c>
      <c r="J48" s="20" t="str">
        <f>IF(ISBLANK($E48),"",INDEX(Sheet1!$A:$J,MATCH(Index_Match!$E48,Sheet1!$A:$A,0),MATCH(Index_Match!J$1,Sheet1!$A$1:$J$1,0)))</f>
        <v>Camila Mitchell</v>
      </c>
      <c r="K48" s="23">
        <f>IF(ISBLANK($E48),"",INDEX(Sheet1!$A:$J,MATCH(Index_Match!$E48,Sheet1!$A:$A,0),MATCH(Index_Match!K$1,Sheet1!$A$1:$J$1,0)))</f>
        <v>5</v>
      </c>
      <c r="L48" s="20" t="str">
        <f>IF(ISBLANK($E48),"",INDEX(Sheet1!$A:$J,MATCH(Index_Match!$E48,Sheet1!$A:$A,0),MATCH(Index_Match!L$1,Sheet1!$A$1:$J$1,0)))</f>
        <v>Mitchell</v>
      </c>
      <c r="M48" s="20" t="str">
        <f>IF(ISBLANK($E48),"",INDEX(Sheet1!$A:$J,MATCH(Index_Match!$E48,Sheet1!$A:$A,0),MATCH(Index_Match!M$1,Sheet1!$A$1:$J$1,0)))</f>
        <v>Middle Age</v>
      </c>
    </row>
    <row r="49" spans="2:13" x14ac:dyDescent="0.25">
      <c r="B49" s="20"/>
      <c r="C49" s="20"/>
      <c r="D49" s="20"/>
      <c r="E49" s="20" t="str">
        <v>Julia</v>
      </c>
      <c r="F49" s="20" t="str">
        <f>IF(ISBLANK($E49),"",INDEX(Sheet1!$A:$J,MATCH(Index_Match!$E49,Sheet1!$A:$A,0),MATCH(Index_Match!F$1,Sheet1!$A$1:$J$1,0)))</f>
        <v>Female</v>
      </c>
      <c r="G49" s="20" t="str">
        <f>IF(ISBLANK($E49),"",INDEX(Sheet1!$A:$J,MATCH(Index_Match!$E49,Sheet1!$A:$A,0),MATCH(Index_Match!G$1,Sheet1!$A$1:$J$1,0)))</f>
        <v>Interpreter</v>
      </c>
      <c r="H49" s="20" t="str">
        <f>IF(ISBLANK($E49),"",INDEX(Sheet1!$A:$J,MATCH(Index_Match!$E49,Sheet1!$A:$A,0),MATCH(Index_Match!H$1,Sheet1!$A$1:$J$1,0)))</f>
        <v>Single</v>
      </c>
      <c r="I49" s="23">
        <f>IF(ISBLANK($E49),"",INDEX(Sheet1!$A:$J,MATCH(Index_Match!$E49,Sheet1!$A:$A,0),MATCH(Index_Match!I$1,Sheet1!$A$1:$J$1,0)))</f>
        <v>5</v>
      </c>
      <c r="J49" s="20" t="str">
        <f>IF(ISBLANK($E49),"",INDEX(Sheet1!$A:$J,MATCH(Index_Match!$E49,Sheet1!$A:$A,0),MATCH(Index_Match!J$1,Sheet1!$A$1:$J$1,0)))</f>
        <v>Julia Harrison</v>
      </c>
      <c r="K49" s="23">
        <f>IF(ISBLANK($E49),"",INDEX(Sheet1!$A:$J,MATCH(Index_Match!$E49,Sheet1!$A:$A,0),MATCH(Index_Match!K$1,Sheet1!$A$1:$J$1,0)))</f>
        <v>5</v>
      </c>
      <c r="L49" s="20" t="str">
        <f>IF(ISBLANK($E49),"",INDEX(Sheet1!$A:$J,MATCH(Index_Match!$E49,Sheet1!$A:$A,0),MATCH(Index_Match!L$1,Sheet1!$A$1:$J$1,0)))</f>
        <v>Harrison</v>
      </c>
      <c r="M49" s="20" t="str">
        <f>IF(ISBLANK($E49),"",INDEX(Sheet1!$A:$J,MATCH(Index_Match!$E49,Sheet1!$A:$A,0),MATCH(Index_Match!M$1,Sheet1!$A$1:$J$1,0)))</f>
        <v>Young</v>
      </c>
    </row>
    <row r="50" spans="2:13" x14ac:dyDescent="0.25">
      <c r="B50" s="20"/>
      <c r="C50" s="20"/>
      <c r="D50" s="20"/>
      <c r="E50" s="20" t="str">
        <v>Florrie</v>
      </c>
      <c r="F50" s="20" t="str">
        <f>IF(ISBLANK($E50),"",INDEX(Sheet1!$A:$J,MATCH(Index_Match!$E50,Sheet1!$A:$A,0),MATCH(Index_Match!F$1,Sheet1!$A$1:$J$1,0)))</f>
        <v>Female</v>
      </c>
      <c r="G50" s="20" t="str">
        <f>IF(ISBLANK($E50),"",INDEX(Sheet1!$A:$J,MATCH(Index_Match!$E50,Sheet1!$A:$A,0),MATCH(Index_Match!G$1,Sheet1!$A$1:$J$1,0)))</f>
        <v>Biochemist</v>
      </c>
      <c r="H50" s="20" t="str">
        <f>IF(ISBLANK($E50),"",INDEX(Sheet1!$A:$J,MATCH(Index_Match!$E50,Sheet1!$A:$A,0),MATCH(Index_Match!H$1,Sheet1!$A$1:$J$1,0)))</f>
        <v>Single</v>
      </c>
      <c r="I50" s="23">
        <f>IF(ISBLANK($E50),"",INDEX(Sheet1!$A:$J,MATCH(Index_Match!$E50,Sheet1!$A:$A,0),MATCH(Index_Match!I$1,Sheet1!$A$1:$J$1,0)))</f>
        <v>4</v>
      </c>
      <c r="J50" s="20" t="str">
        <f>IF(ISBLANK($E50),"",INDEX(Sheet1!$A:$J,MATCH(Index_Match!$E50,Sheet1!$A:$A,0),MATCH(Index_Match!J$1,Sheet1!$A$1:$J$1,0)))</f>
        <v>Florrie Campbell</v>
      </c>
      <c r="K50" s="23">
        <f>IF(ISBLANK($E50),"",INDEX(Sheet1!$A:$J,MATCH(Index_Match!$E50,Sheet1!$A:$A,0),MATCH(Index_Match!K$1,Sheet1!$A$1:$J$1,0)))</f>
        <v>4</v>
      </c>
      <c r="L50" s="20" t="str">
        <f>IF(ISBLANK($E50),"",INDEX(Sheet1!$A:$J,MATCH(Index_Match!$E50,Sheet1!$A:$A,0),MATCH(Index_Match!L$1,Sheet1!$A$1:$J$1,0)))</f>
        <v>Campbell</v>
      </c>
      <c r="M50" s="20" t="str">
        <f>IF(ISBLANK($E50),"",INDEX(Sheet1!$A:$J,MATCH(Index_Match!$E50,Sheet1!$A:$A,0),MATCH(Index_Match!M$1,Sheet1!$A$1:$J$1,0)))</f>
        <v>Middle Age</v>
      </c>
    </row>
    <row r="51" spans="2:13" x14ac:dyDescent="0.25">
      <c r="B51" s="20"/>
      <c r="C51" s="20"/>
      <c r="D51" s="20"/>
      <c r="E51" s="20" t="str">
        <v>Stella</v>
      </c>
      <c r="F51" s="20" t="str">
        <f>IF(ISBLANK($E51),"",INDEX(Sheet1!$A:$J,MATCH(Index_Match!$E51,Sheet1!$A:$A,0),MATCH(Index_Match!F$1,Sheet1!$A$1:$J$1,0)))</f>
        <v>Female</v>
      </c>
      <c r="G51" s="20" t="str">
        <f>IF(ISBLANK($E51),"",INDEX(Sheet1!$A:$J,MATCH(Index_Match!$E51,Sheet1!$A:$A,0),MATCH(Index_Match!G$1,Sheet1!$A$1:$J$1,0)))</f>
        <v>Social Worker</v>
      </c>
      <c r="H51" s="20" t="str">
        <f>IF(ISBLANK($E51),"",INDEX(Sheet1!$A:$J,MATCH(Index_Match!$E51,Sheet1!$A:$A,0),MATCH(Index_Match!H$1,Sheet1!$A$1:$J$1,0)))</f>
        <v>Married</v>
      </c>
      <c r="I51" s="23">
        <f>IF(ISBLANK($E51),"",INDEX(Sheet1!$A:$J,MATCH(Index_Match!$E51,Sheet1!$A:$A,0),MATCH(Index_Match!I$1,Sheet1!$A$1:$J$1,0)))</f>
        <v>5</v>
      </c>
      <c r="J51" s="20" t="str">
        <f>IF(ISBLANK($E51),"",INDEX(Sheet1!$A:$J,MATCH(Index_Match!$E51,Sheet1!$A:$A,0),MATCH(Index_Match!J$1,Sheet1!$A$1:$J$1,0)))</f>
        <v>Stella Ferguson</v>
      </c>
      <c r="K51" s="23">
        <f>IF(ISBLANK($E51),"",INDEX(Sheet1!$A:$J,MATCH(Index_Match!$E51,Sheet1!$A:$A,0),MATCH(Index_Match!K$1,Sheet1!$A$1:$J$1,0)))</f>
        <v>5</v>
      </c>
      <c r="L51" s="20" t="str">
        <f>IF(ISBLANK($E51),"",INDEX(Sheet1!$A:$J,MATCH(Index_Match!$E51,Sheet1!$A:$A,0),MATCH(Index_Match!L$1,Sheet1!$A$1:$J$1,0)))</f>
        <v>Ferguson</v>
      </c>
      <c r="M51" s="20" t="str">
        <f>IF(ISBLANK($E51),"",INDEX(Sheet1!$A:$J,MATCH(Index_Match!$E51,Sheet1!$A:$A,0),MATCH(Index_Match!M$1,Sheet1!$A$1:$J$1,0)))</f>
        <v>Middle Age</v>
      </c>
    </row>
    <row r="52" spans="2:13" x14ac:dyDescent="0.25">
      <c r="B52" s="20"/>
      <c r="C52" s="20"/>
      <c r="D52" s="20"/>
      <c r="E52" s="20" t="str">
        <v>Sienna</v>
      </c>
      <c r="F52" s="20" t="str">
        <f>IF(ISBLANK($E52),"",INDEX(Sheet1!$A:$J,MATCH(Index_Match!$E52,Sheet1!$A:$A,0),MATCH(Index_Match!F$1,Sheet1!$A$1:$J$1,0)))</f>
        <v>Female</v>
      </c>
      <c r="G52" s="20" t="str">
        <f>IF(ISBLANK($E52),"",INDEX(Sheet1!$A:$J,MATCH(Index_Match!$E52,Sheet1!$A:$A,0),MATCH(Index_Match!G$1,Sheet1!$A$1:$J$1,0)))</f>
        <v>Biochemist</v>
      </c>
      <c r="H52" s="20" t="str">
        <f>IF(ISBLANK($E52),"",INDEX(Sheet1!$A:$J,MATCH(Index_Match!$E52,Sheet1!$A:$A,0),MATCH(Index_Match!H$1,Sheet1!$A$1:$J$1,0)))</f>
        <v>Single</v>
      </c>
      <c r="I52" s="23">
        <f>IF(ISBLANK($E52),"",INDEX(Sheet1!$A:$J,MATCH(Index_Match!$E52,Sheet1!$A:$A,0),MATCH(Index_Match!I$1,Sheet1!$A$1:$J$1,0)))</f>
        <v>1</v>
      </c>
      <c r="J52" s="20" t="str">
        <f>IF(ISBLANK($E52),"",INDEX(Sheet1!$A:$J,MATCH(Index_Match!$E52,Sheet1!$A:$A,0),MATCH(Index_Match!J$1,Sheet1!$A$1:$J$1,0)))</f>
        <v>Sienna Baker</v>
      </c>
      <c r="K52" s="23">
        <f>IF(ISBLANK($E52),"",INDEX(Sheet1!$A:$J,MATCH(Index_Match!$E52,Sheet1!$A:$A,0),MATCH(Index_Match!K$1,Sheet1!$A$1:$J$1,0)))</f>
        <v>1</v>
      </c>
      <c r="L52" s="20" t="str">
        <f>IF(ISBLANK($E52),"",INDEX(Sheet1!$A:$J,MATCH(Index_Match!$E52,Sheet1!$A:$A,0),MATCH(Index_Match!L$1,Sheet1!$A$1:$J$1,0)))</f>
        <v>Baker</v>
      </c>
      <c r="M52" s="20" t="str">
        <f>IF(ISBLANK($E52),"",INDEX(Sheet1!$A:$J,MATCH(Index_Match!$E52,Sheet1!$A:$A,0),MATCH(Index_Match!M$1,Sheet1!$A$1:$J$1,0)))</f>
        <v>Young</v>
      </c>
    </row>
    <row r="53" spans="2:13" x14ac:dyDescent="0.25">
      <c r="B53" s="20"/>
      <c r="C53" s="20"/>
      <c r="D53" s="20"/>
      <c r="E53" s="20" t="str">
        <v>Amanda</v>
      </c>
      <c r="F53" s="20" t="str">
        <f>IF(ISBLANK($E53),"",INDEX(Sheet1!$A:$J,MATCH(Index_Match!$E53,Sheet1!$A:$A,0),MATCH(Index_Match!F$1,Sheet1!$A$1:$J$1,0)))</f>
        <v>Female</v>
      </c>
      <c r="G53" s="20" t="str">
        <f>IF(ISBLANK($E53),"",INDEX(Sheet1!$A:$J,MATCH(Index_Match!$E53,Sheet1!$A:$A,0),MATCH(Index_Match!G$1,Sheet1!$A$1:$J$1,0)))</f>
        <v>Carpenter</v>
      </c>
      <c r="H53" s="20" t="str">
        <f>IF(ISBLANK($E53),"",INDEX(Sheet1!$A:$J,MATCH(Index_Match!$E53,Sheet1!$A:$A,0),MATCH(Index_Match!H$1,Sheet1!$A$1:$J$1,0)))</f>
        <v>Married</v>
      </c>
      <c r="I53" s="23">
        <f>IF(ISBLANK($E53),"",INDEX(Sheet1!$A:$J,MATCH(Index_Match!$E53,Sheet1!$A:$A,0),MATCH(Index_Match!I$1,Sheet1!$A$1:$J$1,0)))</f>
        <v>4</v>
      </c>
      <c r="J53" s="20" t="str">
        <f>IF(ISBLANK($E53),"",INDEX(Sheet1!$A:$J,MATCH(Index_Match!$E53,Sheet1!$A:$A,0),MATCH(Index_Match!J$1,Sheet1!$A$1:$J$1,0)))</f>
        <v>Amanda Brown</v>
      </c>
      <c r="K53" s="23">
        <f>IF(ISBLANK($E53),"",INDEX(Sheet1!$A:$J,MATCH(Index_Match!$E53,Sheet1!$A:$A,0),MATCH(Index_Match!K$1,Sheet1!$A$1:$J$1,0)))</f>
        <v>4</v>
      </c>
      <c r="L53" s="20" t="str">
        <f>IF(ISBLANK($E53),"",INDEX(Sheet1!$A:$J,MATCH(Index_Match!$E53,Sheet1!$A:$A,0),MATCH(Index_Match!L$1,Sheet1!$A$1:$J$1,0)))</f>
        <v>Brown</v>
      </c>
      <c r="M53" s="20" t="str">
        <f>IF(ISBLANK($E53),"",INDEX(Sheet1!$A:$J,MATCH(Index_Match!$E53,Sheet1!$A:$A,0),MATCH(Index_Match!M$1,Sheet1!$A$1:$J$1,0)))</f>
        <v>Old</v>
      </c>
    </row>
    <row r="54" spans="2:13" x14ac:dyDescent="0.25">
      <c r="B54" s="20"/>
      <c r="C54" s="20"/>
      <c r="D54" s="20"/>
      <c r="E54" s="20" t="str">
        <v>Chloe</v>
      </c>
      <c r="F54" s="20" t="str">
        <f>IF(ISBLANK($E54),"",INDEX(Sheet1!$A:$J,MATCH(Index_Match!$E54,Sheet1!$A:$A,0),MATCH(Index_Match!F$1,Sheet1!$A$1:$J$1,0)))</f>
        <v>Female</v>
      </c>
      <c r="G54" s="20" t="str">
        <f>IF(ISBLANK($E54),"",INDEX(Sheet1!$A:$J,MATCH(Index_Match!$E54,Sheet1!$A:$A,0),MATCH(Index_Match!G$1,Sheet1!$A$1:$J$1,0)))</f>
        <v>Lecturer</v>
      </c>
      <c r="H54" s="20" t="str">
        <f>IF(ISBLANK($E54),"",INDEX(Sheet1!$A:$J,MATCH(Index_Match!$E54,Sheet1!$A:$A,0),MATCH(Index_Match!H$1,Sheet1!$A$1:$J$1,0)))</f>
        <v>Married</v>
      </c>
      <c r="I54" s="23">
        <f>IF(ISBLANK($E54),"",INDEX(Sheet1!$A:$J,MATCH(Index_Match!$E54,Sheet1!$A:$A,0),MATCH(Index_Match!I$1,Sheet1!$A$1:$J$1,0)))</f>
        <v>0</v>
      </c>
      <c r="J54" s="20" t="str">
        <f>IF(ISBLANK($E54),"",INDEX(Sheet1!$A:$J,MATCH(Index_Match!$E54,Sheet1!$A:$A,0),MATCH(Index_Match!J$1,Sheet1!$A$1:$J$1,0)))</f>
        <v>Chloe Perry</v>
      </c>
      <c r="K54" s="23">
        <f>IF(ISBLANK($E54),"",INDEX(Sheet1!$A:$J,MATCH(Index_Match!$E54,Sheet1!$A:$A,0),MATCH(Index_Match!K$1,Sheet1!$A$1:$J$1,0)))</f>
        <v>0</v>
      </c>
      <c r="L54" s="20" t="str">
        <f>IF(ISBLANK($E54),"",INDEX(Sheet1!$A:$J,MATCH(Index_Match!$E54,Sheet1!$A:$A,0),MATCH(Index_Match!L$1,Sheet1!$A$1:$J$1,0)))</f>
        <v>Perry</v>
      </c>
      <c r="M54" s="20" t="str">
        <f>IF(ISBLANK($E54),"",INDEX(Sheet1!$A:$J,MATCH(Index_Match!$E54,Sheet1!$A:$A,0),MATCH(Index_Match!M$1,Sheet1!$A$1:$J$1,0)))</f>
        <v>Young</v>
      </c>
    </row>
    <row r="55" spans="2:13" x14ac:dyDescent="0.25">
      <c r="B55" s="20"/>
      <c r="C55" s="20"/>
      <c r="D55" s="20"/>
      <c r="E55" s="20" t="str">
        <v>Hailey</v>
      </c>
      <c r="F55" s="20" t="str">
        <f>IF(ISBLANK($E55),"",INDEX(Sheet1!$A:$J,MATCH(Index_Match!$E55,Sheet1!$A:$A,0),MATCH(Index_Match!F$1,Sheet1!$A$1:$J$1,0)))</f>
        <v>Female</v>
      </c>
      <c r="G55" s="20" t="str">
        <f>IF(ISBLANK($E55),"",INDEX(Sheet1!$A:$J,MATCH(Index_Match!$E55,Sheet1!$A:$A,0),MATCH(Index_Match!G$1,Sheet1!$A$1:$J$1,0)))</f>
        <v>Insurer</v>
      </c>
      <c r="H55" s="20" t="str">
        <f>IF(ISBLANK($E55),"",INDEX(Sheet1!$A:$J,MATCH(Index_Match!$E55,Sheet1!$A:$A,0),MATCH(Index_Match!H$1,Sheet1!$A$1:$J$1,0)))</f>
        <v>Married</v>
      </c>
      <c r="I55" s="23">
        <f>IF(ISBLANK($E55),"",INDEX(Sheet1!$A:$J,MATCH(Index_Match!$E55,Sheet1!$A:$A,0),MATCH(Index_Match!I$1,Sheet1!$A$1:$J$1,0)))</f>
        <v>1</v>
      </c>
      <c r="J55" s="20" t="str">
        <f>IF(ISBLANK($E55),"",INDEX(Sheet1!$A:$J,MATCH(Index_Match!$E55,Sheet1!$A:$A,0),MATCH(Index_Match!J$1,Sheet1!$A$1:$J$1,0)))</f>
        <v>Hailey Cooper</v>
      </c>
      <c r="K55" s="23">
        <f>IF(ISBLANK($E55),"",INDEX(Sheet1!$A:$J,MATCH(Index_Match!$E55,Sheet1!$A:$A,0),MATCH(Index_Match!K$1,Sheet1!$A$1:$J$1,0)))</f>
        <v>1</v>
      </c>
      <c r="L55" s="20" t="str">
        <f>IF(ISBLANK($E55),"",INDEX(Sheet1!$A:$J,MATCH(Index_Match!$E55,Sheet1!$A:$A,0),MATCH(Index_Match!L$1,Sheet1!$A$1:$J$1,0)))</f>
        <v>Cooper</v>
      </c>
      <c r="M55" s="20" t="str">
        <f>IF(ISBLANK($E55),"",INDEX(Sheet1!$A:$J,MATCH(Index_Match!$E55,Sheet1!$A:$A,0),MATCH(Index_Match!M$1,Sheet1!$A$1:$J$1,0)))</f>
        <v>Old</v>
      </c>
    </row>
    <row r="56" spans="2:13" x14ac:dyDescent="0.25">
      <c r="B56" s="20"/>
      <c r="C56" s="20"/>
      <c r="D56" s="20"/>
      <c r="E56" s="20" t="str">
        <v>Rosie</v>
      </c>
      <c r="F56" s="20" t="str">
        <f>IF(ISBLANK($E56),"",INDEX(Sheet1!$A:$J,MATCH(Index_Match!$E56,Sheet1!$A:$A,0),MATCH(Index_Match!F$1,Sheet1!$A$1:$J$1,0)))</f>
        <v>Female</v>
      </c>
      <c r="G56" s="20" t="str">
        <f>IF(ISBLANK($E56),"",INDEX(Sheet1!$A:$J,MATCH(Index_Match!$E56,Sheet1!$A:$A,0),MATCH(Index_Match!G$1,Sheet1!$A$1:$J$1,0)))</f>
        <v>Baker</v>
      </c>
      <c r="H56" s="20" t="str">
        <f>IF(ISBLANK($E56),"",INDEX(Sheet1!$A:$J,MATCH(Index_Match!$E56,Sheet1!$A:$A,0),MATCH(Index_Match!H$1,Sheet1!$A$1:$J$1,0)))</f>
        <v>Single</v>
      </c>
      <c r="I56" s="23">
        <f>IF(ISBLANK($E56),"",INDEX(Sheet1!$A:$J,MATCH(Index_Match!$E56,Sheet1!$A:$A,0),MATCH(Index_Match!I$1,Sheet1!$A$1:$J$1,0)))</f>
        <v>2</v>
      </c>
      <c r="J56" s="20" t="str">
        <f>IF(ISBLANK($E56),"",INDEX(Sheet1!$A:$J,MATCH(Index_Match!$E56,Sheet1!$A:$A,0),MATCH(Index_Match!J$1,Sheet1!$A$1:$J$1,0)))</f>
        <v>Rosie Moore</v>
      </c>
      <c r="K56" s="23">
        <f>IF(ISBLANK($E56),"",INDEX(Sheet1!$A:$J,MATCH(Index_Match!$E56,Sheet1!$A:$A,0),MATCH(Index_Match!K$1,Sheet1!$A$1:$J$1,0)))</f>
        <v>2</v>
      </c>
      <c r="L56" s="20" t="str">
        <f>IF(ISBLANK($E56),"",INDEX(Sheet1!$A:$J,MATCH(Index_Match!$E56,Sheet1!$A:$A,0),MATCH(Index_Match!L$1,Sheet1!$A$1:$J$1,0)))</f>
        <v>Moore</v>
      </c>
      <c r="M56" s="20" t="str">
        <f>IF(ISBLANK($E56),"",INDEX(Sheet1!$A:$J,MATCH(Index_Match!$E56,Sheet1!$A:$A,0),MATCH(Index_Match!M$1,Sheet1!$A$1:$J$1,0)))</f>
        <v>Old</v>
      </c>
    </row>
    <row r="57" spans="2:13" x14ac:dyDescent="0.25">
      <c r="B57" s="20"/>
      <c r="C57" s="20"/>
      <c r="D57" s="20"/>
      <c r="E57" s="20" t="str">
        <v>Catherine</v>
      </c>
      <c r="F57" s="20" t="str">
        <f>IF(ISBLANK($E57),"",INDEX(Sheet1!$A:$J,MATCH(Index_Match!$E57,Sheet1!$A:$A,0),MATCH(Index_Match!F$1,Sheet1!$A$1:$J$1,0)))</f>
        <v>Female</v>
      </c>
      <c r="G57" s="20" t="str">
        <f>IF(ISBLANK($E57),"",INDEX(Sheet1!$A:$J,MATCH(Index_Match!$E57,Sheet1!$A:$A,0),MATCH(Index_Match!G$1,Sheet1!$A$1:$J$1,0)))</f>
        <v>Jeweller</v>
      </c>
      <c r="H57" s="20" t="str">
        <f>IF(ISBLANK($E57),"",INDEX(Sheet1!$A:$J,MATCH(Index_Match!$E57,Sheet1!$A:$A,0),MATCH(Index_Match!H$1,Sheet1!$A$1:$J$1,0)))</f>
        <v>Single</v>
      </c>
      <c r="I57" s="23">
        <f>IF(ISBLANK($E57),"",INDEX(Sheet1!$A:$J,MATCH(Index_Match!$E57,Sheet1!$A:$A,0),MATCH(Index_Match!I$1,Sheet1!$A$1:$J$1,0)))</f>
        <v>3</v>
      </c>
      <c r="J57" s="20" t="str">
        <f>IF(ISBLANK($E57),"",INDEX(Sheet1!$A:$J,MATCH(Index_Match!$E57,Sheet1!$A:$A,0),MATCH(Index_Match!J$1,Sheet1!$A$1:$J$1,0)))</f>
        <v>Catherine Sullivan</v>
      </c>
      <c r="K57" s="23">
        <f>IF(ISBLANK($E57),"",INDEX(Sheet1!$A:$J,MATCH(Index_Match!$E57,Sheet1!$A:$A,0),MATCH(Index_Match!K$1,Sheet1!$A$1:$J$1,0)))</f>
        <v>3</v>
      </c>
      <c r="L57" s="20" t="str">
        <f>IF(ISBLANK($E57),"",INDEX(Sheet1!$A:$J,MATCH(Index_Match!$E57,Sheet1!$A:$A,0),MATCH(Index_Match!L$1,Sheet1!$A$1:$J$1,0)))</f>
        <v>Sullivan</v>
      </c>
      <c r="M57" s="20" t="str">
        <f>IF(ISBLANK($E57),"",INDEX(Sheet1!$A:$J,MATCH(Index_Match!$E57,Sheet1!$A:$A,0),MATCH(Index_Match!M$1,Sheet1!$A$1:$J$1,0)))</f>
        <v>Young</v>
      </c>
    </row>
    <row r="58" spans="2:13" x14ac:dyDescent="0.25">
      <c r="B58" s="20"/>
      <c r="C58" s="20"/>
      <c r="D58" s="20"/>
      <c r="E58" s="20" t="str">
        <v>Alissa</v>
      </c>
      <c r="F58" s="20" t="str">
        <f>IF(ISBLANK($E58),"",INDEX(Sheet1!$A:$J,MATCH(Index_Match!$E58,Sheet1!$A:$A,0),MATCH(Index_Match!F$1,Sheet1!$A$1:$J$1,0)))</f>
        <v>Female</v>
      </c>
      <c r="G58" s="20" t="str">
        <f>IF(ISBLANK($E58),"",INDEX(Sheet1!$A:$J,MATCH(Index_Match!$E58,Sheet1!$A:$A,0),MATCH(Index_Match!G$1,Sheet1!$A$1:$J$1,0)))</f>
        <v>Hairdresser</v>
      </c>
      <c r="H58" s="20" t="str">
        <f>IF(ISBLANK($E58),"",INDEX(Sheet1!$A:$J,MATCH(Index_Match!$E58,Sheet1!$A:$A,0),MATCH(Index_Match!H$1,Sheet1!$A$1:$J$1,0)))</f>
        <v>Single</v>
      </c>
      <c r="I58" s="23">
        <f>IF(ISBLANK($E58),"",INDEX(Sheet1!$A:$J,MATCH(Index_Match!$E58,Sheet1!$A:$A,0),MATCH(Index_Match!I$1,Sheet1!$A$1:$J$1,0)))</f>
        <v>0</v>
      </c>
      <c r="J58" s="20" t="str">
        <f>IF(ISBLANK($E58),"",INDEX(Sheet1!$A:$J,MATCH(Index_Match!$E58,Sheet1!$A:$A,0),MATCH(Index_Match!J$1,Sheet1!$A$1:$J$1,0)))</f>
        <v>Alissa Ferguson</v>
      </c>
      <c r="K58" s="23">
        <f>IF(ISBLANK($E58),"",INDEX(Sheet1!$A:$J,MATCH(Index_Match!$E58,Sheet1!$A:$A,0),MATCH(Index_Match!K$1,Sheet1!$A$1:$J$1,0)))</f>
        <v>0</v>
      </c>
      <c r="L58" s="20" t="str">
        <f>IF(ISBLANK($E58),"",INDEX(Sheet1!$A:$J,MATCH(Index_Match!$E58,Sheet1!$A:$A,0),MATCH(Index_Match!L$1,Sheet1!$A$1:$J$1,0)))</f>
        <v>Ferguson</v>
      </c>
      <c r="M58" s="20" t="str">
        <f>IF(ISBLANK($E58),"",INDEX(Sheet1!$A:$J,MATCH(Index_Match!$E58,Sheet1!$A:$A,0),MATCH(Index_Match!M$1,Sheet1!$A$1:$J$1,0)))</f>
        <v>Middle Age</v>
      </c>
    </row>
    <row r="59" spans="2:13" x14ac:dyDescent="0.25">
      <c r="B59" s="20"/>
      <c r="C59" s="20"/>
      <c r="D59" s="20"/>
      <c r="E59" s="20" t="str">
        <v>Maddie</v>
      </c>
      <c r="F59" s="20" t="str">
        <f>IF(ISBLANK($E59),"",INDEX(Sheet1!$A:$J,MATCH(Index_Match!$E59,Sheet1!$A:$A,0),MATCH(Index_Match!F$1,Sheet1!$A$1:$J$1,0)))</f>
        <v>Female</v>
      </c>
      <c r="G59" s="20" t="str">
        <f>IF(ISBLANK($E59),"",INDEX(Sheet1!$A:$J,MATCH(Index_Match!$E59,Sheet1!$A:$A,0),MATCH(Index_Match!G$1,Sheet1!$A$1:$J$1,0)))</f>
        <v>Engineer</v>
      </c>
      <c r="H59" s="20" t="str">
        <f>IF(ISBLANK($E59),"",INDEX(Sheet1!$A:$J,MATCH(Index_Match!$E59,Sheet1!$A:$A,0),MATCH(Index_Match!H$1,Sheet1!$A$1:$J$1,0)))</f>
        <v>Single</v>
      </c>
      <c r="I59" s="23">
        <f>IF(ISBLANK($E59),"",INDEX(Sheet1!$A:$J,MATCH(Index_Match!$E59,Sheet1!$A:$A,0),MATCH(Index_Match!I$1,Sheet1!$A$1:$J$1,0)))</f>
        <v>5</v>
      </c>
      <c r="J59" s="20" t="str">
        <f>IF(ISBLANK($E59),"",INDEX(Sheet1!$A:$J,MATCH(Index_Match!$E59,Sheet1!$A:$A,0),MATCH(Index_Match!J$1,Sheet1!$A$1:$J$1,0)))</f>
        <v>Maddie Hamilton</v>
      </c>
      <c r="K59" s="23">
        <f>IF(ISBLANK($E59),"",INDEX(Sheet1!$A:$J,MATCH(Index_Match!$E59,Sheet1!$A:$A,0),MATCH(Index_Match!K$1,Sheet1!$A$1:$J$1,0)))</f>
        <v>5</v>
      </c>
      <c r="L59" s="20" t="str">
        <f>IF(ISBLANK($E59),"",INDEX(Sheet1!$A:$J,MATCH(Index_Match!$E59,Sheet1!$A:$A,0),MATCH(Index_Match!L$1,Sheet1!$A$1:$J$1,0)))</f>
        <v>Hamilton</v>
      </c>
      <c r="M59" s="20" t="str">
        <f>IF(ISBLANK($E59),"",INDEX(Sheet1!$A:$J,MATCH(Index_Match!$E59,Sheet1!$A:$A,0),MATCH(Index_Match!M$1,Sheet1!$A$1:$J$1,0)))</f>
        <v>Middle Age</v>
      </c>
    </row>
    <row r="60" spans="2:13" x14ac:dyDescent="0.25">
      <c r="B60" s="20"/>
      <c r="C60" s="20"/>
      <c r="D60" s="20"/>
      <c r="E60" s="20" t="str">
        <v>Agata</v>
      </c>
      <c r="F60" s="20" t="str">
        <f>IF(ISBLANK($E60),"",INDEX(Sheet1!$A:$J,MATCH(Index_Match!$E60,Sheet1!$A:$A,0),MATCH(Index_Match!F$1,Sheet1!$A$1:$J$1,0)))</f>
        <v>Female</v>
      </c>
      <c r="G60" s="20" t="str">
        <f>IF(ISBLANK($E60),"",INDEX(Sheet1!$A:$J,MATCH(Index_Match!$E60,Sheet1!$A:$A,0),MATCH(Index_Match!G$1,Sheet1!$A$1:$J$1,0)))</f>
        <v>Meteorologist</v>
      </c>
      <c r="H60" s="20" t="str">
        <f>IF(ISBLANK($E60),"",INDEX(Sheet1!$A:$J,MATCH(Index_Match!$E60,Sheet1!$A:$A,0),MATCH(Index_Match!H$1,Sheet1!$A$1:$J$1,0)))</f>
        <v>Single</v>
      </c>
      <c r="I60" s="23">
        <f>IF(ISBLANK($E60),"",INDEX(Sheet1!$A:$J,MATCH(Index_Match!$E60,Sheet1!$A:$A,0),MATCH(Index_Match!I$1,Sheet1!$A$1:$J$1,0)))</f>
        <v>0</v>
      </c>
      <c r="J60" s="20" t="str">
        <f>IF(ISBLANK($E60),"",INDEX(Sheet1!$A:$J,MATCH(Index_Match!$E60,Sheet1!$A:$A,0),MATCH(Index_Match!J$1,Sheet1!$A$1:$J$1,0)))</f>
        <v>Agata Adams</v>
      </c>
      <c r="K60" s="23">
        <f>IF(ISBLANK($E60),"",INDEX(Sheet1!$A:$J,MATCH(Index_Match!$E60,Sheet1!$A:$A,0),MATCH(Index_Match!K$1,Sheet1!$A$1:$J$1,0)))</f>
        <v>0</v>
      </c>
      <c r="L60" s="20" t="str">
        <f>IF(ISBLANK($E60),"",INDEX(Sheet1!$A:$J,MATCH(Index_Match!$E60,Sheet1!$A:$A,0),MATCH(Index_Match!L$1,Sheet1!$A$1:$J$1,0)))</f>
        <v>Adams</v>
      </c>
      <c r="M60" s="20" t="str">
        <f>IF(ISBLANK($E60),"",INDEX(Sheet1!$A:$J,MATCH(Index_Match!$E60,Sheet1!$A:$A,0),MATCH(Index_Match!M$1,Sheet1!$A$1:$J$1,0)))</f>
        <v>Young</v>
      </c>
    </row>
    <row r="61" spans="2:13" x14ac:dyDescent="0.25">
      <c r="B61" s="20"/>
      <c r="C61" s="20"/>
      <c r="D61" s="20"/>
      <c r="E61" s="20" t="str">
        <v>Amelia</v>
      </c>
      <c r="F61" s="20" t="str">
        <f>IF(ISBLANK($E61),"",INDEX(Sheet1!$A:$J,MATCH(Index_Match!$E61,Sheet1!$A:$A,0),MATCH(Index_Match!F$1,Sheet1!$A$1:$J$1,0)))</f>
        <v>Female</v>
      </c>
      <c r="G61" s="20" t="str">
        <f>IF(ISBLANK($E61),"",INDEX(Sheet1!$A:$J,MATCH(Index_Match!$E61,Sheet1!$A:$A,0),MATCH(Index_Match!G$1,Sheet1!$A$1:$J$1,0)))</f>
        <v>Scientist</v>
      </c>
      <c r="H61" s="20" t="str">
        <f>IF(ISBLANK($E61),"",INDEX(Sheet1!$A:$J,MATCH(Index_Match!$E61,Sheet1!$A:$A,0),MATCH(Index_Match!H$1,Sheet1!$A$1:$J$1,0)))</f>
        <v>Single</v>
      </c>
      <c r="I61" s="23">
        <f>IF(ISBLANK($E61),"",INDEX(Sheet1!$A:$J,MATCH(Index_Match!$E61,Sheet1!$A:$A,0),MATCH(Index_Match!I$1,Sheet1!$A$1:$J$1,0)))</f>
        <v>2</v>
      </c>
      <c r="J61" s="20" t="str">
        <f>IF(ISBLANK($E61),"",INDEX(Sheet1!$A:$J,MATCH(Index_Match!$E61,Sheet1!$A:$A,0),MATCH(Index_Match!J$1,Sheet1!$A$1:$J$1,0)))</f>
        <v>Amelia Craig</v>
      </c>
      <c r="K61" s="23">
        <f>IF(ISBLANK($E61),"",INDEX(Sheet1!$A:$J,MATCH(Index_Match!$E61,Sheet1!$A:$A,0),MATCH(Index_Match!K$1,Sheet1!$A$1:$J$1,0)))</f>
        <v>2</v>
      </c>
      <c r="L61" s="20" t="str">
        <f>IF(ISBLANK($E61),"",INDEX(Sheet1!$A:$J,MATCH(Index_Match!$E61,Sheet1!$A:$A,0),MATCH(Index_Match!L$1,Sheet1!$A$1:$J$1,0)))</f>
        <v>Craig</v>
      </c>
      <c r="M61" s="20" t="str">
        <f>IF(ISBLANK($E61),"",INDEX(Sheet1!$A:$J,MATCH(Index_Match!$E61,Sheet1!$A:$A,0),MATCH(Index_Match!M$1,Sheet1!$A$1:$J$1,0)))</f>
        <v>Old</v>
      </c>
    </row>
    <row r="62" spans="2:13" x14ac:dyDescent="0.25">
      <c r="B62" s="20"/>
      <c r="C62" s="20"/>
      <c r="D62" s="20"/>
      <c r="E62" s="20" t="str">
        <v>Tiana</v>
      </c>
      <c r="F62" s="20" t="str">
        <f>IF(ISBLANK($E62),"",INDEX(Sheet1!$A:$J,MATCH(Index_Match!$E62,Sheet1!$A:$A,0),MATCH(Index_Match!F$1,Sheet1!$A$1:$J$1,0)))</f>
        <v>Female</v>
      </c>
      <c r="G62" s="20" t="str">
        <f>IF(ISBLANK($E62),"",INDEX(Sheet1!$A:$J,MATCH(Index_Match!$E62,Sheet1!$A:$A,0),MATCH(Index_Match!G$1,Sheet1!$A$1:$J$1,0)))</f>
        <v>Composer</v>
      </c>
      <c r="H62" s="20" t="str">
        <f>IF(ISBLANK($E62),"",INDEX(Sheet1!$A:$J,MATCH(Index_Match!$E62,Sheet1!$A:$A,0),MATCH(Index_Match!H$1,Sheet1!$A$1:$J$1,0)))</f>
        <v>Single</v>
      </c>
      <c r="I62" s="23">
        <f>IF(ISBLANK($E62),"",INDEX(Sheet1!$A:$J,MATCH(Index_Match!$E62,Sheet1!$A:$A,0),MATCH(Index_Match!I$1,Sheet1!$A$1:$J$1,0)))</f>
        <v>4</v>
      </c>
      <c r="J62" s="20" t="str">
        <f>IF(ISBLANK($E62),"",INDEX(Sheet1!$A:$J,MATCH(Index_Match!$E62,Sheet1!$A:$A,0),MATCH(Index_Match!J$1,Sheet1!$A$1:$J$1,0)))</f>
        <v>Tiana Wright</v>
      </c>
      <c r="K62" s="23">
        <f>IF(ISBLANK($E62),"",INDEX(Sheet1!$A:$J,MATCH(Index_Match!$E62,Sheet1!$A:$A,0),MATCH(Index_Match!K$1,Sheet1!$A$1:$J$1,0)))</f>
        <v>4</v>
      </c>
      <c r="L62" s="20" t="str">
        <f>IF(ISBLANK($E62),"",INDEX(Sheet1!$A:$J,MATCH(Index_Match!$E62,Sheet1!$A:$A,0),MATCH(Index_Match!L$1,Sheet1!$A$1:$J$1,0)))</f>
        <v>Wright</v>
      </c>
      <c r="M62" s="20" t="str">
        <f>IF(ISBLANK($E62),"",INDEX(Sheet1!$A:$J,MATCH(Index_Match!$E62,Sheet1!$A:$A,0),MATCH(Index_Match!M$1,Sheet1!$A$1:$J$1,0)))</f>
        <v>Old</v>
      </c>
    </row>
    <row r="63" spans="2:13" x14ac:dyDescent="0.25">
      <c r="B63" s="20"/>
      <c r="C63" s="20"/>
      <c r="D63" s="20"/>
      <c r="E63" s="20" t="str">
        <v>Brooke</v>
      </c>
      <c r="F63" s="20" t="str">
        <f>IF(ISBLANK($E63),"",INDEX(Sheet1!$A:$J,MATCH(Index_Match!$E63,Sheet1!$A:$A,0),MATCH(Index_Match!F$1,Sheet1!$A$1:$J$1,0)))</f>
        <v>Female</v>
      </c>
      <c r="G63" s="20" t="str">
        <f>IF(ISBLANK($E63),"",INDEX(Sheet1!$A:$J,MATCH(Index_Match!$E63,Sheet1!$A:$A,0),MATCH(Index_Match!G$1,Sheet1!$A$1:$J$1,0)))</f>
        <v>Singer</v>
      </c>
      <c r="H63" s="20" t="str">
        <f>IF(ISBLANK($E63),"",INDEX(Sheet1!$A:$J,MATCH(Index_Match!$E63,Sheet1!$A:$A,0),MATCH(Index_Match!H$1,Sheet1!$A$1:$J$1,0)))</f>
        <v>Single</v>
      </c>
      <c r="I63" s="23">
        <f>IF(ISBLANK($E63),"",INDEX(Sheet1!$A:$J,MATCH(Index_Match!$E63,Sheet1!$A:$A,0),MATCH(Index_Match!I$1,Sheet1!$A$1:$J$1,0)))</f>
        <v>0</v>
      </c>
      <c r="J63" s="20" t="str">
        <f>IF(ISBLANK($E63),"",INDEX(Sheet1!$A:$J,MATCH(Index_Match!$E63,Sheet1!$A:$A,0),MATCH(Index_Match!J$1,Sheet1!$A$1:$J$1,0)))</f>
        <v>Brooke Crawford</v>
      </c>
      <c r="K63" s="23">
        <f>IF(ISBLANK($E63),"",INDEX(Sheet1!$A:$J,MATCH(Index_Match!$E63,Sheet1!$A:$A,0),MATCH(Index_Match!K$1,Sheet1!$A$1:$J$1,0)))</f>
        <v>0</v>
      </c>
      <c r="L63" s="20" t="str">
        <f>IF(ISBLANK($E63),"",INDEX(Sheet1!$A:$J,MATCH(Index_Match!$E63,Sheet1!$A:$A,0),MATCH(Index_Match!L$1,Sheet1!$A$1:$J$1,0)))</f>
        <v>Crawford</v>
      </c>
      <c r="M63" s="20" t="str">
        <f>IF(ISBLANK($E63),"",INDEX(Sheet1!$A:$J,MATCH(Index_Match!$E63,Sheet1!$A:$A,0),MATCH(Index_Match!M$1,Sheet1!$A$1:$J$1,0)))</f>
        <v>Middle Age</v>
      </c>
    </row>
    <row r="64" spans="2:13" x14ac:dyDescent="0.25">
      <c r="B64" s="20"/>
      <c r="C64" s="20"/>
      <c r="D64" s="20"/>
      <c r="E64" s="20" t="str">
        <v>Miranda</v>
      </c>
      <c r="F64" s="20" t="str">
        <f>IF(ISBLANK($E64),"",INDEX(Sheet1!$A:$J,MATCH(Index_Match!$E64,Sheet1!$A:$A,0),MATCH(Index_Match!F$1,Sheet1!$A$1:$J$1,0)))</f>
        <v>Female</v>
      </c>
      <c r="G64" s="20" t="str">
        <f>IF(ISBLANK($E64),"",INDEX(Sheet1!$A:$J,MATCH(Index_Match!$E64,Sheet1!$A:$A,0),MATCH(Index_Match!G$1,Sheet1!$A$1:$J$1,0)))</f>
        <v>Astronomer</v>
      </c>
      <c r="H64" s="20" t="str">
        <f>IF(ISBLANK($E64),"",INDEX(Sheet1!$A:$J,MATCH(Index_Match!$E64,Sheet1!$A:$A,0),MATCH(Index_Match!H$1,Sheet1!$A$1:$J$1,0)))</f>
        <v>Married</v>
      </c>
      <c r="I64" s="23">
        <f>IF(ISBLANK($E64),"",INDEX(Sheet1!$A:$J,MATCH(Index_Match!$E64,Sheet1!$A:$A,0),MATCH(Index_Match!I$1,Sheet1!$A$1:$J$1,0)))</f>
        <v>3</v>
      </c>
      <c r="J64" s="20" t="str">
        <f>IF(ISBLANK($E64),"",INDEX(Sheet1!$A:$J,MATCH(Index_Match!$E64,Sheet1!$A:$A,0),MATCH(Index_Match!J$1,Sheet1!$A$1:$J$1,0)))</f>
        <v>Miranda Douglas</v>
      </c>
      <c r="K64" s="23">
        <f>IF(ISBLANK($E64),"",INDEX(Sheet1!$A:$J,MATCH(Index_Match!$E64,Sheet1!$A:$A,0),MATCH(Index_Match!K$1,Sheet1!$A$1:$J$1,0)))</f>
        <v>3</v>
      </c>
      <c r="L64" s="20" t="str">
        <f>IF(ISBLANK($E64),"",INDEX(Sheet1!$A:$J,MATCH(Index_Match!$E64,Sheet1!$A:$A,0),MATCH(Index_Match!L$1,Sheet1!$A$1:$J$1,0)))</f>
        <v>Douglas</v>
      </c>
      <c r="M64" s="20" t="str">
        <f>IF(ISBLANK($E64),"",INDEX(Sheet1!$A:$J,MATCH(Index_Match!$E64,Sheet1!$A:$A,0),MATCH(Index_Match!M$1,Sheet1!$A$1:$J$1,0)))</f>
        <v>Young</v>
      </c>
    </row>
    <row r="65" spans="2:13" x14ac:dyDescent="0.25">
      <c r="B65" s="20"/>
      <c r="C65" s="20"/>
      <c r="D65" s="20"/>
      <c r="E65" s="20" t="str">
        <v>Carina</v>
      </c>
      <c r="F65" s="20" t="str">
        <f>IF(ISBLANK($E65),"",INDEX(Sheet1!$A:$J,MATCH(Index_Match!$E65,Sheet1!$A:$A,0),MATCH(Index_Match!F$1,Sheet1!$A$1:$J$1,0)))</f>
        <v>Female</v>
      </c>
      <c r="G65" s="20" t="str">
        <f>IF(ISBLANK($E65),"",INDEX(Sheet1!$A:$J,MATCH(Index_Match!$E65,Sheet1!$A:$A,0),MATCH(Index_Match!G$1,Sheet1!$A$1:$J$1,0)))</f>
        <v>Aeroplane Pilot</v>
      </c>
      <c r="H65" s="20" t="str">
        <f>IF(ISBLANK($E65),"",INDEX(Sheet1!$A:$J,MATCH(Index_Match!$E65,Sheet1!$A:$A,0),MATCH(Index_Match!H$1,Sheet1!$A$1:$J$1,0)))</f>
        <v>Married</v>
      </c>
      <c r="I65" s="23">
        <f>IF(ISBLANK($E65),"",INDEX(Sheet1!$A:$J,MATCH(Index_Match!$E65,Sheet1!$A:$A,0),MATCH(Index_Match!I$1,Sheet1!$A$1:$J$1,0)))</f>
        <v>4</v>
      </c>
      <c r="J65" s="20" t="str">
        <f>IF(ISBLANK($E65),"",INDEX(Sheet1!$A:$J,MATCH(Index_Match!$E65,Sheet1!$A:$A,0),MATCH(Index_Match!J$1,Sheet1!$A$1:$J$1,0)))</f>
        <v>Carina Williams</v>
      </c>
      <c r="K65" s="23">
        <f>IF(ISBLANK($E65),"",INDEX(Sheet1!$A:$J,MATCH(Index_Match!$E65,Sheet1!$A:$A,0),MATCH(Index_Match!K$1,Sheet1!$A$1:$J$1,0)))</f>
        <v>4</v>
      </c>
      <c r="L65" s="20" t="str">
        <f>IF(ISBLANK($E65),"",INDEX(Sheet1!$A:$J,MATCH(Index_Match!$E65,Sheet1!$A:$A,0),MATCH(Index_Match!L$1,Sheet1!$A$1:$J$1,0)))</f>
        <v>Williams</v>
      </c>
      <c r="M65" s="20" t="str">
        <f>IF(ISBLANK($E65),"",INDEX(Sheet1!$A:$J,MATCH(Index_Match!$E65,Sheet1!$A:$A,0),MATCH(Index_Match!M$1,Sheet1!$A$1:$J$1,0)))</f>
        <v>Young</v>
      </c>
    </row>
    <row r="66" spans="2:13" x14ac:dyDescent="0.25">
      <c r="B66" s="20"/>
      <c r="C66" s="20"/>
      <c r="D66" s="20"/>
      <c r="E66" s="20" t="str">
        <v>Arianna</v>
      </c>
      <c r="F66" s="20" t="str">
        <f>IF(ISBLANK($E66),"",INDEX(Sheet1!$A:$J,MATCH(Index_Match!$E66,Sheet1!$A:$A,0),MATCH(Index_Match!F$1,Sheet1!$A$1:$J$1,0)))</f>
        <v>Female</v>
      </c>
      <c r="G66" s="20" t="str">
        <f>IF(ISBLANK($E66),"",INDEX(Sheet1!$A:$J,MATCH(Index_Match!$E66,Sheet1!$A:$A,0),MATCH(Index_Match!G$1,Sheet1!$A$1:$J$1,0)))</f>
        <v>Biochemist</v>
      </c>
      <c r="H66" s="20" t="str">
        <f>IF(ISBLANK($E66),"",INDEX(Sheet1!$A:$J,MATCH(Index_Match!$E66,Sheet1!$A:$A,0),MATCH(Index_Match!H$1,Sheet1!$A$1:$J$1,0)))</f>
        <v>Married</v>
      </c>
      <c r="I66" s="23">
        <f>IF(ISBLANK($E66),"",INDEX(Sheet1!$A:$J,MATCH(Index_Match!$E66,Sheet1!$A:$A,0),MATCH(Index_Match!I$1,Sheet1!$A$1:$J$1,0)))</f>
        <v>0</v>
      </c>
      <c r="J66" s="20" t="str">
        <f>IF(ISBLANK($E66),"",INDEX(Sheet1!$A:$J,MATCH(Index_Match!$E66,Sheet1!$A:$A,0),MATCH(Index_Match!J$1,Sheet1!$A$1:$J$1,0)))</f>
        <v>Arianna Hall</v>
      </c>
      <c r="K66" s="23">
        <f>IF(ISBLANK($E66),"",INDEX(Sheet1!$A:$J,MATCH(Index_Match!$E66,Sheet1!$A:$A,0),MATCH(Index_Match!K$1,Sheet1!$A$1:$J$1,0)))</f>
        <v>0</v>
      </c>
      <c r="L66" s="20" t="str">
        <f>IF(ISBLANK($E66),"",INDEX(Sheet1!$A:$J,MATCH(Index_Match!$E66,Sheet1!$A:$A,0),MATCH(Index_Match!L$1,Sheet1!$A$1:$J$1,0)))</f>
        <v>Hall</v>
      </c>
      <c r="M66" s="20" t="str">
        <f>IF(ISBLANK($E66),"",INDEX(Sheet1!$A:$J,MATCH(Index_Match!$E66,Sheet1!$A:$A,0),MATCH(Index_Match!M$1,Sheet1!$A$1:$J$1,0)))</f>
        <v>Old</v>
      </c>
    </row>
    <row r="67" spans="2:13" x14ac:dyDescent="0.25">
      <c r="B67" s="20"/>
      <c r="C67" s="20"/>
      <c r="D67" s="20"/>
      <c r="E67" s="20" t="str">
        <v>Isabella</v>
      </c>
      <c r="F67" s="20" t="str">
        <f>IF(ISBLANK($E67),"",INDEX(Sheet1!$A:$J,MATCH(Index_Match!$E67,Sheet1!$A:$A,0),MATCH(Index_Match!F$1,Sheet1!$A$1:$J$1,0)))</f>
        <v>Female</v>
      </c>
      <c r="G67" s="20" t="str">
        <f>IF(ISBLANK($E67),"",INDEX(Sheet1!$A:$J,MATCH(Index_Match!$E67,Sheet1!$A:$A,0),MATCH(Index_Match!G$1,Sheet1!$A$1:$J$1,0)))</f>
        <v>Aeroplane Pilot</v>
      </c>
      <c r="H67" s="20" t="str">
        <f>IF(ISBLANK($E67),"",INDEX(Sheet1!$A:$J,MATCH(Index_Match!$E67,Sheet1!$A:$A,0),MATCH(Index_Match!H$1,Sheet1!$A$1:$J$1,0)))</f>
        <v>Married</v>
      </c>
      <c r="I67" s="23">
        <f>IF(ISBLANK($E67),"",INDEX(Sheet1!$A:$J,MATCH(Index_Match!$E67,Sheet1!$A:$A,0),MATCH(Index_Match!I$1,Sheet1!$A$1:$J$1,0)))</f>
        <v>5</v>
      </c>
      <c r="J67" s="20" t="str">
        <f>IF(ISBLANK($E67),"",INDEX(Sheet1!$A:$J,MATCH(Index_Match!$E67,Sheet1!$A:$A,0),MATCH(Index_Match!J$1,Sheet1!$A$1:$J$1,0)))</f>
        <v>Isabella Perry</v>
      </c>
      <c r="K67" s="23">
        <f>IF(ISBLANK($E67),"",INDEX(Sheet1!$A:$J,MATCH(Index_Match!$E67,Sheet1!$A:$A,0),MATCH(Index_Match!K$1,Sheet1!$A$1:$J$1,0)))</f>
        <v>5</v>
      </c>
      <c r="L67" s="20" t="str">
        <f>IF(ISBLANK($E67),"",INDEX(Sheet1!$A:$J,MATCH(Index_Match!$E67,Sheet1!$A:$A,0),MATCH(Index_Match!L$1,Sheet1!$A$1:$J$1,0)))</f>
        <v>Perry</v>
      </c>
      <c r="M67" s="20" t="str">
        <f>IF(ISBLANK($E67),"",INDEX(Sheet1!$A:$J,MATCH(Index_Match!$E67,Sheet1!$A:$A,0),MATCH(Index_Match!M$1,Sheet1!$A$1:$J$1,0)))</f>
        <v>Middle Age</v>
      </c>
    </row>
    <row r="68" spans="2:13" x14ac:dyDescent="0.25">
      <c r="B68" s="20"/>
      <c r="C68" s="20"/>
      <c r="D68" s="20"/>
      <c r="E68" s="20" t="str">
        <v>Alexia</v>
      </c>
      <c r="F68" s="20" t="str">
        <f>IF(ISBLANK($E68),"",INDEX(Sheet1!$A:$J,MATCH(Index_Match!$E68,Sheet1!$A:$A,0),MATCH(Index_Match!F$1,Sheet1!$A$1:$J$1,0)))</f>
        <v>Female</v>
      </c>
      <c r="G68" s="20" t="str">
        <f>IF(ISBLANK($E68),"",INDEX(Sheet1!$A:$J,MATCH(Index_Match!$E68,Sheet1!$A:$A,0),MATCH(Index_Match!G$1,Sheet1!$A$1:$J$1,0)))</f>
        <v>Auditor</v>
      </c>
      <c r="H68" s="20" t="str">
        <f>IF(ISBLANK($E68),"",INDEX(Sheet1!$A:$J,MATCH(Index_Match!$E68,Sheet1!$A:$A,0),MATCH(Index_Match!H$1,Sheet1!$A$1:$J$1,0)))</f>
        <v>Married</v>
      </c>
      <c r="I68" s="23">
        <f>IF(ISBLANK($E68),"",INDEX(Sheet1!$A:$J,MATCH(Index_Match!$E68,Sheet1!$A:$A,0),MATCH(Index_Match!I$1,Sheet1!$A$1:$J$1,0)))</f>
        <v>0</v>
      </c>
      <c r="J68" s="20" t="str">
        <f>IF(ISBLANK($E68),"",INDEX(Sheet1!$A:$J,MATCH(Index_Match!$E68,Sheet1!$A:$A,0),MATCH(Index_Match!J$1,Sheet1!$A$1:$J$1,0)))</f>
        <v>Alexia Cooper</v>
      </c>
      <c r="K68" s="23">
        <f>IF(ISBLANK($E68),"",INDEX(Sheet1!$A:$J,MATCH(Index_Match!$E68,Sheet1!$A:$A,0),MATCH(Index_Match!K$1,Sheet1!$A$1:$J$1,0)))</f>
        <v>0</v>
      </c>
      <c r="L68" s="20" t="str">
        <f>IF(ISBLANK($E68),"",INDEX(Sheet1!$A:$J,MATCH(Index_Match!$E68,Sheet1!$A:$A,0),MATCH(Index_Match!L$1,Sheet1!$A$1:$J$1,0)))</f>
        <v>Cooper</v>
      </c>
      <c r="M68" s="20" t="str">
        <f>IF(ISBLANK($E68),"",INDEX(Sheet1!$A:$J,MATCH(Index_Match!$E68,Sheet1!$A:$A,0),MATCH(Index_Match!M$1,Sheet1!$A$1:$J$1,0)))</f>
        <v>Young</v>
      </c>
    </row>
    <row r="69" spans="2:13" x14ac:dyDescent="0.25">
      <c r="B69" s="20"/>
      <c r="C69" s="20"/>
      <c r="D69" s="20"/>
      <c r="E69" s="20" t="str">
        <v>Savana</v>
      </c>
      <c r="F69" s="20" t="str">
        <f>IF(ISBLANK($E69),"",INDEX(Sheet1!$A:$J,MATCH(Index_Match!$E69,Sheet1!$A:$A,0),MATCH(Index_Match!F$1,Sheet1!$A$1:$J$1,0)))</f>
        <v>Female</v>
      </c>
      <c r="G69" s="20" t="str">
        <f>IF(ISBLANK($E69),"",INDEX(Sheet1!$A:$J,MATCH(Index_Match!$E69,Sheet1!$A:$A,0),MATCH(Index_Match!G$1,Sheet1!$A$1:$J$1,0)))</f>
        <v>Accountant</v>
      </c>
      <c r="H69" s="20" t="str">
        <f>IF(ISBLANK($E69),"",INDEX(Sheet1!$A:$J,MATCH(Index_Match!$E69,Sheet1!$A:$A,0),MATCH(Index_Match!H$1,Sheet1!$A$1:$J$1,0)))</f>
        <v>Single</v>
      </c>
      <c r="I69" s="23">
        <f>IF(ISBLANK($E69),"",INDEX(Sheet1!$A:$J,MATCH(Index_Match!$E69,Sheet1!$A:$A,0),MATCH(Index_Match!I$1,Sheet1!$A$1:$J$1,0)))</f>
        <v>5</v>
      </c>
      <c r="J69" s="20" t="str">
        <f>IF(ISBLANK($E69),"",INDEX(Sheet1!$A:$J,MATCH(Index_Match!$E69,Sheet1!$A:$A,0),MATCH(Index_Match!J$1,Sheet1!$A$1:$J$1,0)))</f>
        <v>Savana Carroll</v>
      </c>
      <c r="K69" s="23">
        <f>IF(ISBLANK($E69),"",INDEX(Sheet1!$A:$J,MATCH(Index_Match!$E69,Sheet1!$A:$A,0),MATCH(Index_Match!K$1,Sheet1!$A$1:$J$1,0)))</f>
        <v>5</v>
      </c>
      <c r="L69" s="20" t="str">
        <f>IF(ISBLANK($E69),"",INDEX(Sheet1!$A:$J,MATCH(Index_Match!$E69,Sheet1!$A:$A,0),MATCH(Index_Match!L$1,Sheet1!$A$1:$J$1,0)))</f>
        <v>Carroll</v>
      </c>
      <c r="M69" s="20" t="str">
        <f>IF(ISBLANK($E69),"",INDEX(Sheet1!$A:$J,MATCH(Index_Match!$E69,Sheet1!$A:$A,0),MATCH(Index_Match!M$1,Sheet1!$A$1:$J$1,0)))</f>
        <v>Middle Age</v>
      </c>
    </row>
    <row r="70" spans="2:13" x14ac:dyDescent="0.25">
      <c r="B70" s="20"/>
      <c r="C70" s="20"/>
      <c r="D70" s="20"/>
      <c r="E70" s="20" t="str">
        <v>Lydia</v>
      </c>
      <c r="F70" s="20" t="str">
        <f>IF(ISBLANK($E70),"",INDEX(Sheet1!$A:$J,MATCH(Index_Match!$E70,Sheet1!$A:$A,0),MATCH(Index_Match!F$1,Sheet1!$A$1:$J$1,0)))</f>
        <v>Female</v>
      </c>
      <c r="G70" s="20" t="str">
        <f>IF(ISBLANK($E70),"",INDEX(Sheet1!$A:$J,MATCH(Index_Match!$E70,Sheet1!$A:$A,0),MATCH(Index_Match!G$1,Sheet1!$A$1:$J$1,0)))</f>
        <v>Agronomist</v>
      </c>
      <c r="H70" s="20" t="str">
        <f>IF(ISBLANK($E70),"",INDEX(Sheet1!$A:$J,MATCH(Index_Match!$E70,Sheet1!$A:$A,0),MATCH(Index_Match!H$1,Sheet1!$A$1:$J$1,0)))</f>
        <v>Single</v>
      </c>
      <c r="I70" s="23">
        <f>IF(ISBLANK($E70),"",INDEX(Sheet1!$A:$J,MATCH(Index_Match!$E70,Sheet1!$A:$A,0),MATCH(Index_Match!I$1,Sheet1!$A$1:$J$1,0)))</f>
        <v>0</v>
      </c>
      <c r="J70" s="20" t="str">
        <f>IF(ISBLANK($E70),"",INDEX(Sheet1!$A:$J,MATCH(Index_Match!$E70,Sheet1!$A:$A,0),MATCH(Index_Match!J$1,Sheet1!$A$1:$J$1,0)))</f>
        <v>Lydia Roberts</v>
      </c>
      <c r="K70" s="23">
        <f>IF(ISBLANK($E70),"",INDEX(Sheet1!$A:$J,MATCH(Index_Match!$E70,Sheet1!$A:$A,0),MATCH(Index_Match!K$1,Sheet1!$A$1:$J$1,0)))</f>
        <v>0</v>
      </c>
      <c r="L70" s="20" t="str">
        <f>IF(ISBLANK($E70),"",INDEX(Sheet1!$A:$J,MATCH(Index_Match!$E70,Sheet1!$A:$A,0),MATCH(Index_Match!L$1,Sheet1!$A$1:$J$1,0)))</f>
        <v>Roberts</v>
      </c>
      <c r="M70" s="20" t="str">
        <f>IF(ISBLANK($E70),"",INDEX(Sheet1!$A:$J,MATCH(Index_Match!$E70,Sheet1!$A:$A,0),MATCH(Index_Match!M$1,Sheet1!$A$1:$J$1,0)))</f>
        <v>Young</v>
      </c>
    </row>
    <row r="71" spans="2:13" x14ac:dyDescent="0.25">
      <c r="B71" s="20"/>
      <c r="C71" s="20"/>
      <c r="D71" s="20"/>
      <c r="E71" s="20" t="str">
        <v>Fiona</v>
      </c>
      <c r="F71" s="20" t="str">
        <f>IF(ISBLANK($E71),"",INDEX(Sheet1!$A:$J,MATCH(Index_Match!$E71,Sheet1!$A:$A,0),MATCH(Index_Match!F$1,Sheet1!$A$1:$J$1,0)))</f>
        <v>Female</v>
      </c>
      <c r="G71" s="20" t="str">
        <f>IF(ISBLANK($E71),"",INDEX(Sheet1!$A:$J,MATCH(Index_Match!$E71,Sheet1!$A:$A,0),MATCH(Index_Match!G$1,Sheet1!$A$1:$J$1,0)))</f>
        <v>Hairdresser</v>
      </c>
      <c r="H71" s="20" t="str">
        <f>IF(ISBLANK($E71),"",INDEX(Sheet1!$A:$J,MATCH(Index_Match!$E71,Sheet1!$A:$A,0),MATCH(Index_Match!H$1,Sheet1!$A$1:$J$1,0)))</f>
        <v>Married</v>
      </c>
      <c r="I71" s="23">
        <f>IF(ISBLANK($E71),"",INDEX(Sheet1!$A:$J,MATCH(Index_Match!$E71,Sheet1!$A:$A,0),MATCH(Index_Match!I$1,Sheet1!$A$1:$J$1,0)))</f>
        <v>0</v>
      </c>
      <c r="J71" s="20" t="str">
        <f>IF(ISBLANK($E71),"",INDEX(Sheet1!$A:$J,MATCH(Index_Match!$E71,Sheet1!$A:$A,0),MATCH(Index_Match!J$1,Sheet1!$A$1:$J$1,0)))</f>
        <v>Fiona Phillips</v>
      </c>
      <c r="K71" s="23">
        <f>IF(ISBLANK($E71),"",INDEX(Sheet1!$A:$J,MATCH(Index_Match!$E71,Sheet1!$A:$A,0),MATCH(Index_Match!K$1,Sheet1!$A$1:$J$1,0)))</f>
        <v>0</v>
      </c>
      <c r="L71" s="20" t="str">
        <f>IF(ISBLANK($E71),"",INDEX(Sheet1!$A:$J,MATCH(Index_Match!$E71,Sheet1!$A:$A,0),MATCH(Index_Match!L$1,Sheet1!$A$1:$J$1,0)))</f>
        <v>Phillips</v>
      </c>
      <c r="M71" s="20" t="str">
        <f>IF(ISBLANK($E71),"",INDEX(Sheet1!$A:$J,MATCH(Index_Match!$E71,Sheet1!$A:$A,0),MATCH(Index_Match!M$1,Sheet1!$A$1:$J$1,0)))</f>
        <v>Middle Age</v>
      </c>
    </row>
    <row r="72" spans="2:13" x14ac:dyDescent="0.25">
      <c r="B72" s="20"/>
      <c r="C72" s="20"/>
      <c r="D72" s="20"/>
      <c r="E72" s="20" t="str">
        <v>Maddie</v>
      </c>
      <c r="F72" s="20" t="str">
        <f>IF(ISBLANK($E72),"",INDEX(Sheet1!$A:$J,MATCH(Index_Match!$E72,Sheet1!$A:$A,0),MATCH(Index_Match!F$1,Sheet1!$A$1:$J$1,0)))</f>
        <v>Female</v>
      </c>
      <c r="G72" s="20" t="str">
        <f>IF(ISBLANK($E72),"",INDEX(Sheet1!$A:$J,MATCH(Index_Match!$E72,Sheet1!$A:$A,0),MATCH(Index_Match!G$1,Sheet1!$A$1:$J$1,0)))</f>
        <v>Engineer</v>
      </c>
      <c r="H72" s="20" t="str">
        <f>IF(ISBLANK($E72),"",INDEX(Sheet1!$A:$J,MATCH(Index_Match!$E72,Sheet1!$A:$A,0),MATCH(Index_Match!H$1,Sheet1!$A$1:$J$1,0)))</f>
        <v>Single</v>
      </c>
      <c r="I72" s="23">
        <f>IF(ISBLANK($E72),"",INDEX(Sheet1!$A:$J,MATCH(Index_Match!$E72,Sheet1!$A:$A,0),MATCH(Index_Match!I$1,Sheet1!$A$1:$J$1,0)))</f>
        <v>5</v>
      </c>
      <c r="J72" s="20" t="str">
        <f>IF(ISBLANK($E72),"",INDEX(Sheet1!$A:$J,MATCH(Index_Match!$E72,Sheet1!$A:$A,0),MATCH(Index_Match!J$1,Sheet1!$A$1:$J$1,0)))</f>
        <v>Maddie Hamilton</v>
      </c>
      <c r="K72" s="23">
        <f>IF(ISBLANK($E72),"",INDEX(Sheet1!$A:$J,MATCH(Index_Match!$E72,Sheet1!$A:$A,0),MATCH(Index_Match!K$1,Sheet1!$A$1:$J$1,0)))</f>
        <v>5</v>
      </c>
      <c r="L72" s="20" t="str">
        <f>IF(ISBLANK($E72),"",INDEX(Sheet1!$A:$J,MATCH(Index_Match!$E72,Sheet1!$A:$A,0),MATCH(Index_Match!L$1,Sheet1!$A$1:$J$1,0)))</f>
        <v>Hamilton</v>
      </c>
      <c r="M72" s="20" t="str">
        <f>IF(ISBLANK($E72),"",INDEX(Sheet1!$A:$J,MATCH(Index_Match!$E72,Sheet1!$A:$A,0),MATCH(Index_Match!M$1,Sheet1!$A$1:$J$1,0)))</f>
        <v>Middle Age</v>
      </c>
    </row>
    <row r="73" spans="2:13" x14ac:dyDescent="0.25">
      <c r="B73" s="20"/>
      <c r="C73" s="20"/>
      <c r="D73" s="20"/>
      <c r="E73" s="20" t="str">
        <v>Ada</v>
      </c>
      <c r="F73" s="20" t="str">
        <f>IF(ISBLANK($E73),"",INDEX(Sheet1!$A:$J,MATCH(Index_Match!$E73,Sheet1!$A:$A,0),MATCH(Index_Match!F$1,Sheet1!$A$1:$J$1,0)))</f>
        <v>Female</v>
      </c>
      <c r="G73" s="20" t="str">
        <f>IF(ISBLANK($E73),"",INDEX(Sheet1!$A:$J,MATCH(Index_Match!$E73,Sheet1!$A:$A,0),MATCH(Index_Match!G$1,Sheet1!$A$1:$J$1,0)))</f>
        <v>Fashion Designer</v>
      </c>
      <c r="H73" s="20" t="str">
        <f>IF(ISBLANK($E73),"",INDEX(Sheet1!$A:$J,MATCH(Index_Match!$E73,Sheet1!$A:$A,0),MATCH(Index_Match!H$1,Sheet1!$A$1:$J$1,0)))</f>
        <v>Married</v>
      </c>
      <c r="I73" s="23">
        <f>IF(ISBLANK($E73),"",INDEX(Sheet1!$A:$J,MATCH(Index_Match!$E73,Sheet1!$A:$A,0),MATCH(Index_Match!I$1,Sheet1!$A$1:$J$1,0)))</f>
        <v>5</v>
      </c>
      <c r="J73" s="20" t="str">
        <f>IF(ISBLANK($E73),"",INDEX(Sheet1!$A:$J,MATCH(Index_Match!$E73,Sheet1!$A:$A,0),MATCH(Index_Match!J$1,Sheet1!$A$1:$J$1,0)))</f>
        <v>Ada Hall</v>
      </c>
      <c r="K73" s="23">
        <f>IF(ISBLANK($E73),"",INDEX(Sheet1!$A:$J,MATCH(Index_Match!$E73,Sheet1!$A:$A,0),MATCH(Index_Match!K$1,Sheet1!$A$1:$J$1,0)))</f>
        <v>5</v>
      </c>
      <c r="L73" s="20" t="str">
        <f>IF(ISBLANK($E73),"",INDEX(Sheet1!$A:$J,MATCH(Index_Match!$E73,Sheet1!$A:$A,0),MATCH(Index_Match!L$1,Sheet1!$A$1:$J$1,0)))</f>
        <v>Hall</v>
      </c>
      <c r="M73" s="20" t="str">
        <f>IF(ISBLANK($E73),"",INDEX(Sheet1!$A:$J,MATCH(Index_Match!$E73,Sheet1!$A:$A,0),MATCH(Index_Match!M$1,Sheet1!$A$1:$J$1,0)))</f>
        <v>Middle Age</v>
      </c>
    </row>
    <row r="74" spans="2:13" x14ac:dyDescent="0.25">
      <c r="B74" s="20"/>
      <c r="C74" s="20"/>
      <c r="D74" s="20"/>
      <c r="E74" s="20" t="str">
        <v>Myra</v>
      </c>
      <c r="F74" s="20" t="str">
        <f>IF(ISBLANK($E74),"",INDEX(Sheet1!$A:$J,MATCH(Index_Match!$E74,Sheet1!$A:$A,0),MATCH(Index_Match!F$1,Sheet1!$A$1:$J$1,0)))</f>
        <v>Female</v>
      </c>
      <c r="G74" s="20" t="str">
        <f>IF(ISBLANK($E74),"",INDEX(Sheet1!$A:$J,MATCH(Index_Match!$E74,Sheet1!$A:$A,0),MATCH(Index_Match!G$1,Sheet1!$A$1:$J$1,0)))</f>
        <v>Architect</v>
      </c>
      <c r="H74" s="20" t="str">
        <f>IF(ISBLANK($E74),"",INDEX(Sheet1!$A:$J,MATCH(Index_Match!$E74,Sheet1!$A:$A,0),MATCH(Index_Match!H$1,Sheet1!$A$1:$J$1,0)))</f>
        <v>Single</v>
      </c>
      <c r="I74" s="23">
        <f>IF(ISBLANK($E74),"",INDEX(Sheet1!$A:$J,MATCH(Index_Match!$E74,Sheet1!$A:$A,0),MATCH(Index_Match!I$1,Sheet1!$A$1:$J$1,0)))</f>
        <v>0</v>
      </c>
      <c r="J74" s="20" t="str">
        <f>IF(ISBLANK($E74),"",INDEX(Sheet1!$A:$J,MATCH(Index_Match!$E74,Sheet1!$A:$A,0),MATCH(Index_Match!J$1,Sheet1!$A$1:$J$1,0)))</f>
        <v>Myra Ryan</v>
      </c>
      <c r="K74" s="23">
        <f>IF(ISBLANK($E74),"",INDEX(Sheet1!$A:$J,MATCH(Index_Match!$E74,Sheet1!$A:$A,0),MATCH(Index_Match!K$1,Sheet1!$A$1:$J$1,0)))</f>
        <v>0</v>
      </c>
      <c r="L74" s="20" t="str">
        <f>IF(ISBLANK($E74),"",INDEX(Sheet1!$A:$J,MATCH(Index_Match!$E74,Sheet1!$A:$A,0),MATCH(Index_Match!L$1,Sheet1!$A$1:$J$1,0)))</f>
        <v>Ryan</v>
      </c>
      <c r="M74" s="20" t="str">
        <f>IF(ISBLANK($E74),"",INDEX(Sheet1!$A:$J,MATCH(Index_Match!$E74,Sheet1!$A:$A,0),MATCH(Index_Match!M$1,Sheet1!$A$1:$J$1,0)))</f>
        <v>Young</v>
      </c>
    </row>
    <row r="75" spans="2:13" x14ac:dyDescent="0.25">
      <c r="B75" s="20"/>
      <c r="C75" s="20"/>
      <c r="D75" s="20"/>
      <c r="E75" s="20" t="str">
        <v>Hailey</v>
      </c>
      <c r="F75" s="20" t="str">
        <f>IF(ISBLANK($E75),"",INDEX(Sheet1!$A:$J,MATCH(Index_Match!$E75,Sheet1!$A:$A,0),MATCH(Index_Match!F$1,Sheet1!$A$1:$J$1,0)))</f>
        <v>Female</v>
      </c>
      <c r="G75" s="20" t="str">
        <f>IF(ISBLANK($E75),"",INDEX(Sheet1!$A:$J,MATCH(Index_Match!$E75,Sheet1!$A:$A,0),MATCH(Index_Match!G$1,Sheet1!$A$1:$J$1,0)))</f>
        <v>Insurer</v>
      </c>
      <c r="H75" s="20" t="str">
        <f>IF(ISBLANK($E75),"",INDEX(Sheet1!$A:$J,MATCH(Index_Match!$E75,Sheet1!$A:$A,0),MATCH(Index_Match!H$1,Sheet1!$A$1:$J$1,0)))</f>
        <v>Married</v>
      </c>
      <c r="I75" s="23">
        <f>IF(ISBLANK($E75),"",INDEX(Sheet1!$A:$J,MATCH(Index_Match!$E75,Sheet1!$A:$A,0),MATCH(Index_Match!I$1,Sheet1!$A$1:$J$1,0)))</f>
        <v>1</v>
      </c>
      <c r="J75" s="20" t="str">
        <f>IF(ISBLANK($E75),"",INDEX(Sheet1!$A:$J,MATCH(Index_Match!$E75,Sheet1!$A:$A,0),MATCH(Index_Match!J$1,Sheet1!$A$1:$J$1,0)))</f>
        <v>Hailey Cooper</v>
      </c>
      <c r="K75" s="23">
        <f>IF(ISBLANK($E75),"",INDEX(Sheet1!$A:$J,MATCH(Index_Match!$E75,Sheet1!$A:$A,0),MATCH(Index_Match!K$1,Sheet1!$A$1:$J$1,0)))</f>
        <v>1</v>
      </c>
      <c r="L75" s="20" t="str">
        <f>IF(ISBLANK($E75),"",INDEX(Sheet1!$A:$J,MATCH(Index_Match!$E75,Sheet1!$A:$A,0),MATCH(Index_Match!L$1,Sheet1!$A$1:$J$1,0)))</f>
        <v>Cooper</v>
      </c>
      <c r="M75" s="20" t="str">
        <f>IF(ISBLANK($E75),"",INDEX(Sheet1!$A:$J,MATCH(Index_Match!$E75,Sheet1!$A:$A,0),MATCH(Index_Match!M$1,Sheet1!$A$1:$J$1,0)))</f>
        <v>Old</v>
      </c>
    </row>
    <row r="76" spans="2:13" x14ac:dyDescent="0.25">
      <c r="B76" s="20"/>
      <c r="C76" s="20"/>
      <c r="D76" s="20"/>
      <c r="E76" s="20" t="str">
        <v>Paige</v>
      </c>
      <c r="F76" s="20" t="str">
        <f>IF(ISBLANK($E76),"",INDEX(Sheet1!$A:$J,MATCH(Index_Match!$E76,Sheet1!$A:$A,0),MATCH(Index_Match!F$1,Sheet1!$A$1:$J$1,0)))</f>
        <v>Female</v>
      </c>
      <c r="G76" s="20" t="str">
        <f>IF(ISBLANK($E76),"",INDEX(Sheet1!$A:$J,MATCH(Index_Match!$E76,Sheet1!$A:$A,0),MATCH(Index_Match!G$1,Sheet1!$A$1:$J$1,0)))</f>
        <v>Biochemist</v>
      </c>
      <c r="H76" s="20" t="str">
        <f>IF(ISBLANK($E76),"",INDEX(Sheet1!$A:$J,MATCH(Index_Match!$E76,Sheet1!$A:$A,0),MATCH(Index_Match!H$1,Sheet1!$A$1:$J$1,0)))</f>
        <v>Married</v>
      </c>
      <c r="I76" s="23">
        <f>IF(ISBLANK($E76),"",INDEX(Sheet1!$A:$J,MATCH(Index_Match!$E76,Sheet1!$A:$A,0),MATCH(Index_Match!I$1,Sheet1!$A$1:$J$1,0)))</f>
        <v>4</v>
      </c>
      <c r="J76" s="20" t="str">
        <f>IF(ISBLANK($E76),"",INDEX(Sheet1!$A:$J,MATCH(Index_Match!$E76,Sheet1!$A:$A,0),MATCH(Index_Match!J$1,Sheet1!$A$1:$J$1,0)))</f>
        <v>Paige Moore</v>
      </c>
      <c r="K76" s="23">
        <f>IF(ISBLANK($E76),"",INDEX(Sheet1!$A:$J,MATCH(Index_Match!$E76,Sheet1!$A:$A,0),MATCH(Index_Match!K$1,Sheet1!$A$1:$J$1,0)))</f>
        <v>4</v>
      </c>
      <c r="L76" s="20" t="str">
        <f>IF(ISBLANK($E76),"",INDEX(Sheet1!$A:$J,MATCH(Index_Match!$E76,Sheet1!$A:$A,0),MATCH(Index_Match!L$1,Sheet1!$A$1:$J$1,0)))</f>
        <v>Moore</v>
      </c>
      <c r="M76" s="20" t="str">
        <f>IF(ISBLANK($E76),"",INDEX(Sheet1!$A:$J,MATCH(Index_Match!$E76,Sheet1!$A:$A,0),MATCH(Index_Match!M$1,Sheet1!$A$1:$J$1,0)))</f>
        <v>Middle Age</v>
      </c>
    </row>
    <row r="77" spans="2:13" x14ac:dyDescent="0.25">
      <c r="B77" s="20"/>
      <c r="C77" s="20"/>
      <c r="D77" s="20"/>
      <c r="E77" s="20" t="str">
        <v>Tara</v>
      </c>
      <c r="F77" s="20" t="str">
        <f>IF(ISBLANK($E77),"",INDEX(Sheet1!$A:$J,MATCH(Index_Match!$E77,Sheet1!$A:$A,0),MATCH(Index_Match!F$1,Sheet1!$A$1:$J$1,0)))</f>
        <v>Female</v>
      </c>
      <c r="G77" s="20" t="str">
        <f>IF(ISBLANK($E77),"",INDEX(Sheet1!$A:$J,MATCH(Index_Match!$E77,Sheet1!$A:$A,0),MATCH(Index_Match!G$1,Sheet1!$A$1:$J$1,0)))</f>
        <v>Jeweller</v>
      </c>
      <c r="H77" s="20" t="str">
        <f>IF(ISBLANK($E77),"",INDEX(Sheet1!$A:$J,MATCH(Index_Match!$E77,Sheet1!$A:$A,0),MATCH(Index_Match!H$1,Sheet1!$A$1:$J$1,0)))</f>
        <v>Married</v>
      </c>
      <c r="I77" s="23">
        <f>IF(ISBLANK($E77),"",INDEX(Sheet1!$A:$J,MATCH(Index_Match!$E77,Sheet1!$A:$A,0),MATCH(Index_Match!I$1,Sheet1!$A$1:$J$1,0)))</f>
        <v>4</v>
      </c>
      <c r="J77" s="20" t="str">
        <f>IF(ISBLANK($E77),"",INDEX(Sheet1!$A:$J,MATCH(Index_Match!$E77,Sheet1!$A:$A,0),MATCH(Index_Match!J$1,Sheet1!$A$1:$J$1,0)))</f>
        <v>Tara Brown</v>
      </c>
      <c r="K77" s="23">
        <f>IF(ISBLANK($E77),"",INDEX(Sheet1!$A:$J,MATCH(Index_Match!$E77,Sheet1!$A:$A,0),MATCH(Index_Match!K$1,Sheet1!$A$1:$J$1,0)))</f>
        <v>4</v>
      </c>
      <c r="L77" s="20" t="str">
        <f>IF(ISBLANK($E77),"",INDEX(Sheet1!$A:$J,MATCH(Index_Match!$E77,Sheet1!$A:$A,0),MATCH(Index_Match!L$1,Sheet1!$A$1:$J$1,0)))</f>
        <v>Brown</v>
      </c>
      <c r="M77" s="20" t="str">
        <f>IF(ISBLANK($E77),"",INDEX(Sheet1!$A:$J,MATCH(Index_Match!$E77,Sheet1!$A:$A,0),MATCH(Index_Match!M$1,Sheet1!$A$1:$J$1,0)))</f>
        <v>Young</v>
      </c>
    </row>
    <row r="78" spans="2:13" x14ac:dyDescent="0.25">
      <c r="B78" s="20"/>
      <c r="C78" s="20"/>
      <c r="D78" s="20"/>
      <c r="E78" s="20" t="str">
        <v>Agata</v>
      </c>
      <c r="F78" s="20" t="str">
        <f>IF(ISBLANK($E78),"",INDEX(Sheet1!$A:$J,MATCH(Index_Match!$E78,Sheet1!$A:$A,0),MATCH(Index_Match!F$1,Sheet1!$A$1:$J$1,0)))</f>
        <v>Female</v>
      </c>
      <c r="G78" s="20" t="str">
        <f>IF(ISBLANK($E78),"",INDEX(Sheet1!$A:$J,MATCH(Index_Match!$E78,Sheet1!$A:$A,0),MATCH(Index_Match!G$1,Sheet1!$A$1:$J$1,0)))</f>
        <v>Meteorologist</v>
      </c>
      <c r="H78" s="20" t="str">
        <f>IF(ISBLANK($E78),"",INDEX(Sheet1!$A:$J,MATCH(Index_Match!$E78,Sheet1!$A:$A,0),MATCH(Index_Match!H$1,Sheet1!$A$1:$J$1,0)))</f>
        <v>Single</v>
      </c>
      <c r="I78" s="23">
        <f>IF(ISBLANK($E78),"",INDEX(Sheet1!$A:$J,MATCH(Index_Match!$E78,Sheet1!$A:$A,0),MATCH(Index_Match!I$1,Sheet1!$A$1:$J$1,0)))</f>
        <v>0</v>
      </c>
      <c r="J78" s="20" t="str">
        <f>IF(ISBLANK($E78),"",INDEX(Sheet1!$A:$J,MATCH(Index_Match!$E78,Sheet1!$A:$A,0),MATCH(Index_Match!J$1,Sheet1!$A$1:$J$1,0)))</f>
        <v>Agata Adams</v>
      </c>
      <c r="K78" s="23">
        <f>IF(ISBLANK($E78),"",INDEX(Sheet1!$A:$J,MATCH(Index_Match!$E78,Sheet1!$A:$A,0),MATCH(Index_Match!K$1,Sheet1!$A$1:$J$1,0)))</f>
        <v>0</v>
      </c>
      <c r="L78" s="20" t="str">
        <f>IF(ISBLANK($E78),"",INDEX(Sheet1!$A:$J,MATCH(Index_Match!$E78,Sheet1!$A:$A,0),MATCH(Index_Match!L$1,Sheet1!$A$1:$J$1,0)))</f>
        <v>Adams</v>
      </c>
      <c r="M78" s="20" t="str">
        <f>IF(ISBLANK($E78),"",INDEX(Sheet1!$A:$J,MATCH(Index_Match!$E78,Sheet1!$A:$A,0),MATCH(Index_Match!M$1,Sheet1!$A$1:$J$1,0)))</f>
        <v>Young</v>
      </c>
    </row>
    <row r="79" spans="2:13" x14ac:dyDescent="0.25">
      <c r="B79" s="20"/>
      <c r="C79" s="20"/>
      <c r="D79" s="20"/>
      <c r="E79" s="20" t="str">
        <v>Cherry</v>
      </c>
      <c r="F79" s="20" t="str">
        <f>IF(ISBLANK($E79),"",INDEX(Sheet1!$A:$J,MATCH(Index_Match!$E79,Sheet1!$A:$A,0),MATCH(Index_Match!F$1,Sheet1!$A$1:$J$1,0)))</f>
        <v>Female</v>
      </c>
      <c r="G79" s="20" t="str">
        <f>IF(ISBLANK($E79),"",INDEX(Sheet1!$A:$J,MATCH(Index_Match!$E79,Sheet1!$A:$A,0),MATCH(Index_Match!G$1,Sheet1!$A$1:$J$1,0)))</f>
        <v>Singer</v>
      </c>
      <c r="H79" s="20" t="str">
        <f>IF(ISBLANK($E79),"",INDEX(Sheet1!$A:$J,MATCH(Index_Match!$E79,Sheet1!$A:$A,0),MATCH(Index_Match!H$1,Sheet1!$A$1:$J$1,0)))</f>
        <v>Married</v>
      </c>
      <c r="I79" s="23">
        <f>IF(ISBLANK($E79),"",INDEX(Sheet1!$A:$J,MATCH(Index_Match!$E79,Sheet1!$A:$A,0),MATCH(Index_Match!I$1,Sheet1!$A$1:$J$1,0)))</f>
        <v>5</v>
      </c>
      <c r="J79" s="20" t="str">
        <f>IF(ISBLANK($E79),"",INDEX(Sheet1!$A:$J,MATCH(Index_Match!$E79,Sheet1!$A:$A,0),MATCH(Index_Match!J$1,Sheet1!$A$1:$J$1,0)))</f>
        <v>Cherry Anderson</v>
      </c>
      <c r="K79" s="23">
        <f>IF(ISBLANK($E79),"",INDEX(Sheet1!$A:$J,MATCH(Index_Match!$E79,Sheet1!$A:$A,0),MATCH(Index_Match!K$1,Sheet1!$A$1:$J$1,0)))</f>
        <v>5</v>
      </c>
      <c r="L79" s="20" t="str">
        <f>IF(ISBLANK($E79),"",INDEX(Sheet1!$A:$J,MATCH(Index_Match!$E79,Sheet1!$A:$A,0),MATCH(Index_Match!L$1,Sheet1!$A$1:$J$1,0)))</f>
        <v>Anderson</v>
      </c>
      <c r="M79" s="20" t="str">
        <f>IF(ISBLANK($E79),"",INDEX(Sheet1!$A:$J,MATCH(Index_Match!$E79,Sheet1!$A:$A,0),MATCH(Index_Match!M$1,Sheet1!$A$1:$J$1,0)))</f>
        <v>Middle Age</v>
      </c>
    </row>
    <row r="80" spans="2:13" x14ac:dyDescent="0.25">
      <c r="B80" s="20"/>
      <c r="C80" s="20"/>
      <c r="D80" s="20"/>
      <c r="E80" s="20" t="str">
        <v>Maria</v>
      </c>
      <c r="F80" s="20" t="str">
        <f>IF(ISBLANK($E80),"",INDEX(Sheet1!$A:$J,MATCH(Index_Match!$E80,Sheet1!$A:$A,0),MATCH(Index_Match!F$1,Sheet1!$A$1:$J$1,0)))</f>
        <v>Female</v>
      </c>
      <c r="G80" s="20" t="str">
        <f>IF(ISBLANK($E80),"",INDEX(Sheet1!$A:$J,MATCH(Index_Match!$E80,Sheet1!$A:$A,0),MATCH(Index_Match!G$1,Sheet1!$A$1:$J$1,0)))</f>
        <v>Engineer</v>
      </c>
      <c r="H80" s="20" t="str">
        <f>IF(ISBLANK($E80),"",INDEX(Sheet1!$A:$J,MATCH(Index_Match!$E80,Sheet1!$A:$A,0),MATCH(Index_Match!H$1,Sheet1!$A$1:$J$1,0)))</f>
        <v>Married</v>
      </c>
      <c r="I80" s="23">
        <f>IF(ISBLANK($E80),"",INDEX(Sheet1!$A:$J,MATCH(Index_Match!$E80,Sheet1!$A:$A,0),MATCH(Index_Match!I$1,Sheet1!$A$1:$J$1,0)))</f>
        <v>3</v>
      </c>
      <c r="J80" s="20" t="str">
        <f>IF(ISBLANK($E80),"",INDEX(Sheet1!$A:$J,MATCH(Index_Match!$E80,Sheet1!$A:$A,0),MATCH(Index_Match!J$1,Sheet1!$A$1:$J$1,0)))</f>
        <v>Maria Andrews</v>
      </c>
      <c r="K80" s="23">
        <f>IF(ISBLANK($E80),"",INDEX(Sheet1!$A:$J,MATCH(Index_Match!$E80,Sheet1!$A:$A,0),MATCH(Index_Match!K$1,Sheet1!$A$1:$J$1,0)))</f>
        <v>3</v>
      </c>
      <c r="L80" s="20" t="str">
        <f>IF(ISBLANK($E80),"",INDEX(Sheet1!$A:$J,MATCH(Index_Match!$E80,Sheet1!$A:$A,0),MATCH(Index_Match!L$1,Sheet1!$A$1:$J$1,0)))</f>
        <v>Andrews</v>
      </c>
      <c r="M80" s="20" t="str">
        <f>IF(ISBLANK($E80),"",INDEX(Sheet1!$A:$J,MATCH(Index_Match!$E80,Sheet1!$A:$A,0),MATCH(Index_Match!M$1,Sheet1!$A$1:$J$1,0)))</f>
        <v>Middle Age</v>
      </c>
    </row>
    <row r="81" spans="2:13" x14ac:dyDescent="0.25">
      <c r="B81" s="20"/>
      <c r="C81" s="20"/>
      <c r="D81" s="20"/>
      <c r="E81" s="20" t="str">
        <v>Catherine</v>
      </c>
      <c r="F81" s="20" t="str">
        <f>IF(ISBLANK($E81),"",INDEX(Sheet1!$A:$J,MATCH(Index_Match!$E81,Sheet1!$A:$A,0),MATCH(Index_Match!F$1,Sheet1!$A$1:$J$1,0)))</f>
        <v>Female</v>
      </c>
      <c r="G81" s="20" t="str">
        <f>IF(ISBLANK($E81),"",INDEX(Sheet1!$A:$J,MATCH(Index_Match!$E81,Sheet1!$A:$A,0),MATCH(Index_Match!G$1,Sheet1!$A$1:$J$1,0)))</f>
        <v>Jeweller</v>
      </c>
      <c r="H81" s="20" t="str">
        <f>IF(ISBLANK($E81),"",INDEX(Sheet1!$A:$J,MATCH(Index_Match!$E81,Sheet1!$A:$A,0),MATCH(Index_Match!H$1,Sheet1!$A$1:$J$1,0)))</f>
        <v>Single</v>
      </c>
      <c r="I81" s="23">
        <f>IF(ISBLANK($E81),"",INDEX(Sheet1!$A:$J,MATCH(Index_Match!$E81,Sheet1!$A:$A,0),MATCH(Index_Match!I$1,Sheet1!$A$1:$J$1,0)))</f>
        <v>3</v>
      </c>
      <c r="J81" s="20" t="str">
        <f>IF(ISBLANK($E81),"",INDEX(Sheet1!$A:$J,MATCH(Index_Match!$E81,Sheet1!$A:$A,0),MATCH(Index_Match!J$1,Sheet1!$A$1:$J$1,0)))</f>
        <v>Catherine Sullivan</v>
      </c>
      <c r="K81" s="23">
        <f>IF(ISBLANK($E81),"",INDEX(Sheet1!$A:$J,MATCH(Index_Match!$E81,Sheet1!$A:$A,0),MATCH(Index_Match!K$1,Sheet1!$A$1:$J$1,0)))</f>
        <v>3</v>
      </c>
      <c r="L81" s="20" t="str">
        <f>IF(ISBLANK($E81),"",INDEX(Sheet1!$A:$J,MATCH(Index_Match!$E81,Sheet1!$A:$A,0),MATCH(Index_Match!L$1,Sheet1!$A$1:$J$1,0)))</f>
        <v>Sullivan</v>
      </c>
      <c r="M81" s="20" t="str">
        <f>IF(ISBLANK($E81),"",INDEX(Sheet1!$A:$J,MATCH(Index_Match!$E81,Sheet1!$A:$A,0),MATCH(Index_Match!M$1,Sheet1!$A$1:$J$1,0)))</f>
        <v>Young</v>
      </c>
    </row>
    <row r="82" spans="2:13" x14ac:dyDescent="0.25">
      <c r="B82" s="20"/>
      <c r="C82" s="20"/>
      <c r="D82" s="20"/>
      <c r="E82" s="20" t="str">
        <v>Vivian</v>
      </c>
      <c r="F82" s="20" t="str">
        <f>IF(ISBLANK($E82),"",INDEX(Sheet1!$A:$J,MATCH(Index_Match!$E82,Sheet1!$A:$A,0),MATCH(Index_Match!F$1,Sheet1!$A$1:$J$1,0)))</f>
        <v>Female</v>
      </c>
      <c r="G82" s="20" t="str">
        <f>IF(ISBLANK($E82),"",INDEX(Sheet1!$A:$J,MATCH(Index_Match!$E82,Sheet1!$A:$A,0),MATCH(Index_Match!G$1,Sheet1!$A$1:$J$1,0)))</f>
        <v>Fine Artist</v>
      </c>
      <c r="H82" s="20" t="str">
        <f>IF(ISBLANK($E82),"",INDEX(Sheet1!$A:$J,MATCH(Index_Match!$E82,Sheet1!$A:$A,0),MATCH(Index_Match!H$1,Sheet1!$A$1:$J$1,0)))</f>
        <v>Married</v>
      </c>
      <c r="I82" s="23">
        <f>IF(ISBLANK($E82),"",INDEX(Sheet1!$A:$J,MATCH(Index_Match!$E82,Sheet1!$A:$A,0),MATCH(Index_Match!I$1,Sheet1!$A$1:$J$1,0)))</f>
        <v>5</v>
      </c>
      <c r="J82" s="20" t="str">
        <f>IF(ISBLANK($E82),"",INDEX(Sheet1!$A:$J,MATCH(Index_Match!$E82,Sheet1!$A:$A,0),MATCH(Index_Match!J$1,Sheet1!$A$1:$J$1,0)))</f>
        <v>Vivian Edwards</v>
      </c>
      <c r="K82" s="23">
        <f>IF(ISBLANK($E82),"",INDEX(Sheet1!$A:$J,MATCH(Index_Match!$E82,Sheet1!$A:$A,0),MATCH(Index_Match!K$1,Sheet1!$A$1:$J$1,0)))</f>
        <v>5</v>
      </c>
      <c r="L82" s="20" t="str">
        <f>IF(ISBLANK($E82),"",INDEX(Sheet1!$A:$J,MATCH(Index_Match!$E82,Sheet1!$A:$A,0),MATCH(Index_Match!L$1,Sheet1!$A$1:$J$1,0)))</f>
        <v>Edwards</v>
      </c>
      <c r="M82" s="20" t="str">
        <f>IF(ISBLANK($E82),"",INDEX(Sheet1!$A:$J,MATCH(Index_Match!$E82,Sheet1!$A:$A,0),MATCH(Index_Match!M$1,Sheet1!$A$1:$J$1,0)))</f>
        <v>Middle Age</v>
      </c>
    </row>
    <row r="83" spans="2:13" x14ac:dyDescent="0.25">
      <c r="B83" s="20"/>
      <c r="C83" s="20"/>
      <c r="D83" s="20"/>
      <c r="E83" s="20" t="str">
        <v>Lilianna</v>
      </c>
      <c r="F83" s="20" t="str">
        <f>IF(ISBLANK($E83),"",INDEX(Sheet1!$A:$J,MATCH(Index_Match!$E83,Sheet1!$A:$A,0),MATCH(Index_Match!F$1,Sheet1!$A$1:$J$1,0)))</f>
        <v>Female</v>
      </c>
      <c r="G83" s="20" t="str">
        <f>IF(ISBLANK($E83),"",INDEX(Sheet1!$A:$J,MATCH(Index_Match!$E83,Sheet1!$A:$A,0),MATCH(Index_Match!G$1,Sheet1!$A$1:$J$1,0)))</f>
        <v>Veterinarian</v>
      </c>
      <c r="H83" s="20" t="str">
        <f>IF(ISBLANK($E83),"",INDEX(Sheet1!$A:$J,MATCH(Index_Match!$E83,Sheet1!$A:$A,0),MATCH(Index_Match!H$1,Sheet1!$A$1:$J$1,0)))</f>
        <v>Married</v>
      </c>
      <c r="I83" s="23">
        <f>IF(ISBLANK($E83),"",INDEX(Sheet1!$A:$J,MATCH(Index_Match!$E83,Sheet1!$A:$A,0),MATCH(Index_Match!I$1,Sheet1!$A$1:$J$1,0)))</f>
        <v>4</v>
      </c>
      <c r="J83" s="20" t="str">
        <f>IF(ISBLANK($E83),"",INDEX(Sheet1!$A:$J,MATCH(Index_Match!$E83,Sheet1!$A:$A,0),MATCH(Index_Match!J$1,Sheet1!$A$1:$J$1,0)))</f>
        <v>Lilianna Morrison</v>
      </c>
      <c r="K83" s="23">
        <f>IF(ISBLANK($E83),"",INDEX(Sheet1!$A:$J,MATCH(Index_Match!$E83,Sheet1!$A:$A,0),MATCH(Index_Match!K$1,Sheet1!$A$1:$J$1,0)))</f>
        <v>4</v>
      </c>
      <c r="L83" s="20" t="str">
        <f>IF(ISBLANK($E83),"",INDEX(Sheet1!$A:$J,MATCH(Index_Match!$E83,Sheet1!$A:$A,0),MATCH(Index_Match!L$1,Sheet1!$A$1:$J$1,0)))</f>
        <v>Morrison</v>
      </c>
      <c r="M83" s="20" t="str">
        <f>IF(ISBLANK($E83),"",INDEX(Sheet1!$A:$J,MATCH(Index_Match!$E83,Sheet1!$A:$A,0),MATCH(Index_Match!M$1,Sheet1!$A$1:$J$1,0)))</f>
        <v>Old</v>
      </c>
    </row>
    <row r="84" spans="2:13" x14ac:dyDescent="0.25">
      <c r="B84" s="20"/>
      <c r="C84" s="20"/>
      <c r="D84" s="20"/>
      <c r="E84" s="20" t="str">
        <v>Tiana</v>
      </c>
      <c r="F84" s="20" t="str">
        <f>IF(ISBLANK($E84),"",INDEX(Sheet1!$A:$J,MATCH(Index_Match!$E84,Sheet1!$A:$A,0),MATCH(Index_Match!F$1,Sheet1!$A$1:$J$1,0)))</f>
        <v>Female</v>
      </c>
      <c r="G84" s="20" t="str">
        <f>IF(ISBLANK($E84),"",INDEX(Sheet1!$A:$J,MATCH(Index_Match!$E84,Sheet1!$A:$A,0),MATCH(Index_Match!G$1,Sheet1!$A$1:$J$1,0)))</f>
        <v>Composer</v>
      </c>
      <c r="H84" s="20" t="str">
        <f>IF(ISBLANK($E84),"",INDEX(Sheet1!$A:$J,MATCH(Index_Match!$E84,Sheet1!$A:$A,0),MATCH(Index_Match!H$1,Sheet1!$A$1:$J$1,0)))</f>
        <v>Single</v>
      </c>
      <c r="I84" s="23">
        <f>IF(ISBLANK($E84),"",INDEX(Sheet1!$A:$J,MATCH(Index_Match!$E84,Sheet1!$A:$A,0),MATCH(Index_Match!I$1,Sheet1!$A$1:$J$1,0)))</f>
        <v>4</v>
      </c>
      <c r="J84" s="20" t="str">
        <f>IF(ISBLANK($E84),"",INDEX(Sheet1!$A:$J,MATCH(Index_Match!$E84,Sheet1!$A:$A,0),MATCH(Index_Match!J$1,Sheet1!$A$1:$J$1,0)))</f>
        <v>Tiana Wright</v>
      </c>
      <c r="K84" s="23">
        <f>IF(ISBLANK($E84),"",INDEX(Sheet1!$A:$J,MATCH(Index_Match!$E84,Sheet1!$A:$A,0),MATCH(Index_Match!K$1,Sheet1!$A$1:$J$1,0)))</f>
        <v>4</v>
      </c>
      <c r="L84" s="20" t="str">
        <f>IF(ISBLANK($E84),"",INDEX(Sheet1!$A:$J,MATCH(Index_Match!$E84,Sheet1!$A:$A,0),MATCH(Index_Match!L$1,Sheet1!$A$1:$J$1,0)))</f>
        <v>Wright</v>
      </c>
      <c r="M84" s="20" t="str">
        <f>IF(ISBLANK($E84),"",INDEX(Sheet1!$A:$J,MATCH(Index_Match!$E84,Sheet1!$A:$A,0),MATCH(Index_Match!M$1,Sheet1!$A$1:$J$1,0)))</f>
        <v>Old</v>
      </c>
    </row>
    <row r="85" spans="2:13" x14ac:dyDescent="0.25">
      <c r="B85" s="20"/>
      <c r="C85" s="20"/>
      <c r="D85" s="20"/>
      <c r="E85" s="20" t="str">
        <v>Deanna</v>
      </c>
      <c r="F85" s="20" t="str">
        <f>IF(ISBLANK($E85),"",INDEX(Sheet1!$A:$J,MATCH(Index_Match!$E85,Sheet1!$A:$A,0),MATCH(Index_Match!F$1,Sheet1!$A$1:$J$1,0)))</f>
        <v>Female</v>
      </c>
      <c r="G85" s="20" t="str">
        <f>IF(ISBLANK($E85),"",INDEX(Sheet1!$A:$J,MATCH(Index_Match!$E85,Sheet1!$A:$A,0),MATCH(Index_Match!G$1,Sheet1!$A$1:$J$1,0)))</f>
        <v>Actor</v>
      </c>
      <c r="H85" s="20" t="str">
        <f>IF(ISBLANK($E85),"",INDEX(Sheet1!$A:$J,MATCH(Index_Match!$E85,Sheet1!$A:$A,0),MATCH(Index_Match!H$1,Sheet1!$A$1:$J$1,0)))</f>
        <v>Single</v>
      </c>
      <c r="I85" s="23">
        <f>IF(ISBLANK($E85),"",INDEX(Sheet1!$A:$J,MATCH(Index_Match!$E85,Sheet1!$A:$A,0),MATCH(Index_Match!I$1,Sheet1!$A$1:$J$1,0)))</f>
        <v>5</v>
      </c>
      <c r="J85" s="20" t="str">
        <f>IF(ISBLANK($E85),"",INDEX(Sheet1!$A:$J,MATCH(Index_Match!$E85,Sheet1!$A:$A,0),MATCH(Index_Match!J$1,Sheet1!$A$1:$J$1,0)))</f>
        <v>Deanna Spencer</v>
      </c>
      <c r="K85" s="23">
        <f>IF(ISBLANK($E85),"",INDEX(Sheet1!$A:$J,MATCH(Index_Match!$E85,Sheet1!$A:$A,0),MATCH(Index_Match!K$1,Sheet1!$A$1:$J$1,0)))</f>
        <v>5</v>
      </c>
      <c r="L85" s="20" t="str">
        <f>IF(ISBLANK($E85),"",INDEX(Sheet1!$A:$J,MATCH(Index_Match!$E85,Sheet1!$A:$A,0),MATCH(Index_Match!L$1,Sheet1!$A$1:$J$1,0)))</f>
        <v>Spencer</v>
      </c>
      <c r="M85" s="20" t="str">
        <f>IF(ISBLANK($E85),"",INDEX(Sheet1!$A:$J,MATCH(Index_Match!$E85,Sheet1!$A:$A,0),MATCH(Index_Match!M$1,Sheet1!$A$1:$J$1,0)))</f>
        <v>Old</v>
      </c>
    </row>
    <row r="86" spans="2:13" x14ac:dyDescent="0.25">
      <c r="B86" s="20"/>
      <c r="C86" s="20"/>
      <c r="D86" s="20"/>
      <c r="E86" s="20" t="str">
        <v>Tiana</v>
      </c>
      <c r="F86" s="20" t="str">
        <f>IF(ISBLANK($E86),"",INDEX(Sheet1!$A:$J,MATCH(Index_Match!$E86,Sheet1!$A:$A,0),MATCH(Index_Match!F$1,Sheet1!$A$1:$J$1,0)))</f>
        <v>Female</v>
      </c>
      <c r="G86" s="20" t="str">
        <f>IF(ISBLANK($E86),"",INDEX(Sheet1!$A:$J,MATCH(Index_Match!$E86,Sheet1!$A:$A,0),MATCH(Index_Match!G$1,Sheet1!$A$1:$J$1,0)))</f>
        <v>Composer</v>
      </c>
      <c r="H86" s="20" t="str">
        <f>IF(ISBLANK($E86),"",INDEX(Sheet1!$A:$J,MATCH(Index_Match!$E86,Sheet1!$A:$A,0),MATCH(Index_Match!H$1,Sheet1!$A$1:$J$1,0)))</f>
        <v>Single</v>
      </c>
      <c r="I86" s="23">
        <f>IF(ISBLANK($E86),"",INDEX(Sheet1!$A:$J,MATCH(Index_Match!$E86,Sheet1!$A:$A,0),MATCH(Index_Match!I$1,Sheet1!$A$1:$J$1,0)))</f>
        <v>4</v>
      </c>
      <c r="J86" s="20" t="str">
        <f>IF(ISBLANK($E86),"",INDEX(Sheet1!$A:$J,MATCH(Index_Match!$E86,Sheet1!$A:$A,0),MATCH(Index_Match!J$1,Sheet1!$A$1:$J$1,0)))</f>
        <v>Tiana Wright</v>
      </c>
      <c r="K86" s="23">
        <f>IF(ISBLANK($E86),"",INDEX(Sheet1!$A:$J,MATCH(Index_Match!$E86,Sheet1!$A:$A,0),MATCH(Index_Match!K$1,Sheet1!$A$1:$J$1,0)))</f>
        <v>4</v>
      </c>
      <c r="L86" s="20" t="str">
        <f>IF(ISBLANK($E86),"",INDEX(Sheet1!$A:$J,MATCH(Index_Match!$E86,Sheet1!$A:$A,0),MATCH(Index_Match!L$1,Sheet1!$A$1:$J$1,0)))</f>
        <v>Wright</v>
      </c>
      <c r="M86" s="20" t="str">
        <f>IF(ISBLANK($E86),"",INDEX(Sheet1!$A:$J,MATCH(Index_Match!$E86,Sheet1!$A:$A,0),MATCH(Index_Match!M$1,Sheet1!$A$1:$J$1,0)))</f>
        <v>Old</v>
      </c>
    </row>
    <row r="87" spans="2:13" x14ac:dyDescent="0.25">
      <c r="B87" s="20"/>
      <c r="C87" s="20"/>
      <c r="D87" s="20"/>
      <c r="E87" s="20" t="str">
        <v>Rebecca</v>
      </c>
      <c r="F87" s="20" t="str">
        <f>IF(ISBLANK($E87),"",INDEX(Sheet1!$A:$J,MATCH(Index_Match!$E87,Sheet1!$A:$A,0),MATCH(Index_Match!F$1,Sheet1!$A$1:$J$1,0)))</f>
        <v>Female</v>
      </c>
      <c r="G87" s="20" t="str">
        <f>IF(ISBLANK($E87),"",INDEX(Sheet1!$A:$J,MATCH(Index_Match!$E87,Sheet1!$A:$A,0),MATCH(Index_Match!G$1,Sheet1!$A$1:$J$1,0)))</f>
        <v>Jeweller</v>
      </c>
      <c r="H87" s="20" t="str">
        <f>IF(ISBLANK($E87),"",INDEX(Sheet1!$A:$J,MATCH(Index_Match!$E87,Sheet1!$A:$A,0),MATCH(Index_Match!H$1,Sheet1!$A$1:$J$1,0)))</f>
        <v>Married</v>
      </c>
      <c r="I87" s="23">
        <f>IF(ISBLANK($E87),"",INDEX(Sheet1!$A:$J,MATCH(Index_Match!$E87,Sheet1!$A:$A,0),MATCH(Index_Match!I$1,Sheet1!$A$1:$J$1,0)))</f>
        <v>0</v>
      </c>
      <c r="J87" s="20" t="str">
        <f>IF(ISBLANK($E87),"",INDEX(Sheet1!$A:$J,MATCH(Index_Match!$E87,Sheet1!$A:$A,0),MATCH(Index_Match!J$1,Sheet1!$A$1:$J$1,0)))</f>
        <v>Rebecca Martin</v>
      </c>
      <c r="K87" s="23">
        <f>IF(ISBLANK($E87),"",INDEX(Sheet1!$A:$J,MATCH(Index_Match!$E87,Sheet1!$A:$A,0),MATCH(Index_Match!K$1,Sheet1!$A$1:$J$1,0)))</f>
        <v>0</v>
      </c>
      <c r="L87" s="20" t="str">
        <f>IF(ISBLANK($E87),"",INDEX(Sheet1!$A:$J,MATCH(Index_Match!$E87,Sheet1!$A:$A,0),MATCH(Index_Match!L$1,Sheet1!$A$1:$J$1,0)))</f>
        <v>Martin</v>
      </c>
      <c r="M87" s="20" t="str">
        <f>IF(ISBLANK($E87),"",INDEX(Sheet1!$A:$J,MATCH(Index_Match!$E87,Sheet1!$A:$A,0),MATCH(Index_Match!M$1,Sheet1!$A$1:$J$1,0)))</f>
        <v>Middle Age</v>
      </c>
    </row>
    <row r="88" spans="2:13" x14ac:dyDescent="0.25">
      <c r="B88" s="20"/>
      <c r="C88" s="20"/>
      <c r="D88" s="20"/>
      <c r="E88" s="20" t="str">
        <v>Adelaide</v>
      </c>
      <c r="F88" s="20" t="str">
        <f>IF(ISBLANK($E88),"",INDEX(Sheet1!$A:$J,MATCH(Index_Match!$E88,Sheet1!$A:$A,0),MATCH(Index_Match!F$1,Sheet1!$A$1:$J$1,0)))</f>
        <v>Female</v>
      </c>
      <c r="G88" s="20" t="str">
        <f>IF(ISBLANK($E88),"",INDEX(Sheet1!$A:$J,MATCH(Index_Match!$E88,Sheet1!$A:$A,0),MATCH(Index_Match!G$1,Sheet1!$A$1:$J$1,0)))</f>
        <v>Producer</v>
      </c>
      <c r="H88" s="20" t="str">
        <f>IF(ISBLANK($E88),"",INDEX(Sheet1!$A:$J,MATCH(Index_Match!$E88,Sheet1!$A:$A,0),MATCH(Index_Match!H$1,Sheet1!$A$1:$J$1,0)))</f>
        <v>Single</v>
      </c>
      <c r="I88" s="23">
        <f>IF(ISBLANK($E88),"",INDEX(Sheet1!$A:$J,MATCH(Index_Match!$E88,Sheet1!$A:$A,0),MATCH(Index_Match!I$1,Sheet1!$A$1:$J$1,0)))</f>
        <v>3</v>
      </c>
      <c r="J88" s="20" t="str">
        <f>IF(ISBLANK($E88),"",INDEX(Sheet1!$A:$J,MATCH(Index_Match!$E88,Sheet1!$A:$A,0),MATCH(Index_Match!J$1,Sheet1!$A$1:$J$1,0)))</f>
        <v>Adelaide Farrell</v>
      </c>
      <c r="K88" s="23">
        <f>IF(ISBLANK($E88),"",INDEX(Sheet1!$A:$J,MATCH(Index_Match!$E88,Sheet1!$A:$A,0),MATCH(Index_Match!K$1,Sheet1!$A$1:$J$1,0)))</f>
        <v>3</v>
      </c>
      <c r="L88" s="20" t="str">
        <f>IF(ISBLANK($E88),"",INDEX(Sheet1!$A:$J,MATCH(Index_Match!$E88,Sheet1!$A:$A,0),MATCH(Index_Match!L$1,Sheet1!$A$1:$J$1,0)))</f>
        <v>Farrell</v>
      </c>
      <c r="M88" s="20" t="str">
        <f>IF(ISBLANK($E88),"",INDEX(Sheet1!$A:$J,MATCH(Index_Match!$E88,Sheet1!$A:$A,0),MATCH(Index_Match!M$1,Sheet1!$A$1:$J$1,0)))</f>
        <v>Middle Age</v>
      </c>
    </row>
    <row r="89" spans="2:13" x14ac:dyDescent="0.25">
      <c r="B89" s="20"/>
      <c r="C89" s="20"/>
      <c r="D89" s="20"/>
      <c r="E89" s="20" t="str">
        <v>Honey</v>
      </c>
      <c r="F89" s="20" t="str">
        <f>IF(ISBLANK($E89),"",INDEX(Sheet1!$A:$J,MATCH(Index_Match!$E89,Sheet1!$A:$A,0),MATCH(Index_Match!F$1,Sheet1!$A$1:$J$1,0)))</f>
        <v>Female</v>
      </c>
      <c r="G89" s="20" t="str">
        <f>IF(ISBLANK($E89),"",INDEX(Sheet1!$A:$J,MATCH(Index_Match!$E89,Sheet1!$A:$A,0),MATCH(Index_Match!G$1,Sheet1!$A$1:$J$1,0)))</f>
        <v>Photographer</v>
      </c>
      <c r="H89" s="20" t="str">
        <f>IF(ISBLANK($E89),"",INDEX(Sheet1!$A:$J,MATCH(Index_Match!$E89,Sheet1!$A:$A,0),MATCH(Index_Match!H$1,Sheet1!$A$1:$J$1,0)))</f>
        <v>Single</v>
      </c>
      <c r="I89" s="23">
        <f>IF(ISBLANK($E89),"",INDEX(Sheet1!$A:$J,MATCH(Index_Match!$E89,Sheet1!$A:$A,0),MATCH(Index_Match!I$1,Sheet1!$A$1:$J$1,0)))</f>
        <v>5</v>
      </c>
      <c r="J89" s="20" t="str">
        <f>IF(ISBLANK($E89),"",INDEX(Sheet1!$A:$J,MATCH(Index_Match!$E89,Sheet1!$A:$A,0),MATCH(Index_Match!J$1,Sheet1!$A$1:$J$1,0)))</f>
        <v>Honey Turner</v>
      </c>
      <c r="K89" s="23">
        <f>IF(ISBLANK($E89),"",INDEX(Sheet1!$A:$J,MATCH(Index_Match!$E89,Sheet1!$A:$A,0),MATCH(Index_Match!K$1,Sheet1!$A$1:$J$1,0)))</f>
        <v>5</v>
      </c>
      <c r="L89" s="20" t="str">
        <f>IF(ISBLANK($E89),"",INDEX(Sheet1!$A:$J,MATCH(Index_Match!$E89,Sheet1!$A:$A,0),MATCH(Index_Match!L$1,Sheet1!$A$1:$J$1,0)))</f>
        <v>Turner</v>
      </c>
      <c r="M89" s="20" t="str">
        <f>IF(ISBLANK($E89),"",INDEX(Sheet1!$A:$J,MATCH(Index_Match!$E89,Sheet1!$A:$A,0),MATCH(Index_Match!M$1,Sheet1!$A$1:$J$1,0)))</f>
        <v>Old</v>
      </c>
    </row>
    <row r="90" spans="2:13" x14ac:dyDescent="0.25">
      <c r="B90" s="20"/>
      <c r="C90" s="20"/>
      <c r="D90" s="20"/>
      <c r="E90" s="20" t="str">
        <v>Vanessa</v>
      </c>
      <c r="F90" s="20" t="str">
        <f>IF(ISBLANK($E90),"",INDEX(Sheet1!$A:$J,MATCH(Index_Match!$E90,Sheet1!$A:$A,0),MATCH(Index_Match!F$1,Sheet1!$A$1:$J$1,0)))</f>
        <v>Female</v>
      </c>
      <c r="G90" s="20" t="str">
        <f>IF(ISBLANK($E90),"",INDEX(Sheet1!$A:$J,MATCH(Index_Match!$E90,Sheet1!$A:$A,0),MATCH(Index_Match!G$1,Sheet1!$A$1:$J$1,0)))</f>
        <v>Lawyer</v>
      </c>
      <c r="H90" s="20" t="str">
        <f>IF(ISBLANK($E90),"",INDEX(Sheet1!$A:$J,MATCH(Index_Match!$E90,Sheet1!$A:$A,0),MATCH(Index_Match!H$1,Sheet1!$A$1:$J$1,0)))</f>
        <v>Married</v>
      </c>
      <c r="I90" s="23">
        <f>IF(ISBLANK($E90),"",INDEX(Sheet1!$A:$J,MATCH(Index_Match!$E90,Sheet1!$A:$A,0),MATCH(Index_Match!I$1,Sheet1!$A$1:$J$1,0)))</f>
        <v>2</v>
      </c>
      <c r="J90" s="20" t="str">
        <f>IF(ISBLANK($E90),"",INDEX(Sheet1!$A:$J,MATCH(Index_Match!$E90,Sheet1!$A:$A,0),MATCH(Index_Match!J$1,Sheet1!$A$1:$J$1,0)))</f>
        <v>Vanessa Farrell</v>
      </c>
      <c r="K90" s="23">
        <f>IF(ISBLANK($E90),"",INDEX(Sheet1!$A:$J,MATCH(Index_Match!$E90,Sheet1!$A:$A,0),MATCH(Index_Match!K$1,Sheet1!$A$1:$J$1,0)))</f>
        <v>2</v>
      </c>
      <c r="L90" s="20" t="str">
        <f>IF(ISBLANK($E90),"",INDEX(Sheet1!$A:$J,MATCH(Index_Match!$E90,Sheet1!$A:$A,0),MATCH(Index_Match!L$1,Sheet1!$A$1:$J$1,0)))</f>
        <v>Farrell</v>
      </c>
      <c r="M90" s="20" t="str">
        <f>IF(ISBLANK($E90),"",INDEX(Sheet1!$A:$J,MATCH(Index_Match!$E90,Sheet1!$A:$A,0),MATCH(Index_Match!M$1,Sheet1!$A$1:$J$1,0)))</f>
        <v>Young</v>
      </c>
    </row>
    <row r="91" spans="2:13" x14ac:dyDescent="0.25">
      <c r="B91" s="20"/>
      <c r="C91" s="20"/>
      <c r="D91" s="20"/>
      <c r="E91" s="20" t="str">
        <v>Audrey</v>
      </c>
      <c r="F91" s="20" t="str">
        <f>IF(ISBLANK($E91),"",INDEX(Sheet1!$A:$J,MATCH(Index_Match!$E91,Sheet1!$A:$A,0),MATCH(Index_Match!F$1,Sheet1!$A$1:$J$1,0)))</f>
        <v>Female</v>
      </c>
      <c r="G91" s="20" t="str">
        <f>IF(ISBLANK($E91),"",INDEX(Sheet1!$A:$J,MATCH(Index_Match!$E91,Sheet1!$A:$A,0),MATCH(Index_Match!G$1,Sheet1!$A$1:$J$1,0)))</f>
        <v>Florist</v>
      </c>
      <c r="H91" s="20" t="str">
        <f>IF(ISBLANK($E91),"",INDEX(Sheet1!$A:$J,MATCH(Index_Match!$E91,Sheet1!$A:$A,0),MATCH(Index_Match!H$1,Sheet1!$A$1:$J$1,0)))</f>
        <v>Married</v>
      </c>
      <c r="I91" s="23">
        <f>IF(ISBLANK($E91),"",INDEX(Sheet1!$A:$J,MATCH(Index_Match!$E91,Sheet1!$A:$A,0),MATCH(Index_Match!I$1,Sheet1!$A$1:$J$1,0)))</f>
        <v>2</v>
      </c>
      <c r="J91" s="20" t="str">
        <f>IF(ISBLANK($E91),"",INDEX(Sheet1!$A:$J,MATCH(Index_Match!$E91,Sheet1!$A:$A,0),MATCH(Index_Match!J$1,Sheet1!$A$1:$J$1,0)))</f>
        <v>Audrey Watson</v>
      </c>
      <c r="K91" s="23">
        <f>IF(ISBLANK($E91),"",INDEX(Sheet1!$A:$J,MATCH(Index_Match!$E91,Sheet1!$A:$A,0),MATCH(Index_Match!K$1,Sheet1!$A$1:$J$1,0)))</f>
        <v>2</v>
      </c>
      <c r="L91" s="20" t="str">
        <f>IF(ISBLANK($E91),"",INDEX(Sheet1!$A:$J,MATCH(Index_Match!$E91,Sheet1!$A:$A,0),MATCH(Index_Match!L$1,Sheet1!$A$1:$J$1,0)))</f>
        <v>Watson</v>
      </c>
      <c r="M91" s="20" t="str">
        <f>IF(ISBLANK($E91),"",INDEX(Sheet1!$A:$J,MATCH(Index_Match!$E91,Sheet1!$A:$A,0),MATCH(Index_Match!M$1,Sheet1!$A$1:$J$1,0)))</f>
        <v>Old</v>
      </c>
    </row>
    <row r="92" spans="2:13" x14ac:dyDescent="0.25">
      <c r="B92" s="20"/>
      <c r="C92" s="20"/>
      <c r="D92" s="20"/>
      <c r="E92" s="20" t="str">
        <v>Lily</v>
      </c>
      <c r="F92" s="20" t="str">
        <f>IF(ISBLANK($E92),"",INDEX(Sheet1!$A:$J,MATCH(Index_Match!$E92,Sheet1!$A:$A,0),MATCH(Index_Match!F$1,Sheet1!$A$1:$J$1,0)))</f>
        <v>Female</v>
      </c>
      <c r="G92" s="20" t="str">
        <f>IF(ISBLANK($E92),"",INDEX(Sheet1!$A:$J,MATCH(Index_Match!$E92,Sheet1!$A:$A,0),MATCH(Index_Match!G$1,Sheet1!$A$1:$J$1,0)))</f>
        <v>Actor</v>
      </c>
      <c r="H92" s="20" t="str">
        <f>IF(ISBLANK($E92),"",INDEX(Sheet1!$A:$J,MATCH(Index_Match!$E92,Sheet1!$A:$A,0),MATCH(Index_Match!H$1,Sheet1!$A$1:$J$1,0)))</f>
        <v>Single</v>
      </c>
      <c r="I92" s="23">
        <f>IF(ISBLANK($E92),"",INDEX(Sheet1!$A:$J,MATCH(Index_Match!$E92,Sheet1!$A:$A,0),MATCH(Index_Match!I$1,Sheet1!$A$1:$J$1,0)))</f>
        <v>5</v>
      </c>
      <c r="J92" s="20" t="str">
        <f>IF(ISBLANK($E92),"",INDEX(Sheet1!$A:$J,MATCH(Index_Match!$E92,Sheet1!$A:$A,0),MATCH(Index_Match!J$1,Sheet1!$A$1:$J$1,0)))</f>
        <v>Lily Henderson</v>
      </c>
      <c r="K92" s="23">
        <f>IF(ISBLANK($E92),"",INDEX(Sheet1!$A:$J,MATCH(Index_Match!$E92,Sheet1!$A:$A,0),MATCH(Index_Match!K$1,Sheet1!$A$1:$J$1,0)))</f>
        <v>5</v>
      </c>
      <c r="L92" s="20" t="str">
        <f>IF(ISBLANK($E92),"",INDEX(Sheet1!$A:$J,MATCH(Index_Match!$E92,Sheet1!$A:$A,0),MATCH(Index_Match!L$1,Sheet1!$A$1:$J$1,0)))</f>
        <v>Henderson</v>
      </c>
      <c r="M92" s="20" t="str">
        <f>IF(ISBLANK($E92),"",INDEX(Sheet1!$A:$J,MATCH(Index_Match!$E92,Sheet1!$A:$A,0),MATCH(Index_Match!M$1,Sheet1!$A$1:$J$1,0)))</f>
        <v>Middle Age</v>
      </c>
    </row>
    <row r="93" spans="2:13" x14ac:dyDescent="0.25">
      <c r="B93" s="20"/>
      <c r="C93" s="20"/>
      <c r="D93" s="20"/>
      <c r="E93" s="20" t="str">
        <v>Sophia</v>
      </c>
      <c r="F93" s="20" t="str">
        <f>IF(ISBLANK($E93),"",INDEX(Sheet1!$A:$J,MATCH(Index_Match!$E93,Sheet1!$A:$A,0),MATCH(Index_Match!F$1,Sheet1!$A$1:$J$1,0)))</f>
        <v>Female</v>
      </c>
      <c r="G93" s="20" t="str">
        <f>IF(ISBLANK($E93),"",INDEX(Sheet1!$A:$J,MATCH(Index_Match!$E93,Sheet1!$A:$A,0),MATCH(Index_Match!G$1,Sheet1!$A$1:$J$1,0)))</f>
        <v>Mechanic</v>
      </c>
      <c r="H93" s="20" t="str">
        <f>IF(ISBLANK($E93),"",INDEX(Sheet1!$A:$J,MATCH(Index_Match!$E93,Sheet1!$A:$A,0),MATCH(Index_Match!H$1,Sheet1!$A$1:$J$1,0)))</f>
        <v>Single</v>
      </c>
      <c r="I93" s="23">
        <f>IF(ISBLANK($E93),"",INDEX(Sheet1!$A:$J,MATCH(Index_Match!$E93,Sheet1!$A:$A,0),MATCH(Index_Match!I$1,Sheet1!$A$1:$J$1,0)))</f>
        <v>1</v>
      </c>
      <c r="J93" s="20" t="str">
        <f>IF(ISBLANK($E93),"",INDEX(Sheet1!$A:$J,MATCH(Index_Match!$E93,Sheet1!$A:$A,0),MATCH(Index_Match!J$1,Sheet1!$A$1:$J$1,0)))</f>
        <v>Sophia Kelley</v>
      </c>
      <c r="K93" s="23">
        <f>IF(ISBLANK($E93),"",INDEX(Sheet1!$A:$J,MATCH(Index_Match!$E93,Sheet1!$A:$A,0),MATCH(Index_Match!K$1,Sheet1!$A$1:$J$1,0)))</f>
        <v>1</v>
      </c>
      <c r="L93" s="20" t="str">
        <f>IF(ISBLANK($E93),"",INDEX(Sheet1!$A:$J,MATCH(Index_Match!$E93,Sheet1!$A:$A,0),MATCH(Index_Match!L$1,Sheet1!$A$1:$J$1,0)))</f>
        <v>Kelley</v>
      </c>
      <c r="M93" s="20" t="str">
        <f>IF(ISBLANK($E93),"",INDEX(Sheet1!$A:$J,MATCH(Index_Match!$E93,Sheet1!$A:$A,0),MATCH(Index_Match!M$1,Sheet1!$A$1:$J$1,0)))</f>
        <v>Young</v>
      </c>
    </row>
    <row r="94" spans="2:13" x14ac:dyDescent="0.25">
      <c r="B94" s="20"/>
      <c r="C94" s="20"/>
      <c r="D94" s="20"/>
      <c r="E94" s="20" t="str">
        <v>Kate</v>
      </c>
      <c r="F94" s="20" t="str">
        <f>IF(ISBLANK($E94),"",INDEX(Sheet1!$A:$J,MATCH(Index_Match!$E94,Sheet1!$A:$A,0),MATCH(Index_Match!F$1,Sheet1!$A$1:$J$1,0)))</f>
        <v>Female</v>
      </c>
      <c r="G94" s="20" t="str">
        <f>IF(ISBLANK($E94),"",INDEX(Sheet1!$A:$J,MATCH(Index_Match!$E94,Sheet1!$A:$A,0),MATCH(Index_Match!G$1,Sheet1!$A$1:$J$1,0)))</f>
        <v>Astronomer</v>
      </c>
      <c r="H94" s="20" t="str">
        <f>IF(ISBLANK($E94),"",INDEX(Sheet1!$A:$J,MATCH(Index_Match!$E94,Sheet1!$A:$A,0),MATCH(Index_Match!H$1,Sheet1!$A$1:$J$1,0)))</f>
        <v>Single</v>
      </c>
      <c r="I94" s="23">
        <f>IF(ISBLANK($E94),"",INDEX(Sheet1!$A:$J,MATCH(Index_Match!$E94,Sheet1!$A:$A,0),MATCH(Index_Match!I$1,Sheet1!$A$1:$J$1,0)))</f>
        <v>1</v>
      </c>
      <c r="J94" s="20" t="str">
        <f>IF(ISBLANK($E94),"",INDEX(Sheet1!$A:$J,MATCH(Index_Match!$E94,Sheet1!$A:$A,0),MATCH(Index_Match!J$1,Sheet1!$A$1:$J$1,0)))</f>
        <v>Kate Robinson</v>
      </c>
      <c r="K94" s="23">
        <f>IF(ISBLANK($E94),"",INDEX(Sheet1!$A:$J,MATCH(Index_Match!$E94,Sheet1!$A:$A,0),MATCH(Index_Match!K$1,Sheet1!$A$1:$J$1,0)))</f>
        <v>1</v>
      </c>
      <c r="L94" s="20" t="str">
        <f>IF(ISBLANK($E94),"",INDEX(Sheet1!$A:$J,MATCH(Index_Match!$E94,Sheet1!$A:$A,0),MATCH(Index_Match!L$1,Sheet1!$A$1:$J$1,0)))</f>
        <v>Robinson</v>
      </c>
      <c r="M94" s="20" t="str">
        <f>IF(ISBLANK($E94),"",INDEX(Sheet1!$A:$J,MATCH(Index_Match!$E94,Sheet1!$A:$A,0),MATCH(Index_Match!M$1,Sheet1!$A$1:$J$1,0)))</f>
        <v>Young</v>
      </c>
    </row>
    <row r="95" spans="2:13" x14ac:dyDescent="0.25">
      <c r="B95" s="20"/>
      <c r="C95" s="20"/>
      <c r="D95" s="20"/>
      <c r="E95" s="20" t="str">
        <v>Lydia</v>
      </c>
      <c r="F95" s="20" t="str">
        <f>IF(ISBLANK($E95),"",INDEX(Sheet1!$A:$J,MATCH(Index_Match!$E95,Sheet1!$A:$A,0),MATCH(Index_Match!F$1,Sheet1!$A$1:$J$1,0)))</f>
        <v>Female</v>
      </c>
      <c r="G95" s="20" t="str">
        <f>IF(ISBLANK($E95),"",INDEX(Sheet1!$A:$J,MATCH(Index_Match!$E95,Sheet1!$A:$A,0),MATCH(Index_Match!G$1,Sheet1!$A$1:$J$1,0)))</f>
        <v>Agronomist</v>
      </c>
      <c r="H95" s="20" t="str">
        <f>IF(ISBLANK($E95),"",INDEX(Sheet1!$A:$J,MATCH(Index_Match!$E95,Sheet1!$A:$A,0),MATCH(Index_Match!H$1,Sheet1!$A$1:$J$1,0)))</f>
        <v>Single</v>
      </c>
      <c r="I95" s="23">
        <f>IF(ISBLANK($E95),"",INDEX(Sheet1!$A:$J,MATCH(Index_Match!$E95,Sheet1!$A:$A,0),MATCH(Index_Match!I$1,Sheet1!$A$1:$J$1,0)))</f>
        <v>0</v>
      </c>
      <c r="J95" s="20" t="str">
        <f>IF(ISBLANK($E95),"",INDEX(Sheet1!$A:$J,MATCH(Index_Match!$E95,Sheet1!$A:$A,0),MATCH(Index_Match!J$1,Sheet1!$A$1:$J$1,0)))</f>
        <v>Lydia Roberts</v>
      </c>
      <c r="K95" s="23">
        <f>IF(ISBLANK($E95),"",INDEX(Sheet1!$A:$J,MATCH(Index_Match!$E95,Sheet1!$A:$A,0),MATCH(Index_Match!K$1,Sheet1!$A$1:$J$1,0)))</f>
        <v>0</v>
      </c>
      <c r="L95" s="20" t="str">
        <f>IF(ISBLANK($E95),"",INDEX(Sheet1!$A:$J,MATCH(Index_Match!$E95,Sheet1!$A:$A,0),MATCH(Index_Match!L$1,Sheet1!$A$1:$J$1,0)))</f>
        <v>Roberts</v>
      </c>
      <c r="M95" s="20" t="str">
        <f>IF(ISBLANK($E95),"",INDEX(Sheet1!$A:$J,MATCH(Index_Match!$E95,Sheet1!$A:$A,0),MATCH(Index_Match!M$1,Sheet1!$A$1:$J$1,0)))</f>
        <v>Young</v>
      </c>
    </row>
    <row r="96" spans="2:13" x14ac:dyDescent="0.25">
      <c r="B96" s="20"/>
      <c r="C96" s="20"/>
      <c r="D96" s="20"/>
      <c r="E96" s="20" t="str">
        <v>Rubie</v>
      </c>
      <c r="F96" s="20" t="str">
        <f>IF(ISBLANK($E96),"",INDEX(Sheet1!$A:$J,MATCH(Index_Match!$E96,Sheet1!$A:$A,0),MATCH(Index_Match!F$1,Sheet1!$A$1:$J$1,0)))</f>
        <v>Female</v>
      </c>
      <c r="G96" s="20" t="str">
        <f>IF(ISBLANK($E96),"",INDEX(Sheet1!$A:$J,MATCH(Index_Match!$E96,Sheet1!$A:$A,0),MATCH(Index_Match!G$1,Sheet1!$A$1:$J$1,0)))</f>
        <v>Auditor</v>
      </c>
      <c r="H96" s="20" t="str">
        <f>IF(ISBLANK($E96),"",INDEX(Sheet1!$A:$J,MATCH(Index_Match!$E96,Sheet1!$A:$A,0),MATCH(Index_Match!H$1,Sheet1!$A$1:$J$1,0)))</f>
        <v>Single</v>
      </c>
      <c r="I96" s="23">
        <f>IF(ISBLANK($E96),"",INDEX(Sheet1!$A:$J,MATCH(Index_Match!$E96,Sheet1!$A:$A,0),MATCH(Index_Match!I$1,Sheet1!$A$1:$J$1,0)))</f>
        <v>1</v>
      </c>
      <c r="J96" s="20" t="str">
        <f>IF(ISBLANK($E96),"",INDEX(Sheet1!$A:$J,MATCH(Index_Match!$E96,Sheet1!$A:$A,0),MATCH(Index_Match!J$1,Sheet1!$A$1:$J$1,0)))</f>
        <v>Rubie Clark</v>
      </c>
      <c r="K96" s="23">
        <f>IF(ISBLANK($E96),"",INDEX(Sheet1!$A:$J,MATCH(Index_Match!$E96,Sheet1!$A:$A,0),MATCH(Index_Match!K$1,Sheet1!$A$1:$J$1,0)))</f>
        <v>1</v>
      </c>
      <c r="L96" s="20" t="str">
        <f>IF(ISBLANK($E96),"",INDEX(Sheet1!$A:$J,MATCH(Index_Match!$E96,Sheet1!$A:$A,0),MATCH(Index_Match!L$1,Sheet1!$A$1:$J$1,0)))</f>
        <v>Clark</v>
      </c>
      <c r="M96" s="20" t="str">
        <f>IF(ISBLANK($E96),"",INDEX(Sheet1!$A:$J,MATCH(Index_Match!$E96,Sheet1!$A:$A,0),MATCH(Index_Match!M$1,Sheet1!$A$1:$J$1,0)))</f>
        <v>Young</v>
      </c>
    </row>
    <row r="97" spans="2:13" x14ac:dyDescent="0.25">
      <c r="B97" s="20"/>
      <c r="C97" s="20"/>
      <c r="D97" s="20"/>
      <c r="E97" s="20" t="str">
        <v>Savana</v>
      </c>
      <c r="F97" s="20" t="str">
        <f>IF(ISBLANK($E97),"",INDEX(Sheet1!$A:$J,MATCH(Index_Match!$E97,Sheet1!$A:$A,0),MATCH(Index_Match!F$1,Sheet1!$A$1:$J$1,0)))</f>
        <v>Female</v>
      </c>
      <c r="G97" s="20" t="str">
        <f>IF(ISBLANK($E97),"",INDEX(Sheet1!$A:$J,MATCH(Index_Match!$E97,Sheet1!$A:$A,0),MATCH(Index_Match!G$1,Sheet1!$A$1:$J$1,0)))</f>
        <v>Accountant</v>
      </c>
      <c r="H97" s="20" t="str">
        <f>IF(ISBLANK($E97),"",INDEX(Sheet1!$A:$J,MATCH(Index_Match!$E97,Sheet1!$A:$A,0),MATCH(Index_Match!H$1,Sheet1!$A$1:$J$1,0)))</f>
        <v>Single</v>
      </c>
      <c r="I97" s="23">
        <f>IF(ISBLANK($E97),"",INDEX(Sheet1!$A:$J,MATCH(Index_Match!$E97,Sheet1!$A:$A,0),MATCH(Index_Match!I$1,Sheet1!$A$1:$J$1,0)))</f>
        <v>5</v>
      </c>
      <c r="J97" s="20" t="str">
        <f>IF(ISBLANK($E97),"",INDEX(Sheet1!$A:$J,MATCH(Index_Match!$E97,Sheet1!$A:$A,0),MATCH(Index_Match!J$1,Sheet1!$A$1:$J$1,0)))</f>
        <v>Savana Carroll</v>
      </c>
      <c r="K97" s="23">
        <f>IF(ISBLANK($E97),"",INDEX(Sheet1!$A:$J,MATCH(Index_Match!$E97,Sheet1!$A:$A,0),MATCH(Index_Match!K$1,Sheet1!$A$1:$J$1,0)))</f>
        <v>5</v>
      </c>
      <c r="L97" s="20" t="str">
        <f>IF(ISBLANK($E97),"",INDEX(Sheet1!$A:$J,MATCH(Index_Match!$E97,Sheet1!$A:$A,0),MATCH(Index_Match!L$1,Sheet1!$A$1:$J$1,0)))</f>
        <v>Carroll</v>
      </c>
      <c r="M97" s="20" t="str">
        <f>IF(ISBLANK($E97),"",INDEX(Sheet1!$A:$J,MATCH(Index_Match!$E97,Sheet1!$A:$A,0),MATCH(Index_Match!M$1,Sheet1!$A$1:$J$1,0)))</f>
        <v>Middle Age</v>
      </c>
    </row>
    <row r="98" spans="2:13" x14ac:dyDescent="0.25">
      <c r="B98" s="20"/>
      <c r="C98" s="20"/>
      <c r="D98" s="20"/>
      <c r="E98" s="20" t="str">
        <v>Camila</v>
      </c>
      <c r="F98" s="20" t="str">
        <f>IF(ISBLANK($E98),"",INDEX(Sheet1!$A:$J,MATCH(Index_Match!$E98,Sheet1!$A:$A,0),MATCH(Index_Match!F$1,Sheet1!$A$1:$J$1,0)))</f>
        <v>Female</v>
      </c>
      <c r="G98" s="20" t="str">
        <f>IF(ISBLANK($E98),"",INDEX(Sheet1!$A:$J,MATCH(Index_Match!$E98,Sheet1!$A:$A,0),MATCH(Index_Match!G$1,Sheet1!$A$1:$J$1,0)))</f>
        <v>Veterinarian</v>
      </c>
      <c r="H98" s="20" t="str">
        <f>IF(ISBLANK($E98),"",INDEX(Sheet1!$A:$J,MATCH(Index_Match!$E98,Sheet1!$A:$A,0),MATCH(Index_Match!H$1,Sheet1!$A$1:$J$1,0)))</f>
        <v>Single</v>
      </c>
      <c r="I98" s="23">
        <f>IF(ISBLANK($E98),"",INDEX(Sheet1!$A:$J,MATCH(Index_Match!$E98,Sheet1!$A:$A,0),MATCH(Index_Match!I$1,Sheet1!$A$1:$J$1,0)))</f>
        <v>5</v>
      </c>
      <c r="J98" s="20" t="str">
        <f>IF(ISBLANK($E98),"",INDEX(Sheet1!$A:$J,MATCH(Index_Match!$E98,Sheet1!$A:$A,0),MATCH(Index_Match!J$1,Sheet1!$A$1:$J$1,0)))</f>
        <v>Camila Mitchell</v>
      </c>
      <c r="K98" s="23">
        <f>IF(ISBLANK($E98),"",INDEX(Sheet1!$A:$J,MATCH(Index_Match!$E98,Sheet1!$A:$A,0),MATCH(Index_Match!K$1,Sheet1!$A$1:$J$1,0)))</f>
        <v>5</v>
      </c>
      <c r="L98" s="20" t="str">
        <f>IF(ISBLANK($E98),"",INDEX(Sheet1!$A:$J,MATCH(Index_Match!$E98,Sheet1!$A:$A,0),MATCH(Index_Match!L$1,Sheet1!$A$1:$J$1,0)))</f>
        <v>Mitchell</v>
      </c>
      <c r="M98" s="20" t="str">
        <f>IF(ISBLANK($E98),"",INDEX(Sheet1!$A:$J,MATCH(Index_Match!$E98,Sheet1!$A:$A,0),MATCH(Index_Match!M$1,Sheet1!$A$1:$J$1,0)))</f>
        <v>Middle Age</v>
      </c>
    </row>
    <row r="99" spans="2:13" x14ac:dyDescent="0.25">
      <c r="B99" s="20"/>
      <c r="C99" s="20"/>
      <c r="D99" s="20"/>
      <c r="E99" s="20" t="str">
        <v>Gianna</v>
      </c>
      <c r="F99" s="20" t="str">
        <f>IF(ISBLANK($E99),"",INDEX(Sheet1!$A:$J,MATCH(Index_Match!$E99,Sheet1!$A:$A,0),MATCH(Index_Match!F$1,Sheet1!$A$1:$J$1,0)))</f>
        <v>Female</v>
      </c>
      <c r="G99" s="20" t="str">
        <f>IF(ISBLANK($E99),"",INDEX(Sheet1!$A:$J,MATCH(Index_Match!$E99,Sheet1!$A:$A,0),MATCH(Index_Match!G$1,Sheet1!$A$1:$J$1,0)))</f>
        <v>Teacher</v>
      </c>
      <c r="H99" s="20" t="str">
        <f>IF(ISBLANK($E99),"",INDEX(Sheet1!$A:$J,MATCH(Index_Match!$E99,Sheet1!$A:$A,0),MATCH(Index_Match!H$1,Sheet1!$A$1:$J$1,0)))</f>
        <v>Single</v>
      </c>
      <c r="I99" s="23">
        <f>IF(ISBLANK($E99),"",INDEX(Sheet1!$A:$J,MATCH(Index_Match!$E99,Sheet1!$A:$A,0),MATCH(Index_Match!I$1,Sheet1!$A$1:$J$1,0)))</f>
        <v>2</v>
      </c>
      <c r="J99" s="20" t="str">
        <f>IF(ISBLANK($E99),"",INDEX(Sheet1!$A:$J,MATCH(Index_Match!$E99,Sheet1!$A:$A,0),MATCH(Index_Match!J$1,Sheet1!$A$1:$J$1,0)))</f>
        <v>Gianna West</v>
      </c>
      <c r="K99" s="23">
        <f>IF(ISBLANK($E99),"",INDEX(Sheet1!$A:$J,MATCH(Index_Match!$E99,Sheet1!$A:$A,0),MATCH(Index_Match!K$1,Sheet1!$A$1:$J$1,0)))</f>
        <v>2</v>
      </c>
      <c r="L99" s="20" t="str">
        <f>IF(ISBLANK($E99),"",INDEX(Sheet1!$A:$J,MATCH(Index_Match!$E99,Sheet1!$A:$A,0),MATCH(Index_Match!L$1,Sheet1!$A$1:$J$1,0)))</f>
        <v>West</v>
      </c>
      <c r="M99" s="20" t="str">
        <f>IF(ISBLANK($E99),"",INDEX(Sheet1!$A:$J,MATCH(Index_Match!$E99,Sheet1!$A:$A,0),MATCH(Index_Match!M$1,Sheet1!$A$1:$J$1,0)))</f>
        <v>Young</v>
      </c>
    </row>
    <row r="100" spans="2:13" x14ac:dyDescent="0.25">
      <c r="B100" s="20"/>
      <c r="C100" s="20"/>
      <c r="D100" s="20"/>
      <c r="E100" s="20" t="str">
        <v>Melanie</v>
      </c>
      <c r="F100" s="20" t="str">
        <f>IF(ISBLANK($E100),"",INDEX(Sheet1!$A:$J,MATCH(Index_Match!$E100,Sheet1!$A:$A,0),MATCH(Index_Match!F$1,Sheet1!$A$1:$J$1,0)))</f>
        <v>Female</v>
      </c>
      <c r="G100" s="20" t="str">
        <f>IF(ISBLANK($E100),"",INDEX(Sheet1!$A:$J,MATCH(Index_Match!$E100,Sheet1!$A:$A,0),MATCH(Index_Match!G$1,Sheet1!$A$1:$J$1,0)))</f>
        <v>Florist</v>
      </c>
      <c r="H100" s="20" t="str">
        <f>IF(ISBLANK($E100),"",INDEX(Sheet1!$A:$J,MATCH(Index_Match!$E100,Sheet1!$A:$A,0),MATCH(Index_Match!H$1,Sheet1!$A$1:$J$1,0)))</f>
        <v>Single</v>
      </c>
      <c r="I100" s="23">
        <f>IF(ISBLANK($E100),"",INDEX(Sheet1!$A:$J,MATCH(Index_Match!$E100,Sheet1!$A:$A,0),MATCH(Index_Match!I$1,Sheet1!$A$1:$J$1,0)))</f>
        <v>1</v>
      </c>
      <c r="J100" s="20" t="str">
        <f>IF(ISBLANK($E100),"",INDEX(Sheet1!$A:$J,MATCH(Index_Match!$E100,Sheet1!$A:$A,0),MATCH(Index_Match!J$1,Sheet1!$A$1:$J$1,0)))</f>
        <v>Melanie Craig</v>
      </c>
      <c r="K100" s="23">
        <f>IF(ISBLANK($E100),"",INDEX(Sheet1!$A:$J,MATCH(Index_Match!$E100,Sheet1!$A:$A,0),MATCH(Index_Match!K$1,Sheet1!$A$1:$J$1,0)))</f>
        <v>1</v>
      </c>
      <c r="L100" s="20" t="str">
        <f>IF(ISBLANK($E100),"",INDEX(Sheet1!$A:$J,MATCH(Index_Match!$E100,Sheet1!$A:$A,0),MATCH(Index_Match!L$1,Sheet1!$A$1:$J$1,0)))</f>
        <v>Craig</v>
      </c>
      <c r="M100" s="20" t="str">
        <f>IF(ISBLANK($E100),"",INDEX(Sheet1!$A:$J,MATCH(Index_Match!$E100,Sheet1!$A:$A,0),MATCH(Index_Match!M$1,Sheet1!$A$1:$J$1,0)))</f>
        <v>Young</v>
      </c>
    </row>
    <row r="101" spans="2:13" x14ac:dyDescent="0.25">
      <c r="B101" s="20"/>
      <c r="C101" s="20"/>
      <c r="D101" s="20"/>
      <c r="E101" s="20" t="str">
        <v>Charlotte</v>
      </c>
      <c r="F101" s="20" t="str">
        <f>IF(ISBLANK($E101),"",INDEX(Sheet1!$A:$J,MATCH(Index_Match!$E101,Sheet1!$A:$A,0),MATCH(Index_Match!F$1,Sheet1!$A$1:$J$1,0)))</f>
        <v>Female</v>
      </c>
      <c r="G101" s="20" t="str">
        <f>IF(ISBLANK($E101),"",INDEX(Sheet1!$A:$J,MATCH(Index_Match!$E101,Sheet1!$A:$A,0),MATCH(Index_Match!G$1,Sheet1!$A$1:$J$1,0)))</f>
        <v>Programmer</v>
      </c>
      <c r="H101" s="20" t="str">
        <f>IF(ISBLANK($E101),"",INDEX(Sheet1!$A:$J,MATCH(Index_Match!$E101,Sheet1!$A:$A,0),MATCH(Index_Match!H$1,Sheet1!$A$1:$J$1,0)))</f>
        <v>Single</v>
      </c>
      <c r="I101" s="23">
        <f>IF(ISBLANK($E101),"",INDEX(Sheet1!$A:$J,MATCH(Index_Match!$E101,Sheet1!$A:$A,0),MATCH(Index_Match!I$1,Sheet1!$A$1:$J$1,0)))</f>
        <v>4</v>
      </c>
      <c r="J101" s="20" t="str">
        <f>IF(ISBLANK($E101),"",INDEX(Sheet1!$A:$J,MATCH(Index_Match!$E101,Sheet1!$A:$A,0),MATCH(Index_Match!J$1,Sheet1!$A$1:$J$1,0)))</f>
        <v>Charlotte Cunningham</v>
      </c>
      <c r="K101" s="23">
        <f>IF(ISBLANK($E101),"",INDEX(Sheet1!$A:$J,MATCH(Index_Match!$E101,Sheet1!$A:$A,0),MATCH(Index_Match!K$1,Sheet1!$A$1:$J$1,0)))</f>
        <v>4</v>
      </c>
      <c r="L101" s="20" t="str">
        <f>IF(ISBLANK($E101),"",INDEX(Sheet1!$A:$J,MATCH(Index_Match!$E101,Sheet1!$A:$A,0),MATCH(Index_Match!L$1,Sheet1!$A$1:$J$1,0)))</f>
        <v>Cunningham</v>
      </c>
      <c r="M101" s="20" t="str">
        <f>IF(ISBLANK($E101),"",INDEX(Sheet1!$A:$J,MATCH(Index_Match!$E101,Sheet1!$A:$A,0),MATCH(Index_Match!M$1,Sheet1!$A$1:$J$1,0)))</f>
        <v>Middle Age</v>
      </c>
    </row>
    <row r="102" spans="2:13" x14ac:dyDescent="0.25">
      <c r="B102" s="20"/>
      <c r="C102" s="20"/>
      <c r="D102" s="20"/>
      <c r="E102" s="20" t="str">
        <v>Vivian</v>
      </c>
      <c r="F102" s="20" t="str">
        <f>IF(ISBLANK($E102),"",INDEX(Sheet1!$A:$J,MATCH(Index_Match!$E102,Sheet1!$A:$A,0),MATCH(Index_Match!F$1,Sheet1!$A$1:$J$1,0)))</f>
        <v>Female</v>
      </c>
      <c r="G102" s="20" t="str">
        <f>IF(ISBLANK($E102),"",INDEX(Sheet1!$A:$J,MATCH(Index_Match!$E102,Sheet1!$A:$A,0),MATCH(Index_Match!G$1,Sheet1!$A$1:$J$1,0)))</f>
        <v>Fine Artist</v>
      </c>
      <c r="H102" s="20" t="str">
        <f>IF(ISBLANK($E102),"",INDEX(Sheet1!$A:$J,MATCH(Index_Match!$E102,Sheet1!$A:$A,0),MATCH(Index_Match!H$1,Sheet1!$A$1:$J$1,0)))</f>
        <v>Married</v>
      </c>
      <c r="I102" s="23">
        <f>IF(ISBLANK($E102),"",INDEX(Sheet1!$A:$J,MATCH(Index_Match!$E102,Sheet1!$A:$A,0),MATCH(Index_Match!I$1,Sheet1!$A$1:$J$1,0)))</f>
        <v>5</v>
      </c>
      <c r="J102" s="20" t="str">
        <f>IF(ISBLANK($E102),"",INDEX(Sheet1!$A:$J,MATCH(Index_Match!$E102,Sheet1!$A:$A,0),MATCH(Index_Match!J$1,Sheet1!$A$1:$J$1,0)))</f>
        <v>Vivian Edwards</v>
      </c>
      <c r="K102" s="23">
        <f>IF(ISBLANK($E102),"",INDEX(Sheet1!$A:$J,MATCH(Index_Match!$E102,Sheet1!$A:$A,0),MATCH(Index_Match!K$1,Sheet1!$A$1:$J$1,0)))</f>
        <v>5</v>
      </c>
      <c r="L102" s="20" t="str">
        <f>IF(ISBLANK($E102),"",INDEX(Sheet1!$A:$J,MATCH(Index_Match!$E102,Sheet1!$A:$A,0),MATCH(Index_Match!L$1,Sheet1!$A$1:$J$1,0)))</f>
        <v>Edwards</v>
      </c>
      <c r="M102" s="20" t="str">
        <f>IF(ISBLANK($E102),"",INDEX(Sheet1!$A:$J,MATCH(Index_Match!$E102,Sheet1!$A:$A,0),MATCH(Index_Match!M$1,Sheet1!$A$1:$J$1,0)))</f>
        <v>Middle Age</v>
      </c>
    </row>
    <row r="103" spans="2:13" x14ac:dyDescent="0.25">
      <c r="B103" s="20"/>
      <c r="C103" s="20"/>
      <c r="D103" s="20"/>
      <c r="E103" s="20" t="str">
        <v>Paige</v>
      </c>
      <c r="F103" s="20" t="str">
        <f>IF(ISBLANK($E103),"",INDEX(Sheet1!$A:$J,MATCH(Index_Match!$E103,Sheet1!$A:$A,0),MATCH(Index_Match!F$1,Sheet1!$A$1:$J$1,0)))</f>
        <v>Female</v>
      </c>
      <c r="G103" s="20" t="str">
        <f>IF(ISBLANK($E103),"",INDEX(Sheet1!$A:$J,MATCH(Index_Match!$E103,Sheet1!$A:$A,0),MATCH(Index_Match!G$1,Sheet1!$A$1:$J$1,0)))</f>
        <v>Biochemist</v>
      </c>
      <c r="H103" s="20" t="str">
        <f>IF(ISBLANK($E103),"",INDEX(Sheet1!$A:$J,MATCH(Index_Match!$E103,Sheet1!$A:$A,0),MATCH(Index_Match!H$1,Sheet1!$A$1:$J$1,0)))</f>
        <v>Married</v>
      </c>
      <c r="I103" s="23">
        <f>IF(ISBLANK($E103),"",INDEX(Sheet1!$A:$J,MATCH(Index_Match!$E103,Sheet1!$A:$A,0),MATCH(Index_Match!I$1,Sheet1!$A$1:$J$1,0)))</f>
        <v>4</v>
      </c>
      <c r="J103" s="20" t="str">
        <f>IF(ISBLANK($E103),"",INDEX(Sheet1!$A:$J,MATCH(Index_Match!$E103,Sheet1!$A:$A,0),MATCH(Index_Match!J$1,Sheet1!$A$1:$J$1,0)))</f>
        <v>Paige Moore</v>
      </c>
      <c r="K103" s="23">
        <f>IF(ISBLANK($E103),"",INDEX(Sheet1!$A:$J,MATCH(Index_Match!$E103,Sheet1!$A:$A,0),MATCH(Index_Match!K$1,Sheet1!$A$1:$J$1,0)))</f>
        <v>4</v>
      </c>
      <c r="L103" s="20" t="str">
        <f>IF(ISBLANK($E103),"",INDEX(Sheet1!$A:$J,MATCH(Index_Match!$E103,Sheet1!$A:$A,0),MATCH(Index_Match!L$1,Sheet1!$A$1:$J$1,0)))</f>
        <v>Moore</v>
      </c>
      <c r="M103" s="20" t="str">
        <f>IF(ISBLANK($E103),"",INDEX(Sheet1!$A:$J,MATCH(Index_Match!$E103,Sheet1!$A:$A,0),MATCH(Index_Match!M$1,Sheet1!$A$1:$J$1,0)))</f>
        <v>Middle Age</v>
      </c>
    </row>
    <row r="104" spans="2:13" x14ac:dyDescent="0.25">
      <c r="B104" s="20"/>
      <c r="C104" s="20"/>
      <c r="D104" s="20"/>
      <c r="E104" s="20" t="str">
        <v>Kimberly</v>
      </c>
      <c r="F104" s="20" t="str">
        <f>IF(ISBLANK($E104),"",INDEX(Sheet1!$A:$J,MATCH(Index_Match!$E104,Sheet1!$A:$A,0),MATCH(Index_Match!F$1,Sheet1!$A$1:$J$1,0)))</f>
        <v>Female</v>
      </c>
      <c r="G104" s="20" t="str">
        <f>IF(ISBLANK($E104),"",INDEX(Sheet1!$A:$J,MATCH(Index_Match!$E104,Sheet1!$A:$A,0),MATCH(Index_Match!G$1,Sheet1!$A$1:$J$1,0)))</f>
        <v>Geologist</v>
      </c>
      <c r="H104" s="20" t="str">
        <f>IF(ISBLANK($E104),"",INDEX(Sheet1!$A:$J,MATCH(Index_Match!$E104,Sheet1!$A:$A,0),MATCH(Index_Match!H$1,Sheet1!$A$1:$J$1,0)))</f>
        <v>Single</v>
      </c>
      <c r="I104" s="23">
        <f>IF(ISBLANK($E104),"",INDEX(Sheet1!$A:$J,MATCH(Index_Match!$E104,Sheet1!$A:$A,0),MATCH(Index_Match!I$1,Sheet1!$A$1:$J$1,0)))</f>
        <v>2</v>
      </c>
      <c r="J104" s="20" t="str">
        <f>IF(ISBLANK($E104),"",INDEX(Sheet1!$A:$J,MATCH(Index_Match!$E104,Sheet1!$A:$A,0),MATCH(Index_Match!J$1,Sheet1!$A$1:$J$1,0)))</f>
        <v>Kimberly Rogers</v>
      </c>
      <c r="K104" s="23">
        <f>IF(ISBLANK($E104),"",INDEX(Sheet1!$A:$J,MATCH(Index_Match!$E104,Sheet1!$A:$A,0),MATCH(Index_Match!K$1,Sheet1!$A$1:$J$1,0)))</f>
        <v>2</v>
      </c>
      <c r="L104" s="20" t="str">
        <f>IF(ISBLANK($E104),"",INDEX(Sheet1!$A:$J,MATCH(Index_Match!$E104,Sheet1!$A:$A,0),MATCH(Index_Match!L$1,Sheet1!$A$1:$J$1,0)))</f>
        <v>Rogers</v>
      </c>
      <c r="M104" s="20" t="str">
        <f>IF(ISBLANK($E104),"",INDEX(Sheet1!$A:$J,MATCH(Index_Match!$E104,Sheet1!$A:$A,0),MATCH(Index_Match!M$1,Sheet1!$A$1:$J$1,0)))</f>
        <v>Old</v>
      </c>
    </row>
    <row r="105" spans="2:13" x14ac:dyDescent="0.25">
      <c r="B105" s="20"/>
      <c r="C105" s="20"/>
      <c r="D105" s="20"/>
      <c r="E105" s="20" t="str">
        <v>Caroline</v>
      </c>
      <c r="F105" s="20" t="str">
        <f>IF(ISBLANK($E105),"",INDEX(Sheet1!$A:$J,MATCH(Index_Match!$E105,Sheet1!$A:$A,0),MATCH(Index_Match!F$1,Sheet1!$A$1:$J$1,0)))</f>
        <v>Female</v>
      </c>
      <c r="G105" s="20" t="str">
        <f>IF(ISBLANK($E105),"",INDEX(Sheet1!$A:$J,MATCH(Index_Match!$E105,Sheet1!$A:$A,0),MATCH(Index_Match!G$1,Sheet1!$A$1:$J$1,0)))</f>
        <v>Interior Designer</v>
      </c>
      <c r="H105" s="20" t="str">
        <f>IF(ISBLANK($E105),"",INDEX(Sheet1!$A:$J,MATCH(Index_Match!$E105,Sheet1!$A:$A,0),MATCH(Index_Match!H$1,Sheet1!$A$1:$J$1,0)))</f>
        <v>Married</v>
      </c>
      <c r="I105" s="23">
        <f>IF(ISBLANK($E105),"",INDEX(Sheet1!$A:$J,MATCH(Index_Match!$E105,Sheet1!$A:$A,0),MATCH(Index_Match!I$1,Sheet1!$A$1:$J$1,0)))</f>
        <v>0</v>
      </c>
      <c r="J105" s="20" t="str">
        <f>IF(ISBLANK($E105),"",INDEX(Sheet1!$A:$J,MATCH(Index_Match!$E105,Sheet1!$A:$A,0),MATCH(Index_Match!J$1,Sheet1!$A$1:$J$1,0)))</f>
        <v>Caroline Alexander</v>
      </c>
      <c r="K105" s="23">
        <f>IF(ISBLANK($E105),"",INDEX(Sheet1!$A:$J,MATCH(Index_Match!$E105,Sheet1!$A:$A,0),MATCH(Index_Match!K$1,Sheet1!$A$1:$J$1,0)))</f>
        <v>0</v>
      </c>
      <c r="L105" s="20" t="str">
        <f>IF(ISBLANK($E105),"",INDEX(Sheet1!$A:$J,MATCH(Index_Match!$E105,Sheet1!$A:$A,0),MATCH(Index_Match!L$1,Sheet1!$A$1:$J$1,0)))</f>
        <v>Alexander</v>
      </c>
      <c r="M105" s="20" t="str">
        <f>IF(ISBLANK($E105),"",INDEX(Sheet1!$A:$J,MATCH(Index_Match!$E105,Sheet1!$A:$A,0),MATCH(Index_Match!M$1,Sheet1!$A$1:$J$1,0)))</f>
        <v>Old</v>
      </c>
    </row>
    <row r="106" spans="2:13" x14ac:dyDescent="0.25">
      <c r="B106" s="20"/>
      <c r="C106" s="20"/>
      <c r="D106" s="20"/>
      <c r="E106" s="20" t="str">
        <v>Savana</v>
      </c>
      <c r="F106" s="20" t="str">
        <f>IF(ISBLANK($E106),"",INDEX(Sheet1!$A:$J,MATCH(Index_Match!$E106,Sheet1!$A:$A,0),MATCH(Index_Match!F$1,Sheet1!$A$1:$J$1,0)))</f>
        <v>Female</v>
      </c>
      <c r="G106" s="20" t="str">
        <f>IF(ISBLANK($E106),"",INDEX(Sheet1!$A:$J,MATCH(Index_Match!$E106,Sheet1!$A:$A,0),MATCH(Index_Match!G$1,Sheet1!$A$1:$J$1,0)))</f>
        <v>Accountant</v>
      </c>
      <c r="H106" s="20" t="str">
        <f>IF(ISBLANK($E106),"",INDEX(Sheet1!$A:$J,MATCH(Index_Match!$E106,Sheet1!$A:$A,0),MATCH(Index_Match!H$1,Sheet1!$A$1:$J$1,0)))</f>
        <v>Single</v>
      </c>
      <c r="I106" s="23">
        <f>IF(ISBLANK($E106),"",INDEX(Sheet1!$A:$J,MATCH(Index_Match!$E106,Sheet1!$A:$A,0),MATCH(Index_Match!I$1,Sheet1!$A$1:$J$1,0)))</f>
        <v>5</v>
      </c>
      <c r="J106" s="20" t="str">
        <f>IF(ISBLANK($E106),"",INDEX(Sheet1!$A:$J,MATCH(Index_Match!$E106,Sheet1!$A:$A,0),MATCH(Index_Match!J$1,Sheet1!$A$1:$J$1,0)))</f>
        <v>Savana Carroll</v>
      </c>
      <c r="K106" s="23">
        <f>IF(ISBLANK($E106),"",INDEX(Sheet1!$A:$J,MATCH(Index_Match!$E106,Sheet1!$A:$A,0),MATCH(Index_Match!K$1,Sheet1!$A$1:$J$1,0)))</f>
        <v>5</v>
      </c>
      <c r="L106" s="20" t="str">
        <f>IF(ISBLANK($E106),"",INDEX(Sheet1!$A:$J,MATCH(Index_Match!$E106,Sheet1!$A:$A,0),MATCH(Index_Match!L$1,Sheet1!$A$1:$J$1,0)))</f>
        <v>Carroll</v>
      </c>
      <c r="M106" s="20" t="str">
        <f>IF(ISBLANK($E106),"",INDEX(Sheet1!$A:$J,MATCH(Index_Match!$E106,Sheet1!$A:$A,0),MATCH(Index_Match!M$1,Sheet1!$A$1:$J$1,0)))</f>
        <v>Middle Age</v>
      </c>
    </row>
    <row r="107" spans="2:13" x14ac:dyDescent="0.25">
      <c r="B107" s="20"/>
      <c r="C107" s="20"/>
      <c r="D107" s="20"/>
      <c r="E107" s="20" t="str">
        <v>Chelsea</v>
      </c>
      <c r="F107" s="20" t="str">
        <f>IF(ISBLANK($E107),"",INDEX(Sheet1!$A:$J,MATCH(Index_Match!$E107,Sheet1!$A:$A,0),MATCH(Index_Match!F$1,Sheet1!$A$1:$J$1,0)))</f>
        <v>Female</v>
      </c>
      <c r="G107" s="20" t="str">
        <f>IF(ISBLANK($E107),"",INDEX(Sheet1!$A:$J,MATCH(Index_Match!$E107,Sheet1!$A:$A,0),MATCH(Index_Match!G$1,Sheet1!$A$1:$J$1,0)))</f>
        <v>Meteorologist</v>
      </c>
      <c r="H107" s="20" t="str">
        <f>IF(ISBLANK($E107),"",INDEX(Sheet1!$A:$J,MATCH(Index_Match!$E107,Sheet1!$A:$A,0),MATCH(Index_Match!H$1,Sheet1!$A$1:$J$1,0)))</f>
        <v>Married</v>
      </c>
      <c r="I107" s="23">
        <f>IF(ISBLANK($E107),"",INDEX(Sheet1!$A:$J,MATCH(Index_Match!$E107,Sheet1!$A:$A,0),MATCH(Index_Match!I$1,Sheet1!$A$1:$J$1,0)))</f>
        <v>2</v>
      </c>
      <c r="J107" s="20" t="str">
        <f>IF(ISBLANK($E107),"",INDEX(Sheet1!$A:$J,MATCH(Index_Match!$E107,Sheet1!$A:$A,0),MATCH(Index_Match!J$1,Sheet1!$A$1:$J$1,0)))</f>
        <v>Chelsea Perkins</v>
      </c>
      <c r="K107" s="23">
        <f>IF(ISBLANK($E107),"",INDEX(Sheet1!$A:$J,MATCH(Index_Match!$E107,Sheet1!$A:$A,0),MATCH(Index_Match!K$1,Sheet1!$A$1:$J$1,0)))</f>
        <v>2</v>
      </c>
      <c r="L107" s="20" t="str">
        <f>IF(ISBLANK($E107),"",INDEX(Sheet1!$A:$J,MATCH(Index_Match!$E107,Sheet1!$A:$A,0),MATCH(Index_Match!L$1,Sheet1!$A$1:$J$1,0)))</f>
        <v>Perkins</v>
      </c>
      <c r="M107" s="20" t="str">
        <f>IF(ISBLANK($E107),"",INDEX(Sheet1!$A:$J,MATCH(Index_Match!$E107,Sheet1!$A:$A,0),MATCH(Index_Match!M$1,Sheet1!$A$1:$J$1,0)))</f>
        <v>Young</v>
      </c>
    </row>
    <row r="108" spans="2:13" x14ac:dyDescent="0.25">
      <c r="B108" s="20"/>
      <c r="C108" s="20"/>
      <c r="D108" s="20"/>
      <c r="E108" s="20" t="str">
        <v>Cadie</v>
      </c>
      <c r="F108" s="20" t="str">
        <f>IF(ISBLANK($E108),"",INDEX(Sheet1!$A:$J,MATCH(Index_Match!$E108,Sheet1!$A:$A,0),MATCH(Index_Match!F$1,Sheet1!$A$1:$J$1,0)))</f>
        <v>Female</v>
      </c>
      <c r="G108" s="20" t="str">
        <f>IF(ISBLANK($E108),"",INDEX(Sheet1!$A:$J,MATCH(Index_Match!$E108,Sheet1!$A:$A,0),MATCH(Index_Match!G$1,Sheet1!$A$1:$J$1,0)))</f>
        <v>Auditor</v>
      </c>
      <c r="H108" s="20" t="str">
        <f>IF(ISBLANK($E108),"",INDEX(Sheet1!$A:$J,MATCH(Index_Match!$E108,Sheet1!$A:$A,0),MATCH(Index_Match!H$1,Sheet1!$A$1:$J$1,0)))</f>
        <v>Married</v>
      </c>
      <c r="I108" s="23">
        <f>IF(ISBLANK($E108),"",INDEX(Sheet1!$A:$J,MATCH(Index_Match!$E108,Sheet1!$A:$A,0),MATCH(Index_Match!I$1,Sheet1!$A$1:$J$1,0)))</f>
        <v>2</v>
      </c>
      <c r="J108" s="20" t="str">
        <f>IF(ISBLANK($E108),"",INDEX(Sheet1!$A:$J,MATCH(Index_Match!$E108,Sheet1!$A:$A,0),MATCH(Index_Match!J$1,Sheet1!$A$1:$J$1,0)))</f>
        <v>Cadie Taylor</v>
      </c>
      <c r="K108" s="23">
        <f>IF(ISBLANK($E108),"",INDEX(Sheet1!$A:$J,MATCH(Index_Match!$E108,Sheet1!$A:$A,0),MATCH(Index_Match!K$1,Sheet1!$A$1:$J$1,0)))</f>
        <v>2</v>
      </c>
      <c r="L108" s="20" t="str">
        <f>IF(ISBLANK($E108),"",INDEX(Sheet1!$A:$J,MATCH(Index_Match!$E108,Sheet1!$A:$A,0),MATCH(Index_Match!L$1,Sheet1!$A$1:$J$1,0)))</f>
        <v>Taylor</v>
      </c>
      <c r="M108" s="20" t="str">
        <f>IF(ISBLANK($E108),"",INDEX(Sheet1!$A:$J,MATCH(Index_Match!$E108,Sheet1!$A:$A,0),MATCH(Index_Match!M$1,Sheet1!$A$1:$J$1,0)))</f>
        <v>Young</v>
      </c>
    </row>
    <row r="109" spans="2:13" x14ac:dyDescent="0.25">
      <c r="B109" s="20"/>
      <c r="C109" s="20"/>
      <c r="D109" s="20"/>
      <c r="E109" s="20" t="str">
        <v>Arianna</v>
      </c>
      <c r="F109" s="20" t="str">
        <f>IF(ISBLANK($E109),"",INDEX(Sheet1!$A:$J,MATCH(Index_Match!$E109,Sheet1!$A:$A,0),MATCH(Index_Match!F$1,Sheet1!$A$1:$J$1,0)))</f>
        <v>Female</v>
      </c>
      <c r="G109" s="20" t="str">
        <f>IF(ISBLANK($E109),"",INDEX(Sheet1!$A:$J,MATCH(Index_Match!$E109,Sheet1!$A:$A,0),MATCH(Index_Match!G$1,Sheet1!$A$1:$J$1,0)))</f>
        <v>Biochemist</v>
      </c>
      <c r="H109" s="20" t="str">
        <f>IF(ISBLANK($E109),"",INDEX(Sheet1!$A:$J,MATCH(Index_Match!$E109,Sheet1!$A:$A,0),MATCH(Index_Match!H$1,Sheet1!$A$1:$J$1,0)))</f>
        <v>Married</v>
      </c>
      <c r="I109" s="23">
        <f>IF(ISBLANK($E109),"",INDEX(Sheet1!$A:$J,MATCH(Index_Match!$E109,Sheet1!$A:$A,0),MATCH(Index_Match!I$1,Sheet1!$A$1:$J$1,0)))</f>
        <v>0</v>
      </c>
      <c r="J109" s="20" t="str">
        <f>IF(ISBLANK($E109),"",INDEX(Sheet1!$A:$J,MATCH(Index_Match!$E109,Sheet1!$A:$A,0),MATCH(Index_Match!J$1,Sheet1!$A$1:$J$1,0)))</f>
        <v>Arianna Hall</v>
      </c>
      <c r="K109" s="23">
        <f>IF(ISBLANK($E109),"",INDEX(Sheet1!$A:$J,MATCH(Index_Match!$E109,Sheet1!$A:$A,0),MATCH(Index_Match!K$1,Sheet1!$A$1:$J$1,0)))</f>
        <v>0</v>
      </c>
      <c r="L109" s="20" t="str">
        <f>IF(ISBLANK($E109),"",INDEX(Sheet1!$A:$J,MATCH(Index_Match!$E109,Sheet1!$A:$A,0),MATCH(Index_Match!L$1,Sheet1!$A$1:$J$1,0)))</f>
        <v>Hall</v>
      </c>
      <c r="M109" s="20" t="str">
        <f>IF(ISBLANK($E109),"",INDEX(Sheet1!$A:$J,MATCH(Index_Match!$E109,Sheet1!$A:$A,0),MATCH(Index_Match!M$1,Sheet1!$A$1:$J$1,0)))</f>
        <v>Old</v>
      </c>
    </row>
    <row r="110" spans="2:13" x14ac:dyDescent="0.25">
      <c r="B110" s="20"/>
      <c r="C110" s="20"/>
      <c r="D110" s="20"/>
      <c r="E110" s="20" t="str">
        <v>Julia</v>
      </c>
      <c r="F110" s="20" t="str">
        <f>IF(ISBLANK($E110),"",INDEX(Sheet1!$A:$J,MATCH(Index_Match!$E110,Sheet1!$A:$A,0),MATCH(Index_Match!F$1,Sheet1!$A$1:$J$1,0)))</f>
        <v>Female</v>
      </c>
      <c r="G110" s="20" t="str">
        <f>IF(ISBLANK($E110),"",INDEX(Sheet1!$A:$J,MATCH(Index_Match!$E110,Sheet1!$A:$A,0),MATCH(Index_Match!G$1,Sheet1!$A$1:$J$1,0)))</f>
        <v>Interpreter</v>
      </c>
      <c r="H110" s="20" t="str">
        <f>IF(ISBLANK($E110),"",INDEX(Sheet1!$A:$J,MATCH(Index_Match!$E110,Sheet1!$A:$A,0),MATCH(Index_Match!H$1,Sheet1!$A$1:$J$1,0)))</f>
        <v>Single</v>
      </c>
      <c r="I110" s="23">
        <f>IF(ISBLANK($E110),"",INDEX(Sheet1!$A:$J,MATCH(Index_Match!$E110,Sheet1!$A:$A,0),MATCH(Index_Match!I$1,Sheet1!$A$1:$J$1,0)))</f>
        <v>5</v>
      </c>
      <c r="J110" s="20" t="str">
        <f>IF(ISBLANK($E110),"",INDEX(Sheet1!$A:$J,MATCH(Index_Match!$E110,Sheet1!$A:$A,0),MATCH(Index_Match!J$1,Sheet1!$A$1:$J$1,0)))</f>
        <v>Julia Harrison</v>
      </c>
      <c r="K110" s="23">
        <f>IF(ISBLANK($E110),"",INDEX(Sheet1!$A:$J,MATCH(Index_Match!$E110,Sheet1!$A:$A,0),MATCH(Index_Match!K$1,Sheet1!$A$1:$J$1,0)))</f>
        <v>5</v>
      </c>
      <c r="L110" s="20" t="str">
        <f>IF(ISBLANK($E110),"",INDEX(Sheet1!$A:$J,MATCH(Index_Match!$E110,Sheet1!$A:$A,0),MATCH(Index_Match!L$1,Sheet1!$A$1:$J$1,0)))</f>
        <v>Harrison</v>
      </c>
      <c r="M110" s="20" t="str">
        <f>IF(ISBLANK($E110),"",INDEX(Sheet1!$A:$J,MATCH(Index_Match!$E110,Sheet1!$A:$A,0),MATCH(Index_Match!M$1,Sheet1!$A$1:$J$1,0)))</f>
        <v>Young</v>
      </c>
    </row>
    <row r="111" spans="2:13" x14ac:dyDescent="0.25">
      <c r="B111" s="20"/>
      <c r="C111" s="20"/>
      <c r="D111" s="20"/>
      <c r="E111" s="20" t="str">
        <v>Mary</v>
      </c>
      <c r="F111" s="20" t="str">
        <f>IF(ISBLANK($E111),"",INDEX(Sheet1!$A:$J,MATCH(Index_Match!$E111,Sheet1!$A:$A,0),MATCH(Index_Match!F$1,Sheet1!$A$1:$J$1,0)))</f>
        <v>Female</v>
      </c>
      <c r="G111" s="20" t="str">
        <f>IF(ISBLANK($E111),"",INDEX(Sheet1!$A:$J,MATCH(Index_Match!$E111,Sheet1!$A:$A,0),MATCH(Index_Match!G$1,Sheet1!$A$1:$J$1,0)))</f>
        <v>Meteorologist</v>
      </c>
      <c r="H111" s="20" t="str">
        <f>IF(ISBLANK($E111),"",INDEX(Sheet1!$A:$J,MATCH(Index_Match!$E111,Sheet1!$A:$A,0),MATCH(Index_Match!H$1,Sheet1!$A$1:$J$1,0)))</f>
        <v>Married</v>
      </c>
      <c r="I111" s="23">
        <f>IF(ISBLANK($E111),"",INDEX(Sheet1!$A:$J,MATCH(Index_Match!$E111,Sheet1!$A:$A,0),MATCH(Index_Match!I$1,Sheet1!$A$1:$J$1,0)))</f>
        <v>4</v>
      </c>
      <c r="J111" s="20" t="str">
        <f>IF(ISBLANK($E111),"",INDEX(Sheet1!$A:$J,MATCH(Index_Match!$E111,Sheet1!$A:$A,0),MATCH(Index_Match!J$1,Sheet1!$A$1:$J$1,0)))</f>
        <v>Mary Stevens</v>
      </c>
      <c r="K111" s="23">
        <f>IF(ISBLANK($E111),"",INDEX(Sheet1!$A:$J,MATCH(Index_Match!$E111,Sheet1!$A:$A,0),MATCH(Index_Match!K$1,Sheet1!$A$1:$J$1,0)))</f>
        <v>4</v>
      </c>
      <c r="L111" s="20" t="str">
        <f>IF(ISBLANK($E111),"",INDEX(Sheet1!$A:$J,MATCH(Index_Match!$E111,Sheet1!$A:$A,0),MATCH(Index_Match!L$1,Sheet1!$A$1:$J$1,0)))</f>
        <v>Stevens</v>
      </c>
      <c r="M111" s="20" t="str">
        <f>IF(ISBLANK($E111),"",INDEX(Sheet1!$A:$J,MATCH(Index_Match!$E111,Sheet1!$A:$A,0),MATCH(Index_Match!M$1,Sheet1!$A$1:$J$1,0)))</f>
        <v>Young</v>
      </c>
    </row>
    <row r="112" spans="2:13" x14ac:dyDescent="0.25">
      <c r="B112" s="20"/>
      <c r="C112" s="20"/>
      <c r="D112" s="20"/>
      <c r="E112" s="20" t="str">
        <v>Arianna</v>
      </c>
      <c r="F112" s="20" t="str">
        <f>IF(ISBLANK($E112),"",INDEX(Sheet1!$A:$J,MATCH(Index_Match!$E112,Sheet1!$A:$A,0),MATCH(Index_Match!F$1,Sheet1!$A$1:$J$1,0)))</f>
        <v>Female</v>
      </c>
      <c r="G112" s="20" t="str">
        <f>IF(ISBLANK($E112),"",INDEX(Sheet1!$A:$J,MATCH(Index_Match!$E112,Sheet1!$A:$A,0),MATCH(Index_Match!G$1,Sheet1!$A$1:$J$1,0)))</f>
        <v>Biochemist</v>
      </c>
      <c r="H112" s="20" t="str">
        <f>IF(ISBLANK($E112),"",INDEX(Sheet1!$A:$J,MATCH(Index_Match!$E112,Sheet1!$A:$A,0),MATCH(Index_Match!H$1,Sheet1!$A$1:$J$1,0)))</f>
        <v>Married</v>
      </c>
      <c r="I112" s="23">
        <f>IF(ISBLANK($E112),"",INDEX(Sheet1!$A:$J,MATCH(Index_Match!$E112,Sheet1!$A:$A,0),MATCH(Index_Match!I$1,Sheet1!$A$1:$J$1,0)))</f>
        <v>0</v>
      </c>
      <c r="J112" s="20" t="str">
        <f>IF(ISBLANK($E112),"",INDEX(Sheet1!$A:$J,MATCH(Index_Match!$E112,Sheet1!$A:$A,0),MATCH(Index_Match!J$1,Sheet1!$A$1:$J$1,0)))</f>
        <v>Arianna Hall</v>
      </c>
      <c r="K112" s="23">
        <f>IF(ISBLANK($E112),"",INDEX(Sheet1!$A:$J,MATCH(Index_Match!$E112,Sheet1!$A:$A,0),MATCH(Index_Match!K$1,Sheet1!$A$1:$J$1,0)))</f>
        <v>0</v>
      </c>
      <c r="L112" s="20" t="str">
        <f>IF(ISBLANK($E112),"",INDEX(Sheet1!$A:$J,MATCH(Index_Match!$E112,Sheet1!$A:$A,0),MATCH(Index_Match!L$1,Sheet1!$A$1:$J$1,0)))</f>
        <v>Hall</v>
      </c>
      <c r="M112" s="20" t="str">
        <f>IF(ISBLANK($E112),"",INDEX(Sheet1!$A:$J,MATCH(Index_Match!$E112,Sheet1!$A:$A,0),MATCH(Index_Match!M$1,Sheet1!$A$1:$J$1,0)))</f>
        <v>Old</v>
      </c>
    </row>
    <row r="113" spans="2:13" x14ac:dyDescent="0.25">
      <c r="B113" s="20"/>
      <c r="C113" s="20"/>
      <c r="D113" s="20"/>
      <c r="E113" s="20" t="str">
        <v>Adele</v>
      </c>
      <c r="F113" s="20" t="str">
        <f>IF(ISBLANK($E113),"",INDEX(Sheet1!$A:$J,MATCH(Index_Match!$E113,Sheet1!$A:$A,0),MATCH(Index_Match!F$1,Sheet1!$A$1:$J$1,0)))</f>
        <v>Female</v>
      </c>
      <c r="G113" s="20" t="str">
        <f>IF(ISBLANK($E113),"",INDEX(Sheet1!$A:$J,MATCH(Index_Match!$E113,Sheet1!$A:$A,0),MATCH(Index_Match!G$1,Sheet1!$A$1:$J$1,0)))</f>
        <v>Teacher</v>
      </c>
      <c r="H113" s="20" t="str">
        <f>IF(ISBLANK($E113),"",INDEX(Sheet1!$A:$J,MATCH(Index_Match!$E113,Sheet1!$A:$A,0),MATCH(Index_Match!H$1,Sheet1!$A$1:$J$1,0)))</f>
        <v>Married</v>
      </c>
      <c r="I113" s="23">
        <f>IF(ISBLANK($E113),"",INDEX(Sheet1!$A:$J,MATCH(Index_Match!$E113,Sheet1!$A:$A,0),MATCH(Index_Match!I$1,Sheet1!$A$1:$J$1,0)))</f>
        <v>1</v>
      </c>
      <c r="J113" s="20" t="str">
        <f>IF(ISBLANK($E113),"",INDEX(Sheet1!$A:$J,MATCH(Index_Match!$E113,Sheet1!$A:$A,0),MATCH(Index_Match!J$1,Sheet1!$A$1:$J$1,0)))</f>
        <v>Adele Watson</v>
      </c>
      <c r="K113" s="23">
        <f>IF(ISBLANK($E113),"",INDEX(Sheet1!$A:$J,MATCH(Index_Match!$E113,Sheet1!$A:$A,0),MATCH(Index_Match!K$1,Sheet1!$A$1:$J$1,0)))</f>
        <v>1</v>
      </c>
      <c r="L113" s="20" t="str">
        <f>IF(ISBLANK($E113),"",INDEX(Sheet1!$A:$J,MATCH(Index_Match!$E113,Sheet1!$A:$A,0),MATCH(Index_Match!L$1,Sheet1!$A$1:$J$1,0)))</f>
        <v>Watson</v>
      </c>
      <c r="M113" s="20" t="str">
        <f>IF(ISBLANK($E113),"",INDEX(Sheet1!$A:$J,MATCH(Index_Match!$E113,Sheet1!$A:$A,0),MATCH(Index_Match!M$1,Sheet1!$A$1:$J$1,0)))</f>
        <v>Old</v>
      </c>
    </row>
    <row r="114" spans="2:13" x14ac:dyDescent="0.25">
      <c r="B114" s="20"/>
      <c r="C114" s="20"/>
      <c r="D114" s="20"/>
      <c r="E114" s="20" t="str">
        <v>Rubie</v>
      </c>
      <c r="F114" s="20" t="str">
        <f>IF(ISBLANK($E114),"",INDEX(Sheet1!$A:$J,MATCH(Index_Match!$E114,Sheet1!$A:$A,0),MATCH(Index_Match!F$1,Sheet1!$A$1:$J$1,0)))</f>
        <v>Female</v>
      </c>
      <c r="G114" s="20" t="str">
        <f>IF(ISBLANK($E114),"",INDEX(Sheet1!$A:$J,MATCH(Index_Match!$E114,Sheet1!$A:$A,0),MATCH(Index_Match!G$1,Sheet1!$A$1:$J$1,0)))</f>
        <v>Auditor</v>
      </c>
      <c r="H114" s="20" t="str">
        <f>IF(ISBLANK($E114),"",INDEX(Sheet1!$A:$J,MATCH(Index_Match!$E114,Sheet1!$A:$A,0),MATCH(Index_Match!H$1,Sheet1!$A$1:$J$1,0)))</f>
        <v>Single</v>
      </c>
      <c r="I114" s="23">
        <f>IF(ISBLANK($E114),"",INDEX(Sheet1!$A:$J,MATCH(Index_Match!$E114,Sheet1!$A:$A,0),MATCH(Index_Match!I$1,Sheet1!$A$1:$J$1,0)))</f>
        <v>1</v>
      </c>
      <c r="J114" s="20" t="str">
        <f>IF(ISBLANK($E114),"",INDEX(Sheet1!$A:$J,MATCH(Index_Match!$E114,Sheet1!$A:$A,0),MATCH(Index_Match!J$1,Sheet1!$A$1:$J$1,0)))</f>
        <v>Rubie Clark</v>
      </c>
      <c r="K114" s="23">
        <f>IF(ISBLANK($E114),"",INDEX(Sheet1!$A:$J,MATCH(Index_Match!$E114,Sheet1!$A:$A,0),MATCH(Index_Match!K$1,Sheet1!$A$1:$J$1,0)))</f>
        <v>1</v>
      </c>
      <c r="L114" s="20" t="str">
        <f>IF(ISBLANK($E114),"",INDEX(Sheet1!$A:$J,MATCH(Index_Match!$E114,Sheet1!$A:$A,0),MATCH(Index_Match!L$1,Sheet1!$A$1:$J$1,0)))</f>
        <v>Clark</v>
      </c>
      <c r="M114" s="20" t="str">
        <f>IF(ISBLANK($E114),"",INDEX(Sheet1!$A:$J,MATCH(Index_Match!$E114,Sheet1!$A:$A,0),MATCH(Index_Match!M$1,Sheet1!$A$1:$J$1,0)))</f>
        <v>Young</v>
      </c>
    </row>
    <row r="115" spans="2:13" x14ac:dyDescent="0.25">
      <c r="B115" s="20"/>
      <c r="C115" s="20"/>
      <c r="D115" s="20"/>
      <c r="E115" s="20" t="str">
        <v>Arianna</v>
      </c>
      <c r="F115" s="20" t="str">
        <f>IF(ISBLANK($E115),"",INDEX(Sheet1!$A:$J,MATCH(Index_Match!$E115,Sheet1!$A:$A,0),MATCH(Index_Match!F$1,Sheet1!$A$1:$J$1,0)))</f>
        <v>Female</v>
      </c>
      <c r="G115" s="20" t="str">
        <f>IF(ISBLANK($E115),"",INDEX(Sheet1!$A:$J,MATCH(Index_Match!$E115,Sheet1!$A:$A,0),MATCH(Index_Match!G$1,Sheet1!$A$1:$J$1,0)))</f>
        <v>Biochemist</v>
      </c>
      <c r="H115" s="20" t="str">
        <f>IF(ISBLANK($E115),"",INDEX(Sheet1!$A:$J,MATCH(Index_Match!$E115,Sheet1!$A:$A,0),MATCH(Index_Match!H$1,Sheet1!$A$1:$J$1,0)))</f>
        <v>Married</v>
      </c>
      <c r="I115" s="23">
        <f>IF(ISBLANK($E115),"",INDEX(Sheet1!$A:$J,MATCH(Index_Match!$E115,Sheet1!$A:$A,0),MATCH(Index_Match!I$1,Sheet1!$A$1:$J$1,0)))</f>
        <v>0</v>
      </c>
      <c r="J115" s="20" t="str">
        <f>IF(ISBLANK($E115),"",INDEX(Sheet1!$A:$J,MATCH(Index_Match!$E115,Sheet1!$A:$A,0),MATCH(Index_Match!J$1,Sheet1!$A$1:$J$1,0)))</f>
        <v>Arianna Hall</v>
      </c>
      <c r="K115" s="23">
        <f>IF(ISBLANK($E115),"",INDEX(Sheet1!$A:$J,MATCH(Index_Match!$E115,Sheet1!$A:$A,0),MATCH(Index_Match!K$1,Sheet1!$A$1:$J$1,0)))</f>
        <v>0</v>
      </c>
      <c r="L115" s="20" t="str">
        <f>IF(ISBLANK($E115),"",INDEX(Sheet1!$A:$J,MATCH(Index_Match!$E115,Sheet1!$A:$A,0),MATCH(Index_Match!L$1,Sheet1!$A$1:$J$1,0)))</f>
        <v>Hall</v>
      </c>
      <c r="M115" s="20" t="str">
        <f>IF(ISBLANK($E115),"",INDEX(Sheet1!$A:$J,MATCH(Index_Match!$E115,Sheet1!$A:$A,0),MATCH(Index_Match!M$1,Sheet1!$A$1:$J$1,0)))</f>
        <v>Old</v>
      </c>
    </row>
    <row r="116" spans="2:13" x14ac:dyDescent="0.25">
      <c r="B116" s="20"/>
      <c r="C116" s="20"/>
      <c r="D116" s="20"/>
      <c r="E116" s="20" t="str">
        <v>Brianna</v>
      </c>
      <c r="F116" s="20" t="str">
        <f>IF(ISBLANK($E116),"",INDEX(Sheet1!$A:$J,MATCH(Index_Match!$E116,Sheet1!$A:$A,0),MATCH(Index_Match!F$1,Sheet1!$A$1:$J$1,0)))</f>
        <v>Female</v>
      </c>
      <c r="G116" s="20" t="str">
        <f>IF(ISBLANK($E116),"",INDEX(Sheet1!$A:$J,MATCH(Index_Match!$E116,Sheet1!$A:$A,0),MATCH(Index_Match!G$1,Sheet1!$A$1:$J$1,0)))</f>
        <v>Mechanic</v>
      </c>
      <c r="H116" s="20" t="str">
        <f>IF(ISBLANK($E116),"",INDEX(Sheet1!$A:$J,MATCH(Index_Match!$E116,Sheet1!$A:$A,0),MATCH(Index_Match!H$1,Sheet1!$A$1:$J$1,0)))</f>
        <v>Married</v>
      </c>
      <c r="I116" s="23">
        <f>IF(ISBLANK($E116),"",INDEX(Sheet1!$A:$J,MATCH(Index_Match!$E116,Sheet1!$A:$A,0),MATCH(Index_Match!I$1,Sheet1!$A$1:$J$1,0)))</f>
        <v>1</v>
      </c>
      <c r="J116" s="20" t="str">
        <f>IF(ISBLANK($E116),"",INDEX(Sheet1!$A:$J,MATCH(Index_Match!$E116,Sheet1!$A:$A,0),MATCH(Index_Match!J$1,Sheet1!$A$1:$J$1,0)))</f>
        <v>Brianna Fowler</v>
      </c>
      <c r="K116" s="23">
        <f>IF(ISBLANK($E116),"",INDEX(Sheet1!$A:$J,MATCH(Index_Match!$E116,Sheet1!$A:$A,0),MATCH(Index_Match!K$1,Sheet1!$A$1:$J$1,0)))</f>
        <v>1</v>
      </c>
      <c r="L116" s="20" t="str">
        <f>IF(ISBLANK($E116),"",INDEX(Sheet1!$A:$J,MATCH(Index_Match!$E116,Sheet1!$A:$A,0),MATCH(Index_Match!L$1,Sheet1!$A$1:$J$1,0)))</f>
        <v>Fowler</v>
      </c>
      <c r="M116" s="20" t="str">
        <f>IF(ISBLANK($E116),"",INDEX(Sheet1!$A:$J,MATCH(Index_Match!$E116,Sheet1!$A:$A,0),MATCH(Index_Match!M$1,Sheet1!$A$1:$J$1,0)))</f>
        <v>Young</v>
      </c>
    </row>
    <row r="117" spans="2:13" x14ac:dyDescent="0.25">
      <c r="B117" s="20"/>
      <c r="C117" s="20"/>
      <c r="D117" s="20"/>
      <c r="E117" s="20" t="str">
        <v>Kate</v>
      </c>
      <c r="F117" s="20" t="str">
        <f>IF(ISBLANK($E117),"",INDEX(Sheet1!$A:$J,MATCH(Index_Match!$E117,Sheet1!$A:$A,0),MATCH(Index_Match!F$1,Sheet1!$A$1:$J$1,0)))</f>
        <v>Female</v>
      </c>
      <c r="G117" s="20" t="str">
        <f>IF(ISBLANK($E117),"",INDEX(Sheet1!$A:$J,MATCH(Index_Match!$E117,Sheet1!$A:$A,0),MATCH(Index_Match!G$1,Sheet1!$A$1:$J$1,0)))</f>
        <v>Astronomer</v>
      </c>
      <c r="H117" s="20" t="str">
        <f>IF(ISBLANK($E117),"",INDEX(Sheet1!$A:$J,MATCH(Index_Match!$E117,Sheet1!$A:$A,0),MATCH(Index_Match!H$1,Sheet1!$A$1:$J$1,0)))</f>
        <v>Single</v>
      </c>
      <c r="I117" s="23">
        <f>IF(ISBLANK($E117),"",INDEX(Sheet1!$A:$J,MATCH(Index_Match!$E117,Sheet1!$A:$A,0),MATCH(Index_Match!I$1,Sheet1!$A$1:$J$1,0)))</f>
        <v>1</v>
      </c>
      <c r="J117" s="20" t="str">
        <f>IF(ISBLANK($E117),"",INDEX(Sheet1!$A:$J,MATCH(Index_Match!$E117,Sheet1!$A:$A,0),MATCH(Index_Match!J$1,Sheet1!$A$1:$J$1,0)))</f>
        <v>Kate Robinson</v>
      </c>
      <c r="K117" s="23">
        <f>IF(ISBLANK($E117),"",INDEX(Sheet1!$A:$J,MATCH(Index_Match!$E117,Sheet1!$A:$A,0),MATCH(Index_Match!K$1,Sheet1!$A$1:$J$1,0)))</f>
        <v>1</v>
      </c>
      <c r="L117" s="20" t="str">
        <f>IF(ISBLANK($E117),"",INDEX(Sheet1!$A:$J,MATCH(Index_Match!$E117,Sheet1!$A:$A,0),MATCH(Index_Match!L$1,Sheet1!$A$1:$J$1,0)))</f>
        <v>Robinson</v>
      </c>
      <c r="M117" s="20" t="str">
        <f>IF(ISBLANK($E117),"",INDEX(Sheet1!$A:$J,MATCH(Index_Match!$E117,Sheet1!$A:$A,0),MATCH(Index_Match!M$1,Sheet1!$A$1:$J$1,0)))</f>
        <v>Young</v>
      </c>
    </row>
    <row r="118" spans="2:13" x14ac:dyDescent="0.25">
      <c r="B118" s="20"/>
      <c r="C118" s="20"/>
      <c r="D118" s="20"/>
      <c r="E118" s="20" t="str">
        <v>Maddie</v>
      </c>
      <c r="F118" s="20" t="str">
        <f>IF(ISBLANK($E118),"",INDEX(Sheet1!$A:$J,MATCH(Index_Match!$E118,Sheet1!$A:$A,0),MATCH(Index_Match!F$1,Sheet1!$A$1:$J$1,0)))</f>
        <v>Female</v>
      </c>
      <c r="G118" s="20" t="str">
        <f>IF(ISBLANK($E118),"",INDEX(Sheet1!$A:$J,MATCH(Index_Match!$E118,Sheet1!$A:$A,0),MATCH(Index_Match!G$1,Sheet1!$A$1:$J$1,0)))</f>
        <v>Engineer</v>
      </c>
      <c r="H118" s="20" t="str">
        <f>IF(ISBLANK($E118),"",INDEX(Sheet1!$A:$J,MATCH(Index_Match!$E118,Sheet1!$A:$A,0),MATCH(Index_Match!H$1,Sheet1!$A$1:$J$1,0)))</f>
        <v>Single</v>
      </c>
      <c r="I118" s="23">
        <f>IF(ISBLANK($E118),"",INDEX(Sheet1!$A:$J,MATCH(Index_Match!$E118,Sheet1!$A:$A,0),MATCH(Index_Match!I$1,Sheet1!$A$1:$J$1,0)))</f>
        <v>5</v>
      </c>
      <c r="J118" s="20" t="str">
        <f>IF(ISBLANK($E118),"",INDEX(Sheet1!$A:$J,MATCH(Index_Match!$E118,Sheet1!$A:$A,0),MATCH(Index_Match!J$1,Sheet1!$A$1:$J$1,0)))</f>
        <v>Maddie Hamilton</v>
      </c>
      <c r="K118" s="23">
        <f>IF(ISBLANK($E118),"",INDEX(Sheet1!$A:$J,MATCH(Index_Match!$E118,Sheet1!$A:$A,0),MATCH(Index_Match!K$1,Sheet1!$A$1:$J$1,0)))</f>
        <v>5</v>
      </c>
      <c r="L118" s="20" t="str">
        <f>IF(ISBLANK($E118),"",INDEX(Sheet1!$A:$J,MATCH(Index_Match!$E118,Sheet1!$A:$A,0),MATCH(Index_Match!L$1,Sheet1!$A$1:$J$1,0)))</f>
        <v>Hamilton</v>
      </c>
      <c r="M118" s="20" t="str">
        <f>IF(ISBLANK($E118),"",INDEX(Sheet1!$A:$J,MATCH(Index_Match!$E118,Sheet1!$A:$A,0),MATCH(Index_Match!M$1,Sheet1!$A$1:$J$1,0)))</f>
        <v>Middle Age</v>
      </c>
    </row>
    <row r="119" spans="2:13" x14ac:dyDescent="0.25">
      <c r="B119" s="20"/>
      <c r="C119" s="20"/>
      <c r="D119" s="20"/>
      <c r="E119" s="20" t="str">
        <v>Lana</v>
      </c>
      <c r="F119" s="20" t="str">
        <f>IF(ISBLANK($E119),"",INDEX(Sheet1!$A:$J,MATCH(Index_Match!$E119,Sheet1!$A:$A,0),MATCH(Index_Match!F$1,Sheet1!$A$1:$J$1,0)))</f>
        <v>Female</v>
      </c>
      <c r="G119" s="20" t="str">
        <f>IF(ISBLANK($E119),"",INDEX(Sheet1!$A:$J,MATCH(Index_Match!$E119,Sheet1!$A:$A,0),MATCH(Index_Match!G$1,Sheet1!$A$1:$J$1,0)))</f>
        <v>Interior Designer</v>
      </c>
      <c r="H119" s="20" t="str">
        <f>IF(ISBLANK($E119),"",INDEX(Sheet1!$A:$J,MATCH(Index_Match!$E119,Sheet1!$A:$A,0),MATCH(Index_Match!H$1,Sheet1!$A$1:$J$1,0)))</f>
        <v>Single</v>
      </c>
      <c r="I119" s="23">
        <f>IF(ISBLANK($E119),"",INDEX(Sheet1!$A:$J,MATCH(Index_Match!$E119,Sheet1!$A:$A,0),MATCH(Index_Match!I$1,Sheet1!$A$1:$J$1,0)))</f>
        <v>4</v>
      </c>
      <c r="J119" s="20" t="str">
        <f>IF(ISBLANK($E119),"",INDEX(Sheet1!$A:$J,MATCH(Index_Match!$E119,Sheet1!$A:$A,0),MATCH(Index_Match!J$1,Sheet1!$A$1:$J$1,0)))</f>
        <v>Lana Martin</v>
      </c>
      <c r="K119" s="23">
        <f>IF(ISBLANK($E119),"",INDEX(Sheet1!$A:$J,MATCH(Index_Match!$E119,Sheet1!$A:$A,0),MATCH(Index_Match!K$1,Sheet1!$A$1:$J$1,0)))</f>
        <v>4</v>
      </c>
      <c r="L119" s="20" t="str">
        <f>IF(ISBLANK($E119),"",INDEX(Sheet1!$A:$J,MATCH(Index_Match!$E119,Sheet1!$A:$A,0),MATCH(Index_Match!L$1,Sheet1!$A$1:$J$1,0)))</f>
        <v>Martin</v>
      </c>
      <c r="M119" s="20" t="str">
        <f>IF(ISBLANK($E119),"",INDEX(Sheet1!$A:$J,MATCH(Index_Match!$E119,Sheet1!$A:$A,0),MATCH(Index_Match!M$1,Sheet1!$A$1:$J$1,0)))</f>
        <v>Middle Age</v>
      </c>
    </row>
    <row r="120" spans="2:13" x14ac:dyDescent="0.25">
      <c r="B120" s="20"/>
      <c r="C120" s="20"/>
      <c r="D120" s="20"/>
      <c r="E120" s="20" t="str">
        <v>Lydia</v>
      </c>
      <c r="F120" s="20" t="str">
        <f>IF(ISBLANK($E120),"",INDEX(Sheet1!$A:$J,MATCH(Index_Match!$E120,Sheet1!$A:$A,0),MATCH(Index_Match!F$1,Sheet1!$A$1:$J$1,0)))</f>
        <v>Female</v>
      </c>
      <c r="G120" s="20" t="str">
        <f>IF(ISBLANK($E120),"",INDEX(Sheet1!$A:$J,MATCH(Index_Match!$E120,Sheet1!$A:$A,0),MATCH(Index_Match!G$1,Sheet1!$A$1:$J$1,0)))</f>
        <v>Agronomist</v>
      </c>
      <c r="H120" s="20" t="str">
        <f>IF(ISBLANK($E120),"",INDEX(Sheet1!$A:$J,MATCH(Index_Match!$E120,Sheet1!$A:$A,0),MATCH(Index_Match!H$1,Sheet1!$A$1:$J$1,0)))</f>
        <v>Single</v>
      </c>
      <c r="I120" s="23">
        <f>IF(ISBLANK($E120),"",INDEX(Sheet1!$A:$J,MATCH(Index_Match!$E120,Sheet1!$A:$A,0),MATCH(Index_Match!I$1,Sheet1!$A$1:$J$1,0)))</f>
        <v>0</v>
      </c>
      <c r="J120" s="20" t="str">
        <f>IF(ISBLANK($E120),"",INDEX(Sheet1!$A:$J,MATCH(Index_Match!$E120,Sheet1!$A:$A,0),MATCH(Index_Match!J$1,Sheet1!$A$1:$J$1,0)))</f>
        <v>Lydia Roberts</v>
      </c>
      <c r="K120" s="23">
        <f>IF(ISBLANK($E120),"",INDEX(Sheet1!$A:$J,MATCH(Index_Match!$E120,Sheet1!$A:$A,0),MATCH(Index_Match!K$1,Sheet1!$A$1:$J$1,0)))</f>
        <v>0</v>
      </c>
      <c r="L120" s="20" t="str">
        <f>IF(ISBLANK($E120),"",INDEX(Sheet1!$A:$J,MATCH(Index_Match!$E120,Sheet1!$A:$A,0),MATCH(Index_Match!L$1,Sheet1!$A$1:$J$1,0)))</f>
        <v>Roberts</v>
      </c>
      <c r="M120" s="20" t="str">
        <f>IF(ISBLANK($E120),"",INDEX(Sheet1!$A:$J,MATCH(Index_Match!$E120,Sheet1!$A:$A,0),MATCH(Index_Match!M$1,Sheet1!$A$1:$J$1,0)))</f>
        <v>Young</v>
      </c>
    </row>
    <row r="121" spans="2:13" x14ac:dyDescent="0.25">
      <c r="B121" s="20"/>
      <c r="C121" s="20"/>
      <c r="D121" s="20"/>
      <c r="E121" s="20" t="str">
        <v>Lilianna</v>
      </c>
      <c r="F121" s="20" t="str">
        <f>IF(ISBLANK($E121),"",INDEX(Sheet1!$A:$J,MATCH(Index_Match!$E121,Sheet1!$A:$A,0),MATCH(Index_Match!F$1,Sheet1!$A$1:$J$1,0)))</f>
        <v>Female</v>
      </c>
      <c r="G121" s="20" t="str">
        <f>IF(ISBLANK($E121),"",INDEX(Sheet1!$A:$J,MATCH(Index_Match!$E121,Sheet1!$A:$A,0),MATCH(Index_Match!G$1,Sheet1!$A$1:$J$1,0)))</f>
        <v>Veterinarian</v>
      </c>
      <c r="H121" s="20" t="str">
        <f>IF(ISBLANK($E121),"",INDEX(Sheet1!$A:$J,MATCH(Index_Match!$E121,Sheet1!$A:$A,0),MATCH(Index_Match!H$1,Sheet1!$A$1:$J$1,0)))</f>
        <v>Married</v>
      </c>
      <c r="I121" s="23">
        <f>IF(ISBLANK($E121),"",INDEX(Sheet1!$A:$J,MATCH(Index_Match!$E121,Sheet1!$A:$A,0),MATCH(Index_Match!I$1,Sheet1!$A$1:$J$1,0)))</f>
        <v>4</v>
      </c>
      <c r="J121" s="20" t="str">
        <f>IF(ISBLANK($E121),"",INDEX(Sheet1!$A:$J,MATCH(Index_Match!$E121,Sheet1!$A:$A,0),MATCH(Index_Match!J$1,Sheet1!$A$1:$J$1,0)))</f>
        <v>Lilianna Morrison</v>
      </c>
      <c r="K121" s="23">
        <f>IF(ISBLANK($E121),"",INDEX(Sheet1!$A:$J,MATCH(Index_Match!$E121,Sheet1!$A:$A,0),MATCH(Index_Match!K$1,Sheet1!$A$1:$J$1,0)))</f>
        <v>4</v>
      </c>
      <c r="L121" s="20" t="str">
        <f>IF(ISBLANK($E121),"",INDEX(Sheet1!$A:$J,MATCH(Index_Match!$E121,Sheet1!$A:$A,0),MATCH(Index_Match!L$1,Sheet1!$A$1:$J$1,0)))</f>
        <v>Morrison</v>
      </c>
      <c r="M121" s="20" t="str">
        <f>IF(ISBLANK($E121),"",INDEX(Sheet1!$A:$J,MATCH(Index_Match!$E121,Sheet1!$A:$A,0),MATCH(Index_Match!M$1,Sheet1!$A$1:$J$1,0)))</f>
        <v>Old</v>
      </c>
    </row>
    <row r="122" spans="2:13" x14ac:dyDescent="0.25">
      <c r="B122" s="20"/>
      <c r="C122" s="20"/>
      <c r="D122" s="20"/>
      <c r="E122" s="20" t="str">
        <v>Ada</v>
      </c>
      <c r="F122" s="20" t="str">
        <f>IF(ISBLANK($E122),"",INDEX(Sheet1!$A:$J,MATCH(Index_Match!$E122,Sheet1!$A:$A,0),MATCH(Index_Match!F$1,Sheet1!$A$1:$J$1,0)))</f>
        <v>Female</v>
      </c>
      <c r="G122" s="20" t="str">
        <f>IF(ISBLANK($E122),"",INDEX(Sheet1!$A:$J,MATCH(Index_Match!$E122,Sheet1!$A:$A,0),MATCH(Index_Match!G$1,Sheet1!$A$1:$J$1,0)))</f>
        <v>Fashion Designer</v>
      </c>
      <c r="H122" s="20" t="str">
        <f>IF(ISBLANK($E122),"",INDEX(Sheet1!$A:$J,MATCH(Index_Match!$E122,Sheet1!$A:$A,0),MATCH(Index_Match!H$1,Sheet1!$A$1:$J$1,0)))</f>
        <v>Married</v>
      </c>
      <c r="I122" s="23">
        <f>IF(ISBLANK($E122),"",INDEX(Sheet1!$A:$J,MATCH(Index_Match!$E122,Sheet1!$A:$A,0),MATCH(Index_Match!I$1,Sheet1!$A$1:$J$1,0)))</f>
        <v>5</v>
      </c>
      <c r="J122" s="20" t="str">
        <f>IF(ISBLANK($E122),"",INDEX(Sheet1!$A:$J,MATCH(Index_Match!$E122,Sheet1!$A:$A,0),MATCH(Index_Match!J$1,Sheet1!$A$1:$J$1,0)))</f>
        <v>Ada Hall</v>
      </c>
      <c r="K122" s="23">
        <f>IF(ISBLANK($E122),"",INDEX(Sheet1!$A:$J,MATCH(Index_Match!$E122,Sheet1!$A:$A,0),MATCH(Index_Match!K$1,Sheet1!$A$1:$J$1,0)))</f>
        <v>5</v>
      </c>
      <c r="L122" s="20" t="str">
        <f>IF(ISBLANK($E122),"",INDEX(Sheet1!$A:$J,MATCH(Index_Match!$E122,Sheet1!$A:$A,0),MATCH(Index_Match!L$1,Sheet1!$A$1:$J$1,0)))</f>
        <v>Hall</v>
      </c>
      <c r="M122" s="20" t="str">
        <f>IF(ISBLANK($E122),"",INDEX(Sheet1!$A:$J,MATCH(Index_Match!$E122,Sheet1!$A:$A,0),MATCH(Index_Match!M$1,Sheet1!$A$1:$J$1,0)))</f>
        <v>Middle Age</v>
      </c>
    </row>
    <row r="123" spans="2:13" x14ac:dyDescent="0.25">
      <c r="B123" s="20"/>
      <c r="C123" s="20"/>
      <c r="D123" s="20"/>
      <c r="E123" s="20" t="str">
        <v>Kelsey</v>
      </c>
      <c r="F123" s="20" t="str">
        <f>IF(ISBLANK($E123),"",INDEX(Sheet1!$A:$J,MATCH(Index_Match!$E123,Sheet1!$A:$A,0),MATCH(Index_Match!F$1,Sheet1!$A$1:$J$1,0)))</f>
        <v>Female</v>
      </c>
      <c r="G123" s="20" t="str">
        <f>IF(ISBLANK($E123),"",INDEX(Sheet1!$A:$J,MATCH(Index_Match!$E123,Sheet1!$A:$A,0),MATCH(Index_Match!G$1,Sheet1!$A$1:$J$1,0)))</f>
        <v>Physicist</v>
      </c>
      <c r="H123" s="20" t="str">
        <f>IF(ISBLANK($E123),"",INDEX(Sheet1!$A:$J,MATCH(Index_Match!$E123,Sheet1!$A:$A,0),MATCH(Index_Match!H$1,Sheet1!$A$1:$J$1,0)))</f>
        <v>Married</v>
      </c>
      <c r="I123" s="23">
        <f>IF(ISBLANK($E123),"",INDEX(Sheet1!$A:$J,MATCH(Index_Match!$E123,Sheet1!$A:$A,0),MATCH(Index_Match!I$1,Sheet1!$A$1:$J$1,0)))</f>
        <v>1</v>
      </c>
      <c r="J123" s="20" t="str">
        <f>IF(ISBLANK($E123),"",INDEX(Sheet1!$A:$J,MATCH(Index_Match!$E123,Sheet1!$A:$A,0),MATCH(Index_Match!J$1,Sheet1!$A$1:$J$1,0)))</f>
        <v>Kelsey Warren</v>
      </c>
      <c r="K123" s="23">
        <f>IF(ISBLANK($E123),"",INDEX(Sheet1!$A:$J,MATCH(Index_Match!$E123,Sheet1!$A:$A,0),MATCH(Index_Match!K$1,Sheet1!$A$1:$J$1,0)))</f>
        <v>1</v>
      </c>
      <c r="L123" s="20" t="str">
        <f>IF(ISBLANK($E123),"",INDEX(Sheet1!$A:$J,MATCH(Index_Match!$E123,Sheet1!$A:$A,0),MATCH(Index_Match!L$1,Sheet1!$A$1:$J$1,0)))</f>
        <v>Warren</v>
      </c>
      <c r="M123" s="20" t="str">
        <f>IF(ISBLANK($E123),"",INDEX(Sheet1!$A:$J,MATCH(Index_Match!$E123,Sheet1!$A:$A,0),MATCH(Index_Match!M$1,Sheet1!$A$1:$J$1,0)))</f>
        <v>Young</v>
      </c>
    </row>
    <row r="124" spans="2:13" x14ac:dyDescent="0.25">
      <c r="B124" s="20"/>
      <c r="C124" s="20"/>
      <c r="D124" s="20"/>
      <c r="E124" s="20" t="str">
        <v>Maria</v>
      </c>
      <c r="F124" s="20" t="str">
        <f>IF(ISBLANK($E124),"",INDEX(Sheet1!$A:$J,MATCH(Index_Match!$E124,Sheet1!$A:$A,0),MATCH(Index_Match!F$1,Sheet1!$A$1:$J$1,0)))</f>
        <v>Female</v>
      </c>
      <c r="G124" s="20" t="str">
        <f>IF(ISBLANK($E124),"",INDEX(Sheet1!$A:$J,MATCH(Index_Match!$E124,Sheet1!$A:$A,0),MATCH(Index_Match!G$1,Sheet1!$A$1:$J$1,0)))</f>
        <v>Engineer</v>
      </c>
      <c r="H124" s="20" t="str">
        <f>IF(ISBLANK($E124),"",INDEX(Sheet1!$A:$J,MATCH(Index_Match!$E124,Sheet1!$A:$A,0),MATCH(Index_Match!H$1,Sheet1!$A$1:$J$1,0)))</f>
        <v>Married</v>
      </c>
      <c r="I124" s="23">
        <f>IF(ISBLANK($E124),"",INDEX(Sheet1!$A:$J,MATCH(Index_Match!$E124,Sheet1!$A:$A,0),MATCH(Index_Match!I$1,Sheet1!$A$1:$J$1,0)))</f>
        <v>3</v>
      </c>
      <c r="J124" s="20" t="str">
        <f>IF(ISBLANK($E124),"",INDEX(Sheet1!$A:$J,MATCH(Index_Match!$E124,Sheet1!$A:$A,0),MATCH(Index_Match!J$1,Sheet1!$A$1:$J$1,0)))</f>
        <v>Maria Andrews</v>
      </c>
      <c r="K124" s="23">
        <f>IF(ISBLANK($E124),"",INDEX(Sheet1!$A:$J,MATCH(Index_Match!$E124,Sheet1!$A:$A,0),MATCH(Index_Match!K$1,Sheet1!$A$1:$J$1,0)))</f>
        <v>3</v>
      </c>
      <c r="L124" s="20" t="str">
        <f>IF(ISBLANK($E124),"",INDEX(Sheet1!$A:$J,MATCH(Index_Match!$E124,Sheet1!$A:$A,0),MATCH(Index_Match!L$1,Sheet1!$A$1:$J$1,0)))</f>
        <v>Andrews</v>
      </c>
      <c r="M124" s="20" t="str">
        <f>IF(ISBLANK($E124),"",INDEX(Sheet1!$A:$J,MATCH(Index_Match!$E124,Sheet1!$A:$A,0),MATCH(Index_Match!M$1,Sheet1!$A$1:$J$1,0)))</f>
        <v>Middle Age</v>
      </c>
    </row>
    <row r="125" spans="2:13" x14ac:dyDescent="0.25">
      <c r="B125" s="20"/>
      <c r="C125" s="20"/>
      <c r="D125" s="20"/>
      <c r="E125" s="20" t="str">
        <v>Belinda</v>
      </c>
      <c r="F125" s="20" t="str">
        <f>IF(ISBLANK($E125),"",INDEX(Sheet1!$A:$J,MATCH(Index_Match!$E125,Sheet1!$A:$A,0),MATCH(Index_Match!F$1,Sheet1!$A$1:$J$1,0)))</f>
        <v>Female</v>
      </c>
      <c r="G125" s="20" t="str">
        <f>IF(ISBLANK($E125),"",INDEX(Sheet1!$A:$J,MATCH(Index_Match!$E125,Sheet1!$A:$A,0),MATCH(Index_Match!G$1,Sheet1!$A$1:$J$1,0)))</f>
        <v>Dancer</v>
      </c>
      <c r="H125" s="20" t="str">
        <f>IF(ISBLANK($E125),"",INDEX(Sheet1!$A:$J,MATCH(Index_Match!$E125,Sheet1!$A:$A,0),MATCH(Index_Match!H$1,Sheet1!$A$1:$J$1,0)))</f>
        <v>Married</v>
      </c>
      <c r="I125" s="23">
        <f>IF(ISBLANK($E125),"",INDEX(Sheet1!$A:$J,MATCH(Index_Match!$E125,Sheet1!$A:$A,0),MATCH(Index_Match!I$1,Sheet1!$A$1:$J$1,0)))</f>
        <v>5</v>
      </c>
      <c r="J125" s="20" t="str">
        <f>IF(ISBLANK($E125),"",INDEX(Sheet1!$A:$J,MATCH(Index_Match!$E125,Sheet1!$A:$A,0),MATCH(Index_Match!J$1,Sheet1!$A$1:$J$1,0)))</f>
        <v>Belinda Spencer</v>
      </c>
      <c r="K125" s="23">
        <f>IF(ISBLANK($E125),"",INDEX(Sheet1!$A:$J,MATCH(Index_Match!$E125,Sheet1!$A:$A,0),MATCH(Index_Match!K$1,Sheet1!$A$1:$J$1,0)))</f>
        <v>5</v>
      </c>
      <c r="L125" s="20" t="str">
        <f>IF(ISBLANK($E125),"",INDEX(Sheet1!$A:$J,MATCH(Index_Match!$E125,Sheet1!$A:$A,0),MATCH(Index_Match!L$1,Sheet1!$A$1:$J$1,0)))</f>
        <v>Spencer</v>
      </c>
      <c r="M125" s="20" t="str">
        <f>IF(ISBLANK($E125),"",INDEX(Sheet1!$A:$J,MATCH(Index_Match!$E125,Sheet1!$A:$A,0),MATCH(Index_Match!M$1,Sheet1!$A$1:$J$1,0)))</f>
        <v>Young</v>
      </c>
    </row>
    <row r="126" spans="2:13" x14ac:dyDescent="0.25">
      <c r="B126" s="20"/>
      <c r="C126" s="20"/>
      <c r="D126" s="20"/>
      <c r="E126" s="20" t="str">
        <v>Sofia</v>
      </c>
      <c r="F126" s="20" t="str">
        <f>IF(ISBLANK($E126),"",INDEX(Sheet1!$A:$J,MATCH(Index_Match!$E126,Sheet1!$A:$A,0),MATCH(Index_Match!F$1,Sheet1!$A$1:$J$1,0)))</f>
        <v>Female</v>
      </c>
      <c r="G126" s="20" t="str">
        <f>IF(ISBLANK($E126),"",INDEX(Sheet1!$A:$J,MATCH(Index_Match!$E126,Sheet1!$A:$A,0),MATCH(Index_Match!G$1,Sheet1!$A$1:$J$1,0)))</f>
        <v>Cook</v>
      </c>
      <c r="H126" s="20" t="str">
        <f>IF(ISBLANK($E126),"",INDEX(Sheet1!$A:$J,MATCH(Index_Match!$E126,Sheet1!$A:$A,0),MATCH(Index_Match!H$1,Sheet1!$A$1:$J$1,0)))</f>
        <v>Married</v>
      </c>
      <c r="I126" s="23">
        <f>IF(ISBLANK($E126),"",INDEX(Sheet1!$A:$J,MATCH(Index_Match!$E126,Sheet1!$A:$A,0),MATCH(Index_Match!I$1,Sheet1!$A$1:$J$1,0)))</f>
        <v>5</v>
      </c>
      <c r="J126" s="20" t="str">
        <f>IF(ISBLANK($E126),"",INDEX(Sheet1!$A:$J,MATCH(Index_Match!$E126,Sheet1!$A:$A,0),MATCH(Index_Match!J$1,Sheet1!$A$1:$J$1,0)))</f>
        <v>Sofia Barnes</v>
      </c>
      <c r="K126" s="23">
        <f>IF(ISBLANK($E126),"",INDEX(Sheet1!$A:$J,MATCH(Index_Match!$E126,Sheet1!$A:$A,0),MATCH(Index_Match!K$1,Sheet1!$A$1:$J$1,0)))</f>
        <v>5</v>
      </c>
      <c r="L126" s="20" t="str">
        <f>IF(ISBLANK($E126),"",INDEX(Sheet1!$A:$J,MATCH(Index_Match!$E126,Sheet1!$A:$A,0),MATCH(Index_Match!L$1,Sheet1!$A$1:$J$1,0)))</f>
        <v>Barnes</v>
      </c>
      <c r="M126" s="20" t="str">
        <f>IF(ISBLANK($E126),"",INDEX(Sheet1!$A:$J,MATCH(Index_Match!$E126,Sheet1!$A:$A,0),MATCH(Index_Match!M$1,Sheet1!$A$1:$J$1,0)))</f>
        <v>Old</v>
      </c>
    </row>
    <row r="127" spans="2:13" x14ac:dyDescent="0.25">
      <c r="B127" s="20"/>
      <c r="C127" s="20"/>
      <c r="D127" s="20"/>
      <c r="E127" s="20" t="str">
        <v>Naomi</v>
      </c>
      <c r="F127" s="20" t="str">
        <f>IF(ISBLANK($E127),"",INDEX(Sheet1!$A:$J,MATCH(Index_Match!$E127,Sheet1!$A:$A,0),MATCH(Index_Match!F$1,Sheet1!$A$1:$J$1,0)))</f>
        <v>Female</v>
      </c>
      <c r="G127" s="20" t="str">
        <f>IF(ISBLANK($E127),"",INDEX(Sheet1!$A:$J,MATCH(Index_Match!$E127,Sheet1!$A:$A,0),MATCH(Index_Match!G$1,Sheet1!$A$1:$J$1,0)))</f>
        <v>Photographer</v>
      </c>
      <c r="H127" s="20" t="str">
        <f>IF(ISBLANK($E127),"",INDEX(Sheet1!$A:$J,MATCH(Index_Match!$E127,Sheet1!$A:$A,0),MATCH(Index_Match!H$1,Sheet1!$A$1:$J$1,0)))</f>
        <v>Single</v>
      </c>
      <c r="I127" s="23">
        <f>IF(ISBLANK($E127),"",INDEX(Sheet1!$A:$J,MATCH(Index_Match!$E127,Sheet1!$A:$A,0),MATCH(Index_Match!I$1,Sheet1!$A$1:$J$1,0)))</f>
        <v>3</v>
      </c>
      <c r="J127" s="20" t="str">
        <f>IF(ISBLANK($E127),"",INDEX(Sheet1!$A:$J,MATCH(Index_Match!$E127,Sheet1!$A:$A,0),MATCH(Index_Match!J$1,Sheet1!$A$1:$J$1,0)))</f>
        <v>Naomi Barrett</v>
      </c>
      <c r="K127" s="23">
        <f>IF(ISBLANK($E127),"",INDEX(Sheet1!$A:$J,MATCH(Index_Match!$E127,Sheet1!$A:$A,0),MATCH(Index_Match!K$1,Sheet1!$A$1:$J$1,0)))</f>
        <v>3</v>
      </c>
      <c r="L127" s="20" t="str">
        <f>IF(ISBLANK($E127),"",INDEX(Sheet1!$A:$J,MATCH(Index_Match!$E127,Sheet1!$A:$A,0),MATCH(Index_Match!L$1,Sheet1!$A$1:$J$1,0)))</f>
        <v>Barrett</v>
      </c>
      <c r="M127" s="20" t="str">
        <f>IF(ISBLANK($E127),"",INDEX(Sheet1!$A:$J,MATCH(Index_Match!$E127,Sheet1!$A:$A,0),MATCH(Index_Match!M$1,Sheet1!$A$1:$J$1,0)))</f>
        <v>Middle Age</v>
      </c>
    </row>
    <row r="128" spans="2:13" x14ac:dyDescent="0.25">
      <c r="B128" s="20"/>
      <c r="C128" s="20"/>
      <c r="D128" s="20"/>
      <c r="E128" s="20" t="str">
        <v>Honey</v>
      </c>
      <c r="F128" s="20" t="str">
        <f>IF(ISBLANK($E128),"",INDEX(Sheet1!$A:$J,MATCH(Index_Match!$E128,Sheet1!$A:$A,0),MATCH(Index_Match!F$1,Sheet1!$A$1:$J$1,0)))</f>
        <v>Female</v>
      </c>
      <c r="G128" s="20" t="str">
        <f>IF(ISBLANK($E128),"",INDEX(Sheet1!$A:$J,MATCH(Index_Match!$E128,Sheet1!$A:$A,0),MATCH(Index_Match!G$1,Sheet1!$A$1:$J$1,0)))</f>
        <v>Photographer</v>
      </c>
      <c r="H128" s="20" t="str">
        <f>IF(ISBLANK($E128),"",INDEX(Sheet1!$A:$J,MATCH(Index_Match!$E128,Sheet1!$A:$A,0),MATCH(Index_Match!H$1,Sheet1!$A$1:$J$1,0)))</f>
        <v>Single</v>
      </c>
      <c r="I128" s="23">
        <f>IF(ISBLANK($E128),"",INDEX(Sheet1!$A:$J,MATCH(Index_Match!$E128,Sheet1!$A:$A,0),MATCH(Index_Match!I$1,Sheet1!$A$1:$J$1,0)))</f>
        <v>5</v>
      </c>
      <c r="J128" s="20" t="str">
        <f>IF(ISBLANK($E128),"",INDEX(Sheet1!$A:$J,MATCH(Index_Match!$E128,Sheet1!$A:$A,0),MATCH(Index_Match!J$1,Sheet1!$A$1:$J$1,0)))</f>
        <v>Honey Turner</v>
      </c>
      <c r="K128" s="23">
        <f>IF(ISBLANK($E128),"",INDEX(Sheet1!$A:$J,MATCH(Index_Match!$E128,Sheet1!$A:$A,0),MATCH(Index_Match!K$1,Sheet1!$A$1:$J$1,0)))</f>
        <v>5</v>
      </c>
      <c r="L128" s="20" t="str">
        <f>IF(ISBLANK($E128),"",INDEX(Sheet1!$A:$J,MATCH(Index_Match!$E128,Sheet1!$A:$A,0),MATCH(Index_Match!L$1,Sheet1!$A$1:$J$1,0)))</f>
        <v>Turner</v>
      </c>
      <c r="M128" s="20" t="str">
        <f>IF(ISBLANK($E128),"",INDEX(Sheet1!$A:$J,MATCH(Index_Match!$E128,Sheet1!$A:$A,0),MATCH(Index_Match!M$1,Sheet1!$A$1:$J$1,0)))</f>
        <v>Old</v>
      </c>
    </row>
    <row r="129" spans="2:13" x14ac:dyDescent="0.25">
      <c r="B129" s="20"/>
      <c r="C129" s="20"/>
      <c r="D129" s="20"/>
      <c r="E129" s="20" t="str">
        <v>Alexia</v>
      </c>
      <c r="F129" s="20" t="str">
        <f>IF(ISBLANK($E129),"",INDEX(Sheet1!$A:$J,MATCH(Index_Match!$E129,Sheet1!$A:$A,0),MATCH(Index_Match!F$1,Sheet1!$A$1:$J$1,0)))</f>
        <v>Female</v>
      </c>
      <c r="G129" s="20" t="str">
        <f>IF(ISBLANK($E129),"",INDEX(Sheet1!$A:$J,MATCH(Index_Match!$E129,Sheet1!$A:$A,0),MATCH(Index_Match!G$1,Sheet1!$A$1:$J$1,0)))</f>
        <v>Auditor</v>
      </c>
      <c r="H129" s="20" t="str">
        <f>IF(ISBLANK($E129),"",INDEX(Sheet1!$A:$J,MATCH(Index_Match!$E129,Sheet1!$A:$A,0),MATCH(Index_Match!H$1,Sheet1!$A$1:$J$1,0)))</f>
        <v>Married</v>
      </c>
      <c r="I129" s="23">
        <f>IF(ISBLANK($E129),"",INDEX(Sheet1!$A:$J,MATCH(Index_Match!$E129,Sheet1!$A:$A,0),MATCH(Index_Match!I$1,Sheet1!$A$1:$J$1,0)))</f>
        <v>0</v>
      </c>
      <c r="J129" s="20" t="str">
        <f>IF(ISBLANK($E129),"",INDEX(Sheet1!$A:$J,MATCH(Index_Match!$E129,Sheet1!$A:$A,0),MATCH(Index_Match!J$1,Sheet1!$A$1:$J$1,0)))</f>
        <v>Alexia Cooper</v>
      </c>
      <c r="K129" s="23">
        <f>IF(ISBLANK($E129),"",INDEX(Sheet1!$A:$J,MATCH(Index_Match!$E129,Sheet1!$A:$A,0),MATCH(Index_Match!K$1,Sheet1!$A$1:$J$1,0)))</f>
        <v>0</v>
      </c>
      <c r="L129" s="20" t="str">
        <f>IF(ISBLANK($E129),"",INDEX(Sheet1!$A:$J,MATCH(Index_Match!$E129,Sheet1!$A:$A,0),MATCH(Index_Match!L$1,Sheet1!$A$1:$J$1,0)))</f>
        <v>Cooper</v>
      </c>
      <c r="M129" s="20" t="str">
        <f>IF(ISBLANK($E129),"",INDEX(Sheet1!$A:$J,MATCH(Index_Match!$E129,Sheet1!$A:$A,0),MATCH(Index_Match!M$1,Sheet1!$A$1:$J$1,0)))</f>
        <v>Young</v>
      </c>
    </row>
    <row r="130" spans="2:13" x14ac:dyDescent="0.25">
      <c r="B130" s="20"/>
      <c r="C130" s="20"/>
      <c r="D130" s="20"/>
      <c r="E130" s="20" t="str">
        <v>Emily</v>
      </c>
      <c r="F130" s="20" t="str">
        <f>IF(ISBLANK($E130),"",INDEX(Sheet1!$A:$J,MATCH(Index_Match!$E130,Sheet1!$A:$A,0),MATCH(Index_Match!F$1,Sheet1!$A$1:$J$1,0)))</f>
        <v>Female</v>
      </c>
      <c r="G130" s="20" t="str">
        <f>IF(ISBLANK($E130),"",INDEX(Sheet1!$A:$J,MATCH(Index_Match!$E130,Sheet1!$A:$A,0),MATCH(Index_Match!G$1,Sheet1!$A$1:$J$1,0)))</f>
        <v>Lawyer</v>
      </c>
      <c r="H130" s="20" t="str">
        <f>IF(ISBLANK($E130),"",INDEX(Sheet1!$A:$J,MATCH(Index_Match!$E130,Sheet1!$A:$A,0),MATCH(Index_Match!H$1,Sheet1!$A$1:$J$1,0)))</f>
        <v>Single</v>
      </c>
      <c r="I130" s="23">
        <f>IF(ISBLANK($E130),"",INDEX(Sheet1!$A:$J,MATCH(Index_Match!$E130,Sheet1!$A:$A,0),MATCH(Index_Match!I$1,Sheet1!$A$1:$J$1,0)))</f>
        <v>0</v>
      </c>
      <c r="J130" s="20" t="str">
        <f>IF(ISBLANK($E130),"",INDEX(Sheet1!$A:$J,MATCH(Index_Match!$E130,Sheet1!$A:$A,0),MATCH(Index_Match!J$1,Sheet1!$A$1:$J$1,0)))</f>
        <v>Emily Chapman</v>
      </c>
      <c r="K130" s="23">
        <f>IF(ISBLANK($E130),"",INDEX(Sheet1!$A:$J,MATCH(Index_Match!$E130,Sheet1!$A:$A,0),MATCH(Index_Match!K$1,Sheet1!$A$1:$J$1,0)))</f>
        <v>0</v>
      </c>
      <c r="L130" s="20" t="str">
        <f>IF(ISBLANK($E130),"",INDEX(Sheet1!$A:$J,MATCH(Index_Match!$E130,Sheet1!$A:$A,0),MATCH(Index_Match!L$1,Sheet1!$A$1:$J$1,0)))</f>
        <v>Chapman</v>
      </c>
      <c r="M130" s="20" t="str">
        <f>IF(ISBLANK($E130),"",INDEX(Sheet1!$A:$J,MATCH(Index_Match!$E130,Sheet1!$A:$A,0),MATCH(Index_Match!M$1,Sheet1!$A$1:$J$1,0)))</f>
        <v>Middle Age</v>
      </c>
    </row>
    <row r="131" spans="2:13" x14ac:dyDescent="0.25">
      <c r="B131" s="20"/>
      <c r="C131" s="20"/>
      <c r="D131" s="20"/>
      <c r="E131" s="20" t="str">
        <v>Connie</v>
      </c>
      <c r="F131" s="20" t="str">
        <f>IF(ISBLANK($E131),"",INDEX(Sheet1!$A:$J,MATCH(Index_Match!$E131,Sheet1!$A:$A,0),MATCH(Index_Match!F$1,Sheet1!$A$1:$J$1,0)))</f>
        <v>Female</v>
      </c>
      <c r="G131" s="20" t="str">
        <f>IF(ISBLANK($E131),"",INDEX(Sheet1!$A:$J,MATCH(Index_Match!$E131,Sheet1!$A:$A,0),MATCH(Index_Match!G$1,Sheet1!$A$1:$J$1,0)))</f>
        <v>Economist</v>
      </c>
      <c r="H131" s="20" t="str">
        <f>IF(ISBLANK($E131),"",INDEX(Sheet1!$A:$J,MATCH(Index_Match!$E131,Sheet1!$A:$A,0),MATCH(Index_Match!H$1,Sheet1!$A$1:$J$1,0)))</f>
        <v>Single</v>
      </c>
      <c r="I131" s="23">
        <f>IF(ISBLANK($E131),"",INDEX(Sheet1!$A:$J,MATCH(Index_Match!$E131,Sheet1!$A:$A,0),MATCH(Index_Match!I$1,Sheet1!$A$1:$J$1,0)))</f>
        <v>1</v>
      </c>
      <c r="J131" s="20" t="str">
        <f>IF(ISBLANK($E131),"",INDEX(Sheet1!$A:$J,MATCH(Index_Match!$E131,Sheet1!$A:$A,0),MATCH(Index_Match!J$1,Sheet1!$A$1:$J$1,0)))</f>
        <v>Connie Martin</v>
      </c>
      <c r="K131" s="23">
        <f>IF(ISBLANK($E131),"",INDEX(Sheet1!$A:$J,MATCH(Index_Match!$E131,Sheet1!$A:$A,0),MATCH(Index_Match!K$1,Sheet1!$A$1:$J$1,0)))</f>
        <v>1</v>
      </c>
      <c r="L131" s="20" t="str">
        <f>IF(ISBLANK($E131),"",INDEX(Sheet1!$A:$J,MATCH(Index_Match!$E131,Sheet1!$A:$A,0),MATCH(Index_Match!L$1,Sheet1!$A$1:$J$1,0)))</f>
        <v>Martin</v>
      </c>
      <c r="M131" s="20" t="str">
        <f>IF(ISBLANK($E131),"",INDEX(Sheet1!$A:$J,MATCH(Index_Match!$E131,Sheet1!$A:$A,0),MATCH(Index_Match!M$1,Sheet1!$A$1:$J$1,0)))</f>
        <v>Old</v>
      </c>
    </row>
    <row r="132" spans="2:13" x14ac:dyDescent="0.25">
      <c r="B132" s="20"/>
      <c r="C132" s="20"/>
      <c r="D132" s="20"/>
      <c r="E132" s="20" t="str">
        <v>Agata</v>
      </c>
      <c r="F132" s="20" t="str">
        <f>IF(ISBLANK($E132),"",INDEX(Sheet1!$A:$J,MATCH(Index_Match!$E132,Sheet1!$A:$A,0),MATCH(Index_Match!F$1,Sheet1!$A$1:$J$1,0)))</f>
        <v>Female</v>
      </c>
      <c r="G132" s="20" t="str">
        <f>IF(ISBLANK($E132),"",INDEX(Sheet1!$A:$J,MATCH(Index_Match!$E132,Sheet1!$A:$A,0),MATCH(Index_Match!G$1,Sheet1!$A$1:$J$1,0)))</f>
        <v>Meteorologist</v>
      </c>
      <c r="H132" s="20" t="str">
        <f>IF(ISBLANK($E132),"",INDEX(Sheet1!$A:$J,MATCH(Index_Match!$E132,Sheet1!$A:$A,0),MATCH(Index_Match!H$1,Sheet1!$A$1:$J$1,0)))</f>
        <v>Single</v>
      </c>
      <c r="I132" s="23">
        <f>IF(ISBLANK($E132),"",INDEX(Sheet1!$A:$J,MATCH(Index_Match!$E132,Sheet1!$A:$A,0),MATCH(Index_Match!I$1,Sheet1!$A$1:$J$1,0)))</f>
        <v>0</v>
      </c>
      <c r="J132" s="20" t="str">
        <f>IF(ISBLANK($E132),"",INDEX(Sheet1!$A:$J,MATCH(Index_Match!$E132,Sheet1!$A:$A,0),MATCH(Index_Match!J$1,Sheet1!$A$1:$J$1,0)))</f>
        <v>Agata Adams</v>
      </c>
      <c r="K132" s="23">
        <f>IF(ISBLANK($E132),"",INDEX(Sheet1!$A:$J,MATCH(Index_Match!$E132,Sheet1!$A:$A,0),MATCH(Index_Match!K$1,Sheet1!$A$1:$J$1,0)))</f>
        <v>0</v>
      </c>
      <c r="L132" s="20" t="str">
        <f>IF(ISBLANK($E132),"",INDEX(Sheet1!$A:$J,MATCH(Index_Match!$E132,Sheet1!$A:$A,0),MATCH(Index_Match!L$1,Sheet1!$A$1:$J$1,0)))</f>
        <v>Adams</v>
      </c>
      <c r="M132" s="20" t="str">
        <f>IF(ISBLANK($E132),"",INDEX(Sheet1!$A:$J,MATCH(Index_Match!$E132,Sheet1!$A:$A,0),MATCH(Index_Match!M$1,Sheet1!$A$1:$J$1,0)))</f>
        <v>Young</v>
      </c>
    </row>
    <row r="133" spans="2:13" x14ac:dyDescent="0.25">
      <c r="B133" s="20"/>
      <c r="C133" s="20"/>
      <c r="D133" s="20"/>
      <c r="E133" s="20" t="str">
        <v>Kimberly</v>
      </c>
      <c r="F133" s="20" t="str">
        <f>IF(ISBLANK($E133),"",INDEX(Sheet1!$A:$J,MATCH(Index_Match!$E133,Sheet1!$A:$A,0),MATCH(Index_Match!F$1,Sheet1!$A$1:$J$1,0)))</f>
        <v>Female</v>
      </c>
      <c r="G133" s="20" t="str">
        <f>IF(ISBLANK($E133),"",INDEX(Sheet1!$A:$J,MATCH(Index_Match!$E133,Sheet1!$A:$A,0),MATCH(Index_Match!G$1,Sheet1!$A$1:$J$1,0)))</f>
        <v>Geologist</v>
      </c>
      <c r="H133" s="20" t="str">
        <f>IF(ISBLANK($E133),"",INDEX(Sheet1!$A:$J,MATCH(Index_Match!$E133,Sheet1!$A:$A,0),MATCH(Index_Match!H$1,Sheet1!$A$1:$J$1,0)))</f>
        <v>Single</v>
      </c>
      <c r="I133" s="23">
        <f>IF(ISBLANK($E133),"",INDEX(Sheet1!$A:$J,MATCH(Index_Match!$E133,Sheet1!$A:$A,0),MATCH(Index_Match!I$1,Sheet1!$A$1:$J$1,0)))</f>
        <v>2</v>
      </c>
      <c r="J133" s="20" t="str">
        <f>IF(ISBLANK($E133),"",INDEX(Sheet1!$A:$J,MATCH(Index_Match!$E133,Sheet1!$A:$A,0),MATCH(Index_Match!J$1,Sheet1!$A$1:$J$1,0)))</f>
        <v>Kimberly Rogers</v>
      </c>
      <c r="K133" s="23">
        <f>IF(ISBLANK($E133),"",INDEX(Sheet1!$A:$J,MATCH(Index_Match!$E133,Sheet1!$A:$A,0),MATCH(Index_Match!K$1,Sheet1!$A$1:$J$1,0)))</f>
        <v>2</v>
      </c>
      <c r="L133" s="20" t="str">
        <f>IF(ISBLANK($E133),"",INDEX(Sheet1!$A:$J,MATCH(Index_Match!$E133,Sheet1!$A:$A,0),MATCH(Index_Match!L$1,Sheet1!$A$1:$J$1,0)))</f>
        <v>Rogers</v>
      </c>
      <c r="M133" s="20" t="str">
        <f>IF(ISBLANK($E133),"",INDEX(Sheet1!$A:$J,MATCH(Index_Match!$E133,Sheet1!$A:$A,0),MATCH(Index_Match!M$1,Sheet1!$A$1:$J$1,0)))</f>
        <v>Old</v>
      </c>
    </row>
    <row r="134" spans="2:13" x14ac:dyDescent="0.25">
      <c r="B134" s="20"/>
      <c r="C134" s="20"/>
      <c r="D134" s="20"/>
      <c r="E134" s="20" t="str">
        <v>Agata</v>
      </c>
      <c r="F134" s="20" t="str">
        <f>IF(ISBLANK($E134),"",INDEX(Sheet1!$A:$J,MATCH(Index_Match!$E134,Sheet1!$A:$A,0),MATCH(Index_Match!F$1,Sheet1!$A$1:$J$1,0)))</f>
        <v>Female</v>
      </c>
      <c r="G134" s="20" t="str">
        <f>IF(ISBLANK($E134),"",INDEX(Sheet1!$A:$J,MATCH(Index_Match!$E134,Sheet1!$A:$A,0),MATCH(Index_Match!G$1,Sheet1!$A$1:$J$1,0)))</f>
        <v>Meteorologist</v>
      </c>
      <c r="H134" s="20" t="str">
        <f>IF(ISBLANK($E134),"",INDEX(Sheet1!$A:$J,MATCH(Index_Match!$E134,Sheet1!$A:$A,0),MATCH(Index_Match!H$1,Sheet1!$A$1:$J$1,0)))</f>
        <v>Single</v>
      </c>
      <c r="I134" s="23">
        <f>IF(ISBLANK($E134),"",INDEX(Sheet1!$A:$J,MATCH(Index_Match!$E134,Sheet1!$A:$A,0),MATCH(Index_Match!I$1,Sheet1!$A$1:$J$1,0)))</f>
        <v>0</v>
      </c>
      <c r="J134" s="20" t="str">
        <f>IF(ISBLANK($E134),"",INDEX(Sheet1!$A:$J,MATCH(Index_Match!$E134,Sheet1!$A:$A,0),MATCH(Index_Match!J$1,Sheet1!$A$1:$J$1,0)))</f>
        <v>Agata Adams</v>
      </c>
      <c r="K134" s="23">
        <f>IF(ISBLANK($E134),"",INDEX(Sheet1!$A:$J,MATCH(Index_Match!$E134,Sheet1!$A:$A,0),MATCH(Index_Match!K$1,Sheet1!$A$1:$J$1,0)))</f>
        <v>0</v>
      </c>
      <c r="L134" s="20" t="str">
        <f>IF(ISBLANK($E134),"",INDEX(Sheet1!$A:$J,MATCH(Index_Match!$E134,Sheet1!$A:$A,0),MATCH(Index_Match!L$1,Sheet1!$A$1:$J$1,0)))</f>
        <v>Adams</v>
      </c>
      <c r="M134" s="20" t="str">
        <f>IF(ISBLANK($E134),"",INDEX(Sheet1!$A:$J,MATCH(Index_Match!$E134,Sheet1!$A:$A,0),MATCH(Index_Match!M$1,Sheet1!$A$1:$J$1,0)))</f>
        <v>Young</v>
      </c>
    </row>
    <row r="135" spans="2:13" x14ac:dyDescent="0.25">
      <c r="B135" s="20"/>
      <c r="C135" s="20"/>
      <c r="D135" s="20"/>
      <c r="E135" s="20" t="str">
        <v>Sophia</v>
      </c>
      <c r="F135" s="20" t="str">
        <f>IF(ISBLANK($E135),"",INDEX(Sheet1!$A:$J,MATCH(Index_Match!$E135,Sheet1!$A:$A,0),MATCH(Index_Match!F$1,Sheet1!$A$1:$J$1,0)))</f>
        <v>Female</v>
      </c>
      <c r="G135" s="20" t="str">
        <f>IF(ISBLANK($E135),"",INDEX(Sheet1!$A:$J,MATCH(Index_Match!$E135,Sheet1!$A:$A,0),MATCH(Index_Match!G$1,Sheet1!$A$1:$J$1,0)))</f>
        <v>Mechanic</v>
      </c>
      <c r="H135" s="20" t="str">
        <f>IF(ISBLANK($E135),"",INDEX(Sheet1!$A:$J,MATCH(Index_Match!$E135,Sheet1!$A:$A,0),MATCH(Index_Match!H$1,Sheet1!$A$1:$J$1,0)))</f>
        <v>Single</v>
      </c>
      <c r="I135" s="23">
        <f>IF(ISBLANK($E135),"",INDEX(Sheet1!$A:$J,MATCH(Index_Match!$E135,Sheet1!$A:$A,0),MATCH(Index_Match!I$1,Sheet1!$A$1:$J$1,0)))</f>
        <v>1</v>
      </c>
      <c r="J135" s="20" t="str">
        <f>IF(ISBLANK($E135),"",INDEX(Sheet1!$A:$J,MATCH(Index_Match!$E135,Sheet1!$A:$A,0),MATCH(Index_Match!J$1,Sheet1!$A$1:$J$1,0)))</f>
        <v>Sophia Kelley</v>
      </c>
      <c r="K135" s="23">
        <f>IF(ISBLANK($E135),"",INDEX(Sheet1!$A:$J,MATCH(Index_Match!$E135,Sheet1!$A:$A,0),MATCH(Index_Match!K$1,Sheet1!$A$1:$J$1,0)))</f>
        <v>1</v>
      </c>
      <c r="L135" s="20" t="str">
        <f>IF(ISBLANK($E135),"",INDEX(Sheet1!$A:$J,MATCH(Index_Match!$E135,Sheet1!$A:$A,0),MATCH(Index_Match!L$1,Sheet1!$A$1:$J$1,0)))</f>
        <v>Kelley</v>
      </c>
      <c r="M135" s="20" t="str">
        <f>IF(ISBLANK($E135),"",INDEX(Sheet1!$A:$J,MATCH(Index_Match!$E135,Sheet1!$A:$A,0),MATCH(Index_Match!M$1,Sheet1!$A$1:$J$1,0)))</f>
        <v>Young</v>
      </c>
    </row>
    <row r="136" spans="2:13" x14ac:dyDescent="0.25">
      <c r="B136" s="20"/>
      <c r="C136" s="20"/>
      <c r="D136" s="20"/>
      <c r="E136" s="20" t="str">
        <v>Tess</v>
      </c>
      <c r="F136" s="20" t="str">
        <f>IF(ISBLANK($E136),"",INDEX(Sheet1!$A:$J,MATCH(Index_Match!$E136,Sheet1!$A:$A,0),MATCH(Index_Match!F$1,Sheet1!$A$1:$J$1,0)))</f>
        <v>Female</v>
      </c>
      <c r="G136" s="20" t="str">
        <f>IF(ISBLANK($E136),"",INDEX(Sheet1!$A:$J,MATCH(Index_Match!$E136,Sheet1!$A:$A,0),MATCH(Index_Match!G$1,Sheet1!$A$1:$J$1,0)))</f>
        <v>Cook</v>
      </c>
      <c r="H136" s="20" t="str">
        <f>IF(ISBLANK($E136),"",INDEX(Sheet1!$A:$J,MATCH(Index_Match!$E136,Sheet1!$A:$A,0),MATCH(Index_Match!H$1,Sheet1!$A$1:$J$1,0)))</f>
        <v>Single</v>
      </c>
      <c r="I136" s="23">
        <f>IF(ISBLANK($E136),"",INDEX(Sheet1!$A:$J,MATCH(Index_Match!$E136,Sheet1!$A:$A,0),MATCH(Index_Match!I$1,Sheet1!$A$1:$J$1,0)))</f>
        <v>2</v>
      </c>
      <c r="J136" s="20" t="str">
        <f>IF(ISBLANK($E136),"",INDEX(Sheet1!$A:$J,MATCH(Index_Match!$E136,Sheet1!$A:$A,0),MATCH(Index_Match!J$1,Sheet1!$A$1:$J$1,0)))</f>
        <v>Tess Adams</v>
      </c>
      <c r="K136" s="23">
        <f>IF(ISBLANK($E136),"",INDEX(Sheet1!$A:$J,MATCH(Index_Match!$E136,Sheet1!$A:$A,0),MATCH(Index_Match!K$1,Sheet1!$A$1:$J$1,0)))</f>
        <v>2</v>
      </c>
      <c r="L136" s="20" t="str">
        <f>IF(ISBLANK($E136),"",INDEX(Sheet1!$A:$J,MATCH(Index_Match!$E136,Sheet1!$A:$A,0),MATCH(Index_Match!L$1,Sheet1!$A$1:$J$1,0)))</f>
        <v>Adams</v>
      </c>
      <c r="M136" s="20" t="str">
        <f>IF(ISBLANK($E136),"",INDEX(Sheet1!$A:$J,MATCH(Index_Match!$E136,Sheet1!$A:$A,0),MATCH(Index_Match!M$1,Sheet1!$A$1:$J$1,0)))</f>
        <v>Young</v>
      </c>
    </row>
    <row r="137" spans="2:13" x14ac:dyDescent="0.25">
      <c r="B137" s="20"/>
      <c r="C137" s="20"/>
      <c r="D137" s="20"/>
      <c r="E137" s="20" t="str">
        <v>Darcy</v>
      </c>
      <c r="F137" s="20" t="str">
        <f>IF(ISBLANK($E137),"",INDEX(Sheet1!$A:$J,MATCH(Index_Match!$E137,Sheet1!$A:$A,0),MATCH(Index_Match!F$1,Sheet1!$A$1:$J$1,0)))</f>
        <v>Female</v>
      </c>
      <c r="G137" s="20" t="str">
        <f>IF(ISBLANK($E137),"",INDEX(Sheet1!$A:$J,MATCH(Index_Match!$E137,Sheet1!$A:$A,0),MATCH(Index_Match!G$1,Sheet1!$A$1:$J$1,0)))</f>
        <v>Producer</v>
      </c>
      <c r="H137" s="20" t="str">
        <f>IF(ISBLANK($E137),"",INDEX(Sheet1!$A:$J,MATCH(Index_Match!$E137,Sheet1!$A:$A,0),MATCH(Index_Match!H$1,Sheet1!$A$1:$J$1,0)))</f>
        <v>Single</v>
      </c>
      <c r="I137" s="23">
        <f>IF(ISBLANK($E137),"",INDEX(Sheet1!$A:$J,MATCH(Index_Match!$E137,Sheet1!$A:$A,0),MATCH(Index_Match!I$1,Sheet1!$A$1:$J$1,0)))</f>
        <v>3</v>
      </c>
      <c r="J137" s="20" t="str">
        <f>IF(ISBLANK($E137),"",INDEX(Sheet1!$A:$J,MATCH(Index_Match!$E137,Sheet1!$A:$A,0),MATCH(Index_Match!J$1,Sheet1!$A$1:$J$1,0)))</f>
        <v>Darcy Fowler</v>
      </c>
      <c r="K137" s="23">
        <f>IF(ISBLANK($E137),"",INDEX(Sheet1!$A:$J,MATCH(Index_Match!$E137,Sheet1!$A:$A,0),MATCH(Index_Match!K$1,Sheet1!$A$1:$J$1,0)))</f>
        <v>3</v>
      </c>
      <c r="L137" s="20" t="str">
        <f>IF(ISBLANK($E137),"",INDEX(Sheet1!$A:$J,MATCH(Index_Match!$E137,Sheet1!$A:$A,0),MATCH(Index_Match!L$1,Sheet1!$A$1:$J$1,0)))</f>
        <v>Fowler</v>
      </c>
      <c r="M137" s="20" t="str">
        <f>IF(ISBLANK($E137),"",INDEX(Sheet1!$A:$J,MATCH(Index_Match!$E137,Sheet1!$A:$A,0),MATCH(Index_Match!M$1,Sheet1!$A$1:$J$1,0)))</f>
        <v>Old</v>
      </c>
    </row>
    <row r="138" spans="2:13" x14ac:dyDescent="0.25">
      <c r="B138" s="20"/>
      <c r="C138" s="20"/>
      <c r="D138" s="20"/>
      <c r="E138" s="20" t="str">
        <v>Fiona</v>
      </c>
      <c r="F138" s="20" t="str">
        <f>IF(ISBLANK($E138),"",INDEX(Sheet1!$A:$J,MATCH(Index_Match!$E138,Sheet1!$A:$A,0),MATCH(Index_Match!F$1,Sheet1!$A$1:$J$1,0)))</f>
        <v>Female</v>
      </c>
      <c r="G138" s="20" t="str">
        <f>IF(ISBLANK($E138),"",INDEX(Sheet1!$A:$J,MATCH(Index_Match!$E138,Sheet1!$A:$A,0),MATCH(Index_Match!G$1,Sheet1!$A$1:$J$1,0)))</f>
        <v>Hairdresser</v>
      </c>
      <c r="H138" s="20" t="str">
        <f>IF(ISBLANK($E138),"",INDEX(Sheet1!$A:$J,MATCH(Index_Match!$E138,Sheet1!$A:$A,0),MATCH(Index_Match!H$1,Sheet1!$A$1:$J$1,0)))</f>
        <v>Married</v>
      </c>
      <c r="I138" s="23">
        <f>IF(ISBLANK($E138),"",INDEX(Sheet1!$A:$J,MATCH(Index_Match!$E138,Sheet1!$A:$A,0),MATCH(Index_Match!I$1,Sheet1!$A$1:$J$1,0)))</f>
        <v>0</v>
      </c>
      <c r="J138" s="20" t="str">
        <f>IF(ISBLANK($E138),"",INDEX(Sheet1!$A:$J,MATCH(Index_Match!$E138,Sheet1!$A:$A,0),MATCH(Index_Match!J$1,Sheet1!$A$1:$J$1,0)))</f>
        <v>Fiona Phillips</v>
      </c>
      <c r="K138" s="23">
        <f>IF(ISBLANK($E138),"",INDEX(Sheet1!$A:$J,MATCH(Index_Match!$E138,Sheet1!$A:$A,0),MATCH(Index_Match!K$1,Sheet1!$A$1:$J$1,0)))</f>
        <v>0</v>
      </c>
      <c r="L138" s="20" t="str">
        <f>IF(ISBLANK($E138),"",INDEX(Sheet1!$A:$J,MATCH(Index_Match!$E138,Sheet1!$A:$A,0),MATCH(Index_Match!L$1,Sheet1!$A$1:$J$1,0)))</f>
        <v>Phillips</v>
      </c>
      <c r="M138" s="20" t="str">
        <f>IF(ISBLANK($E138),"",INDEX(Sheet1!$A:$J,MATCH(Index_Match!$E138,Sheet1!$A:$A,0),MATCH(Index_Match!M$1,Sheet1!$A$1:$J$1,0)))</f>
        <v>Middle Age</v>
      </c>
    </row>
    <row r="139" spans="2:13" x14ac:dyDescent="0.25">
      <c r="B139" s="20"/>
      <c r="C139" s="20"/>
      <c r="D139" s="20"/>
      <c r="E139" s="20" t="str">
        <v>April</v>
      </c>
      <c r="F139" s="20" t="str">
        <f>IF(ISBLANK($E139),"",INDEX(Sheet1!$A:$J,MATCH(Index_Match!$E139,Sheet1!$A:$A,0),MATCH(Index_Match!F$1,Sheet1!$A$1:$J$1,0)))</f>
        <v>Female</v>
      </c>
      <c r="G139" s="20" t="str">
        <f>IF(ISBLANK($E139),"",INDEX(Sheet1!$A:$J,MATCH(Index_Match!$E139,Sheet1!$A:$A,0),MATCH(Index_Match!G$1,Sheet1!$A$1:$J$1,0)))</f>
        <v>Fashion Designer</v>
      </c>
      <c r="H139" s="20" t="str">
        <f>IF(ISBLANK($E139),"",INDEX(Sheet1!$A:$J,MATCH(Index_Match!$E139,Sheet1!$A:$A,0),MATCH(Index_Match!H$1,Sheet1!$A$1:$J$1,0)))</f>
        <v>Married</v>
      </c>
      <c r="I139" s="23">
        <f>IF(ISBLANK($E139),"",INDEX(Sheet1!$A:$J,MATCH(Index_Match!$E139,Sheet1!$A:$A,0),MATCH(Index_Match!I$1,Sheet1!$A$1:$J$1,0)))</f>
        <v>3</v>
      </c>
      <c r="J139" s="20" t="str">
        <f>IF(ISBLANK($E139),"",INDEX(Sheet1!$A:$J,MATCH(Index_Match!$E139,Sheet1!$A:$A,0),MATCH(Index_Match!J$1,Sheet1!$A$1:$J$1,0)))</f>
        <v>April Kelley</v>
      </c>
      <c r="K139" s="23">
        <f>IF(ISBLANK($E139),"",INDEX(Sheet1!$A:$J,MATCH(Index_Match!$E139,Sheet1!$A:$A,0),MATCH(Index_Match!K$1,Sheet1!$A$1:$J$1,0)))</f>
        <v>3</v>
      </c>
      <c r="L139" s="20" t="str">
        <f>IF(ISBLANK($E139),"",INDEX(Sheet1!$A:$J,MATCH(Index_Match!$E139,Sheet1!$A:$A,0),MATCH(Index_Match!L$1,Sheet1!$A$1:$J$1,0)))</f>
        <v>Kelley</v>
      </c>
      <c r="M139" s="20" t="str">
        <f>IF(ISBLANK($E139),"",INDEX(Sheet1!$A:$J,MATCH(Index_Match!$E139,Sheet1!$A:$A,0),MATCH(Index_Match!M$1,Sheet1!$A$1:$J$1,0)))</f>
        <v>Old</v>
      </c>
    </row>
    <row r="140" spans="2:13" x14ac:dyDescent="0.25">
      <c r="B140" s="20"/>
      <c r="C140" s="20"/>
      <c r="D140" s="20"/>
      <c r="E140" s="20" t="str">
        <v>Adrianna</v>
      </c>
      <c r="F140" s="20" t="str">
        <f>IF(ISBLANK($E140),"",INDEX(Sheet1!$A:$J,MATCH(Index_Match!$E140,Sheet1!$A:$A,0),MATCH(Index_Match!F$1,Sheet1!$A$1:$J$1,0)))</f>
        <v>Female</v>
      </c>
      <c r="G140" s="20" t="str">
        <f>IF(ISBLANK($E140),"",INDEX(Sheet1!$A:$J,MATCH(Index_Match!$E140,Sheet1!$A:$A,0),MATCH(Index_Match!G$1,Sheet1!$A$1:$J$1,0)))</f>
        <v>Botanist</v>
      </c>
      <c r="H140" s="20" t="str">
        <f>IF(ISBLANK($E140),"",INDEX(Sheet1!$A:$J,MATCH(Index_Match!$E140,Sheet1!$A:$A,0),MATCH(Index_Match!H$1,Sheet1!$A$1:$J$1,0)))</f>
        <v>Single</v>
      </c>
      <c r="I140" s="23">
        <f>IF(ISBLANK($E140),"",INDEX(Sheet1!$A:$J,MATCH(Index_Match!$E140,Sheet1!$A:$A,0),MATCH(Index_Match!I$1,Sheet1!$A$1:$J$1,0)))</f>
        <v>1</v>
      </c>
      <c r="J140" s="20" t="str">
        <f>IF(ISBLANK($E140),"",INDEX(Sheet1!$A:$J,MATCH(Index_Match!$E140,Sheet1!$A:$A,0),MATCH(Index_Match!J$1,Sheet1!$A$1:$J$1,0)))</f>
        <v>Adrianna Bennett</v>
      </c>
      <c r="K140" s="23">
        <f>IF(ISBLANK($E140),"",INDEX(Sheet1!$A:$J,MATCH(Index_Match!$E140,Sheet1!$A:$A,0),MATCH(Index_Match!K$1,Sheet1!$A$1:$J$1,0)))</f>
        <v>1</v>
      </c>
      <c r="L140" s="20" t="str">
        <f>IF(ISBLANK($E140),"",INDEX(Sheet1!$A:$J,MATCH(Index_Match!$E140,Sheet1!$A:$A,0),MATCH(Index_Match!L$1,Sheet1!$A$1:$J$1,0)))</f>
        <v>Bennett</v>
      </c>
      <c r="M140" s="20" t="str">
        <f>IF(ISBLANK($E140),"",INDEX(Sheet1!$A:$J,MATCH(Index_Match!$E140,Sheet1!$A:$A,0),MATCH(Index_Match!M$1,Sheet1!$A$1:$J$1,0)))</f>
        <v>Middle Age</v>
      </c>
    </row>
    <row r="141" spans="2:13" x14ac:dyDescent="0.25">
      <c r="B141" s="20"/>
      <c r="C141" s="20"/>
      <c r="D141" s="20"/>
      <c r="E141" s="20" t="str">
        <v>Adelaide</v>
      </c>
      <c r="F141" s="20" t="str">
        <f>IF(ISBLANK($E141),"",INDEX(Sheet1!$A:$J,MATCH(Index_Match!$E141,Sheet1!$A:$A,0),MATCH(Index_Match!F$1,Sheet1!$A$1:$J$1,0)))</f>
        <v>Female</v>
      </c>
      <c r="G141" s="20" t="str">
        <f>IF(ISBLANK($E141),"",INDEX(Sheet1!$A:$J,MATCH(Index_Match!$E141,Sheet1!$A:$A,0),MATCH(Index_Match!G$1,Sheet1!$A$1:$J$1,0)))</f>
        <v>Producer</v>
      </c>
      <c r="H141" s="20" t="str">
        <f>IF(ISBLANK($E141),"",INDEX(Sheet1!$A:$J,MATCH(Index_Match!$E141,Sheet1!$A:$A,0),MATCH(Index_Match!H$1,Sheet1!$A$1:$J$1,0)))</f>
        <v>Single</v>
      </c>
      <c r="I141" s="23">
        <f>IF(ISBLANK($E141),"",INDEX(Sheet1!$A:$J,MATCH(Index_Match!$E141,Sheet1!$A:$A,0),MATCH(Index_Match!I$1,Sheet1!$A$1:$J$1,0)))</f>
        <v>3</v>
      </c>
      <c r="J141" s="20" t="str">
        <f>IF(ISBLANK($E141),"",INDEX(Sheet1!$A:$J,MATCH(Index_Match!$E141,Sheet1!$A:$A,0),MATCH(Index_Match!J$1,Sheet1!$A$1:$J$1,0)))</f>
        <v>Adelaide Farrell</v>
      </c>
      <c r="K141" s="23">
        <f>IF(ISBLANK($E141),"",INDEX(Sheet1!$A:$J,MATCH(Index_Match!$E141,Sheet1!$A:$A,0),MATCH(Index_Match!K$1,Sheet1!$A$1:$J$1,0)))</f>
        <v>3</v>
      </c>
      <c r="L141" s="20" t="str">
        <f>IF(ISBLANK($E141),"",INDEX(Sheet1!$A:$J,MATCH(Index_Match!$E141,Sheet1!$A:$A,0),MATCH(Index_Match!L$1,Sheet1!$A$1:$J$1,0)))</f>
        <v>Farrell</v>
      </c>
      <c r="M141" s="20" t="str">
        <f>IF(ISBLANK($E141),"",INDEX(Sheet1!$A:$J,MATCH(Index_Match!$E141,Sheet1!$A:$A,0),MATCH(Index_Match!M$1,Sheet1!$A$1:$J$1,0)))</f>
        <v>Middle Age</v>
      </c>
    </row>
    <row r="142" spans="2:13" x14ac:dyDescent="0.25">
      <c r="B142" s="20"/>
      <c r="C142" s="20"/>
      <c r="D142" s="20"/>
      <c r="E142" s="20" t="str">
        <v>Samantha</v>
      </c>
      <c r="F142" s="20" t="str">
        <f>IF(ISBLANK($E142),"",INDEX(Sheet1!$A:$J,MATCH(Index_Match!$E142,Sheet1!$A:$A,0),MATCH(Index_Match!F$1,Sheet1!$A$1:$J$1,0)))</f>
        <v>Female</v>
      </c>
      <c r="G142" s="20" t="str">
        <f>IF(ISBLANK($E142),"",INDEX(Sheet1!$A:$J,MATCH(Index_Match!$E142,Sheet1!$A:$A,0),MATCH(Index_Match!G$1,Sheet1!$A$1:$J$1,0)))</f>
        <v>Carpenter</v>
      </c>
      <c r="H142" s="20" t="str">
        <f>IF(ISBLANK($E142),"",INDEX(Sheet1!$A:$J,MATCH(Index_Match!$E142,Sheet1!$A:$A,0),MATCH(Index_Match!H$1,Sheet1!$A$1:$J$1,0)))</f>
        <v>Married</v>
      </c>
      <c r="I142" s="23">
        <f>IF(ISBLANK($E142),"",INDEX(Sheet1!$A:$J,MATCH(Index_Match!$E142,Sheet1!$A:$A,0),MATCH(Index_Match!I$1,Sheet1!$A$1:$J$1,0)))</f>
        <v>0</v>
      </c>
      <c r="J142" s="20" t="str">
        <f>IF(ISBLANK($E142),"",INDEX(Sheet1!$A:$J,MATCH(Index_Match!$E142,Sheet1!$A:$A,0),MATCH(Index_Match!J$1,Sheet1!$A$1:$J$1,0)))</f>
        <v>Samantha Clark</v>
      </c>
      <c r="K142" s="23">
        <f>IF(ISBLANK($E142),"",INDEX(Sheet1!$A:$J,MATCH(Index_Match!$E142,Sheet1!$A:$A,0),MATCH(Index_Match!K$1,Sheet1!$A$1:$J$1,0)))</f>
        <v>0</v>
      </c>
      <c r="L142" s="20" t="str">
        <f>IF(ISBLANK($E142),"",INDEX(Sheet1!$A:$J,MATCH(Index_Match!$E142,Sheet1!$A:$A,0),MATCH(Index_Match!L$1,Sheet1!$A$1:$J$1,0)))</f>
        <v>Clark</v>
      </c>
      <c r="M142" s="20" t="str">
        <f>IF(ISBLANK($E142),"",INDEX(Sheet1!$A:$J,MATCH(Index_Match!$E142,Sheet1!$A:$A,0),MATCH(Index_Match!M$1,Sheet1!$A$1:$J$1,0)))</f>
        <v>Middle Age</v>
      </c>
    </row>
    <row r="143" spans="2:13" x14ac:dyDescent="0.25">
      <c r="B143" s="20"/>
      <c r="C143" s="20"/>
      <c r="D143" s="20"/>
      <c r="E143" s="20" t="str">
        <v>Agata</v>
      </c>
      <c r="F143" s="20" t="str">
        <f>IF(ISBLANK($E143),"",INDEX(Sheet1!$A:$J,MATCH(Index_Match!$E143,Sheet1!$A:$A,0),MATCH(Index_Match!F$1,Sheet1!$A$1:$J$1,0)))</f>
        <v>Female</v>
      </c>
      <c r="G143" s="20" t="str">
        <f>IF(ISBLANK($E143),"",INDEX(Sheet1!$A:$J,MATCH(Index_Match!$E143,Sheet1!$A:$A,0),MATCH(Index_Match!G$1,Sheet1!$A$1:$J$1,0)))</f>
        <v>Meteorologist</v>
      </c>
      <c r="H143" s="20" t="str">
        <f>IF(ISBLANK($E143),"",INDEX(Sheet1!$A:$J,MATCH(Index_Match!$E143,Sheet1!$A:$A,0),MATCH(Index_Match!H$1,Sheet1!$A$1:$J$1,0)))</f>
        <v>Single</v>
      </c>
      <c r="I143" s="23">
        <f>IF(ISBLANK($E143),"",INDEX(Sheet1!$A:$J,MATCH(Index_Match!$E143,Sheet1!$A:$A,0),MATCH(Index_Match!I$1,Sheet1!$A$1:$J$1,0)))</f>
        <v>0</v>
      </c>
      <c r="J143" s="20" t="str">
        <f>IF(ISBLANK($E143),"",INDEX(Sheet1!$A:$J,MATCH(Index_Match!$E143,Sheet1!$A:$A,0),MATCH(Index_Match!J$1,Sheet1!$A$1:$J$1,0)))</f>
        <v>Agata Adams</v>
      </c>
      <c r="K143" s="23">
        <f>IF(ISBLANK($E143),"",INDEX(Sheet1!$A:$J,MATCH(Index_Match!$E143,Sheet1!$A:$A,0),MATCH(Index_Match!K$1,Sheet1!$A$1:$J$1,0)))</f>
        <v>0</v>
      </c>
      <c r="L143" s="20" t="str">
        <f>IF(ISBLANK($E143),"",INDEX(Sheet1!$A:$J,MATCH(Index_Match!$E143,Sheet1!$A:$A,0),MATCH(Index_Match!L$1,Sheet1!$A$1:$J$1,0)))</f>
        <v>Adams</v>
      </c>
      <c r="M143" s="20" t="str">
        <f>IF(ISBLANK($E143),"",INDEX(Sheet1!$A:$J,MATCH(Index_Match!$E143,Sheet1!$A:$A,0),MATCH(Index_Match!M$1,Sheet1!$A$1:$J$1,0)))</f>
        <v>Young</v>
      </c>
    </row>
    <row r="144" spans="2:13" x14ac:dyDescent="0.25">
      <c r="B144" s="20"/>
      <c r="C144" s="20"/>
      <c r="D144" s="20"/>
      <c r="E144" s="20" t="str">
        <v>Julia</v>
      </c>
      <c r="F144" s="20" t="str">
        <f>IF(ISBLANK($E144),"",INDEX(Sheet1!$A:$J,MATCH(Index_Match!$E144,Sheet1!$A:$A,0),MATCH(Index_Match!F$1,Sheet1!$A$1:$J$1,0)))</f>
        <v>Female</v>
      </c>
      <c r="G144" s="20" t="str">
        <f>IF(ISBLANK($E144),"",INDEX(Sheet1!$A:$J,MATCH(Index_Match!$E144,Sheet1!$A:$A,0),MATCH(Index_Match!G$1,Sheet1!$A$1:$J$1,0)))</f>
        <v>Interpreter</v>
      </c>
      <c r="H144" s="20" t="str">
        <f>IF(ISBLANK($E144),"",INDEX(Sheet1!$A:$J,MATCH(Index_Match!$E144,Sheet1!$A:$A,0),MATCH(Index_Match!H$1,Sheet1!$A$1:$J$1,0)))</f>
        <v>Single</v>
      </c>
      <c r="I144" s="23">
        <f>IF(ISBLANK($E144),"",INDEX(Sheet1!$A:$J,MATCH(Index_Match!$E144,Sheet1!$A:$A,0),MATCH(Index_Match!I$1,Sheet1!$A$1:$J$1,0)))</f>
        <v>5</v>
      </c>
      <c r="J144" s="20" t="str">
        <f>IF(ISBLANK($E144),"",INDEX(Sheet1!$A:$J,MATCH(Index_Match!$E144,Sheet1!$A:$A,0),MATCH(Index_Match!J$1,Sheet1!$A$1:$J$1,0)))</f>
        <v>Julia Harrison</v>
      </c>
      <c r="K144" s="23">
        <f>IF(ISBLANK($E144),"",INDEX(Sheet1!$A:$J,MATCH(Index_Match!$E144,Sheet1!$A:$A,0),MATCH(Index_Match!K$1,Sheet1!$A$1:$J$1,0)))</f>
        <v>5</v>
      </c>
      <c r="L144" s="20" t="str">
        <f>IF(ISBLANK($E144),"",INDEX(Sheet1!$A:$J,MATCH(Index_Match!$E144,Sheet1!$A:$A,0),MATCH(Index_Match!L$1,Sheet1!$A$1:$J$1,0)))</f>
        <v>Harrison</v>
      </c>
      <c r="M144" s="20" t="str">
        <f>IF(ISBLANK($E144),"",INDEX(Sheet1!$A:$J,MATCH(Index_Match!$E144,Sheet1!$A:$A,0),MATCH(Index_Match!M$1,Sheet1!$A$1:$J$1,0)))</f>
        <v>Young</v>
      </c>
    </row>
    <row r="145" spans="2:13" x14ac:dyDescent="0.25">
      <c r="B145" s="20"/>
      <c r="C145" s="20"/>
      <c r="D145" s="20"/>
      <c r="E145" s="20" t="str">
        <v>Penelope</v>
      </c>
      <c r="F145" s="20" t="str">
        <f>IF(ISBLANK($E145),"",INDEX(Sheet1!$A:$J,MATCH(Index_Match!$E145,Sheet1!$A:$A,0),MATCH(Index_Match!F$1,Sheet1!$A$1:$J$1,0)))</f>
        <v>Female</v>
      </c>
      <c r="G145" s="20" t="str">
        <f>IF(ISBLANK($E145),"",INDEX(Sheet1!$A:$J,MATCH(Index_Match!$E145,Sheet1!$A:$A,0),MATCH(Index_Match!G$1,Sheet1!$A$1:$J$1,0)))</f>
        <v>Singer</v>
      </c>
      <c r="H145" s="20" t="str">
        <f>IF(ISBLANK($E145),"",INDEX(Sheet1!$A:$J,MATCH(Index_Match!$E145,Sheet1!$A:$A,0),MATCH(Index_Match!H$1,Sheet1!$A$1:$J$1,0)))</f>
        <v>Single</v>
      </c>
      <c r="I145" s="23">
        <f>IF(ISBLANK($E145),"",INDEX(Sheet1!$A:$J,MATCH(Index_Match!$E145,Sheet1!$A:$A,0),MATCH(Index_Match!I$1,Sheet1!$A$1:$J$1,0)))</f>
        <v>5</v>
      </c>
      <c r="J145" s="20" t="str">
        <f>IF(ISBLANK($E145),"",INDEX(Sheet1!$A:$J,MATCH(Index_Match!$E145,Sheet1!$A:$A,0),MATCH(Index_Match!J$1,Sheet1!$A$1:$J$1,0)))</f>
        <v>Penelope Henderson</v>
      </c>
      <c r="K145" s="23">
        <f>IF(ISBLANK($E145),"",INDEX(Sheet1!$A:$J,MATCH(Index_Match!$E145,Sheet1!$A:$A,0),MATCH(Index_Match!K$1,Sheet1!$A$1:$J$1,0)))</f>
        <v>5</v>
      </c>
      <c r="L145" s="20" t="str">
        <f>IF(ISBLANK($E145),"",INDEX(Sheet1!$A:$J,MATCH(Index_Match!$E145,Sheet1!$A:$A,0),MATCH(Index_Match!L$1,Sheet1!$A$1:$J$1,0)))</f>
        <v>Henderson</v>
      </c>
      <c r="M145" s="20" t="str">
        <f>IF(ISBLANK($E145),"",INDEX(Sheet1!$A:$J,MATCH(Index_Match!$E145,Sheet1!$A:$A,0),MATCH(Index_Match!M$1,Sheet1!$A$1:$J$1,0)))</f>
        <v>Middle Age</v>
      </c>
    </row>
    <row r="146" spans="2:13" x14ac:dyDescent="0.25">
      <c r="B146" s="20"/>
      <c r="C146" s="20"/>
      <c r="D146" s="20"/>
      <c r="E146" s="20" t="str">
        <v>Alissa</v>
      </c>
      <c r="F146" s="20" t="str">
        <f>IF(ISBLANK($E146),"",INDEX(Sheet1!$A:$J,MATCH(Index_Match!$E146,Sheet1!$A:$A,0),MATCH(Index_Match!F$1,Sheet1!$A$1:$J$1,0)))</f>
        <v>Female</v>
      </c>
      <c r="G146" s="20" t="str">
        <f>IF(ISBLANK($E146),"",INDEX(Sheet1!$A:$J,MATCH(Index_Match!$E146,Sheet1!$A:$A,0),MATCH(Index_Match!G$1,Sheet1!$A$1:$J$1,0)))</f>
        <v>Hairdresser</v>
      </c>
      <c r="H146" s="20" t="str">
        <f>IF(ISBLANK($E146),"",INDEX(Sheet1!$A:$J,MATCH(Index_Match!$E146,Sheet1!$A:$A,0),MATCH(Index_Match!H$1,Sheet1!$A$1:$J$1,0)))</f>
        <v>Single</v>
      </c>
      <c r="I146" s="23">
        <f>IF(ISBLANK($E146),"",INDEX(Sheet1!$A:$J,MATCH(Index_Match!$E146,Sheet1!$A:$A,0),MATCH(Index_Match!I$1,Sheet1!$A$1:$J$1,0)))</f>
        <v>0</v>
      </c>
      <c r="J146" s="20" t="str">
        <f>IF(ISBLANK($E146),"",INDEX(Sheet1!$A:$J,MATCH(Index_Match!$E146,Sheet1!$A:$A,0),MATCH(Index_Match!J$1,Sheet1!$A$1:$J$1,0)))</f>
        <v>Alissa Ferguson</v>
      </c>
      <c r="K146" s="23">
        <f>IF(ISBLANK($E146),"",INDEX(Sheet1!$A:$J,MATCH(Index_Match!$E146,Sheet1!$A:$A,0),MATCH(Index_Match!K$1,Sheet1!$A$1:$J$1,0)))</f>
        <v>0</v>
      </c>
      <c r="L146" s="20" t="str">
        <f>IF(ISBLANK($E146),"",INDEX(Sheet1!$A:$J,MATCH(Index_Match!$E146,Sheet1!$A:$A,0),MATCH(Index_Match!L$1,Sheet1!$A$1:$J$1,0)))</f>
        <v>Ferguson</v>
      </c>
      <c r="M146" s="20" t="str">
        <f>IF(ISBLANK($E146),"",INDEX(Sheet1!$A:$J,MATCH(Index_Match!$E146,Sheet1!$A:$A,0),MATCH(Index_Match!M$1,Sheet1!$A$1:$J$1,0)))</f>
        <v>Middle Age</v>
      </c>
    </row>
    <row r="147" spans="2:13" x14ac:dyDescent="0.25">
      <c r="B147" s="20"/>
      <c r="C147" s="20"/>
      <c r="D147" s="20"/>
      <c r="E147" s="20" t="str">
        <v>Myra</v>
      </c>
      <c r="F147" s="20" t="str">
        <f>IF(ISBLANK($E147),"",INDEX(Sheet1!$A:$J,MATCH(Index_Match!$E147,Sheet1!$A:$A,0),MATCH(Index_Match!F$1,Sheet1!$A$1:$J$1,0)))</f>
        <v>Female</v>
      </c>
      <c r="G147" s="20" t="str">
        <f>IF(ISBLANK($E147),"",INDEX(Sheet1!$A:$J,MATCH(Index_Match!$E147,Sheet1!$A:$A,0),MATCH(Index_Match!G$1,Sheet1!$A$1:$J$1,0)))</f>
        <v>Architect</v>
      </c>
      <c r="H147" s="20" t="str">
        <f>IF(ISBLANK($E147),"",INDEX(Sheet1!$A:$J,MATCH(Index_Match!$E147,Sheet1!$A:$A,0),MATCH(Index_Match!H$1,Sheet1!$A$1:$J$1,0)))</f>
        <v>Single</v>
      </c>
      <c r="I147" s="23">
        <f>IF(ISBLANK($E147),"",INDEX(Sheet1!$A:$J,MATCH(Index_Match!$E147,Sheet1!$A:$A,0),MATCH(Index_Match!I$1,Sheet1!$A$1:$J$1,0)))</f>
        <v>0</v>
      </c>
      <c r="J147" s="20" t="str">
        <f>IF(ISBLANK($E147),"",INDEX(Sheet1!$A:$J,MATCH(Index_Match!$E147,Sheet1!$A:$A,0),MATCH(Index_Match!J$1,Sheet1!$A$1:$J$1,0)))</f>
        <v>Myra Ryan</v>
      </c>
      <c r="K147" s="23">
        <f>IF(ISBLANK($E147),"",INDEX(Sheet1!$A:$J,MATCH(Index_Match!$E147,Sheet1!$A:$A,0),MATCH(Index_Match!K$1,Sheet1!$A$1:$J$1,0)))</f>
        <v>0</v>
      </c>
      <c r="L147" s="20" t="str">
        <f>IF(ISBLANK($E147),"",INDEX(Sheet1!$A:$J,MATCH(Index_Match!$E147,Sheet1!$A:$A,0),MATCH(Index_Match!L$1,Sheet1!$A$1:$J$1,0)))</f>
        <v>Ryan</v>
      </c>
      <c r="M147" s="20" t="str">
        <f>IF(ISBLANK($E147),"",INDEX(Sheet1!$A:$J,MATCH(Index_Match!$E147,Sheet1!$A:$A,0),MATCH(Index_Match!M$1,Sheet1!$A$1:$J$1,0)))</f>
        <v>Young</v>
      </c>
    </row>
    <row r="148" spans="2:13" x14ac:dyDescent="0.25">
      <c r="B148" s="20"/>
      <c r="C148" s="20"/>
      <c r="D148" s="20"/>
      <c r="E148" s="20" t="str">
        <v>Cadie</v>
      </c>
      <c r="F148" s="20" t="str">
        <f>IF(ISBLANK($E148),"",INDEX(Sheet1!$A:$J,MATCH(Index_Match!$E148,Sheet1!$A:$A,0),MATCH(Index_Match!F$1,Sheet1!$A$1:$J$1,0)))</f>
        <v>Female</v>
      </c>
      <c r="G148" s="20" t="str">
        <f>IF(ISBLANK($E148),"",INDEX(Sheet1!$A:$J,MATCH(Index_Match!$E148,Sheet1!$A:$A,0),MATCH(Index_Match!G$1,Sheet1!$A$1:$J$1,0)))</f>
        <v>Auditor</v>
      </c>
      <c r="H148" s="20" t="str">
        <f>IF(ISBLANK($E148),"",INDEX(Sheet1!$A:$J,MATCH(Index_Match!$E148,Sheet1!$A:$A,0),MATCH(Index_Match!H$1,Sheet1!$A$1:$J$1,0)))</f>
        <v>Married</v>
      </c>
      <c r="I148" s="23">
        <f>IF(ISBLANK($E148),"",INDEX(Sheet1!$A:$J,MATCH(Index_Match!$E148,Sheet1!$A:$A,0),MATCH(Index_Match!I$1,Sheet1!$A$1:$J$1,0)))</f>
        <v>2</v>
      </c>
      <c r="J148" s="20" t="str">
        <f>IF(ISBLANK($E148),"",INDEX(Sheet1!$A:$J,MATCH(Index_Match!$E148,Sheet1!$A:$A,0),MATCH(Index_Match!J$1,Sheet1!$A$1:$J$1,0)))</f>
        <v>Cadie Taylor</v>
      </c>
      <c r="K148" s="23">
        <f>IF(ISBLANK($E148),"",INDEX(Sheet1!$A:$J,MATCH(Index_Match!$E148,Sheet1!$A:$A,0),MATCH(Index_Match!K$1,Sheet1!$A$1:$J$1,0)))</f>
        <v>2</v>
      </c>
      <c r="L148" s="20" t="str">
        <f>IF(ISBLANK($E148),"",INDEX(Sheet1!$A:$J,MATCH(Index_Match!$E148,Sheet1!$A:$A,0),MATCH(Index_Match!L$1,Sheet1!$A$1:$J$1,0)))</f>
        <v>Taylor</v>
      </c>
      <c r="M148" s="20" t="str">
        <f>IF(ISBLANK($E148),"",INDEX(Sheet1!$A:$J,MATCH(Index_Match!$E148,Sheet1!$A:$A,0),MATCH(Index_Match!M$1,Sheet1!$A$1:$J$1,0)))</f>
        <v>Young</v>
      </c>
    </row>
    <row r="149" spans="2:13" x14ac:dyDescent="0.25">
      <c r="B149" s="20"/>
      <c r="C149" s="20"/>
      <c r="D149" s="20"/>
      <c r="E149" s="20" t="str">
        <v>Chelsea</v>
      </c>
      <c r="F149" s="20" t="str">
        <f>IF(ISBLANK($E149),"",INDEX(Sheet1!$A:$J,MATCH(Index_Match!$E149,Sheet1!$A:$A,0),MATCH(Index_Match!F$1,Sheet1!$A$1:$J$1,0)))</f>
        <v>Female</v>
      </c>
      <c r="G149" s="20" t="str">
        <f>IF(ISBLANK($E149),"",INDEX(Sheet1!$A:$J,MATCH(Index_Match!$E149,Sheet1!$A:$A,0),MATCH(Index_Match!G$1,Sheet1!$A$1:$J$1,0)))</f>
        <v>Meteorologist</v>
      </c>
      <c r="H149" s="20" t="str">
        <f>IF(ISBLANK($E149),"",INDEX(Sheet1!$A:$J,MATCH(Index_Match!$E149,Sheet1!$A:$A,0),MATCH(Index_Match!H$1,Sheet1!$A$1:$J$1,0)))</f>
        <v>Married</v>
      </c>
      <c r="I149" s="23">
        <f>IF(ISBLANK($E149),"",INDEX(Sheet1!$A:$J,MATCH(Index_Match!$E149,Sheet1!$A:$A,0),MATCH(Index_Match!I$1,Sheet1!$A$1:$J$1,0)))</f>
        <v>2</v>
      </c>
      <c r="J149" s="20" t="str">
        <f>IF(ISBLANK($E149),"",INDEX(Sheet1!$A:$J,MATCH(Index_Match!$E149,Sheet1!$A:$A,0),MATCH(Index_Match!J$1,Sheet1!$A$1:$J$1,0)))</f>
        <v>Chelsea Perkins</v>
      </c>
      <c r="K149" s="23">
        <f>IF(ISBLANK($E149),"",INDEX(Sheet1!$A:$J,MATCH(Index_Match!$E149,Sheet1!$A:$A,0),MATCH(Index_Match!K$1,Sheet1!$A$1:$J$1,0)))</f>
        <v>2</v>
      </c>
      <c r="L149" s="20" t="str">
        <f>IF(ISBLANK($E149),"",INDEX(Sheet1!$A:$J,MATCH(Index_Match!$E149,Sheet1!$A:$A,0),MATCH(Index_Match!L$1,Sheet1!$A$1:$J$1,0)))</f>
        <v>Perkins</v>
      </c>
      <c r="M149" s="20" t="str">
        <f>IF(ISBLANK($E149),"",INDEX(Sheet1!$A:$J,MATCH(Index_Match!$E149,Sheet1!$A:$A,0),MATCH(Index_Match!M$1,Sheet1!$A$1:$J$1,0)))</f>
        <v>Young</v>
      </c>
    </row>
    <row r="150" spans="2:13" x14ac:dyDescent="0.25">
      <c r="B150" s="20"/>
      <c r="C150" s="20"/>
      <c r="D150" s="20"/>
      <c r="E150" s="20" t="str">
        <v>April</v>
      </c>
      <c r="F150" s="20" t="str">
        <f>IF(ISBLANK($E150),"",INDEX(Sheet1!$A:$J,MATCH(Index_Match!$E150,Sheet1!$A:$A,0),MATCH(Index_Match!F$1,Sheet1!$A$1:$J$1,0)))</f>
        <v>Female</v>
      </c>
      <c r="G150" s="20" t="str">
        <f>IF(ISBLANK($E150),"",INDEX(Sheet1!$A:$J,MATCH(Index_Match!$E150,Sheet1!$A:$A,0),MATCH(Index_Match!G$1,Sheet1!$A$1:$J$1,0)))</f>
        <v>Fashion Designer</v>
      </c>
      <c r="H150" s="20" t="str">
        <f>IF(ISBLANK($E150),"",INDEX(Sheet1!$A:$J,MATCH(Index_Match!$E150,Sheet1!$A:$A,0),MATCH(Index_Match!H$1,Sheet1!$A$1:$J$1,0)))</f>
        <v>Married</v>
      </c>
      <c r="I150" s="23">
        <f>IF(ISBLANK($E150),"",INDEX(Sheet1!$A:$J,MATCH(Index_Match!$E150,Sheet1!$A:$A,0),MATCH(Index_Match!I$1,Sheet1!$A$1:$J$1,0)))</f>
        <v>3</v>
      </c>
      <c r="J150" s="20" t="str">
        <f>IF(ISBLANK($E150),"",INDEX(Sheet1!$A:$J,MATCH(Index_Match!$E150,Sheet1!$A:$A,0),MATCH(Index_Match!J$1,Sheet1!$A$1:$J$1,0)))</f>
        <v>April Kelley</v>
      </c>
      <c r="K150" s="23">
        <f>IF(ISBLANK($E150),"",INDEX(Sheet1!$A:$J,MATCH(Index_Match!$E150,Sheet1!$A:$A,0),MATCH(Index_Match!K$1,Sheet1!$A$1:$J$1,0)))</f>
        <v>3</v>
      </c>
      <c r="L150" s="20" t="str">
        <f>IF(ISBLANK($E150),"",INDEX(Sheet1!$A:$J,MATCH(Index_Match!$E150,Sheet1!$A:$A,0),MATCH(Index_Match!L$1,Sheet1!$A$1:$J$1,0)))</f>
        <v>Kelley</v>
      </c>
      <c r="M150" s="20" t="str">
        <f>IF(ISBLANK($E150),"",INDEX(Sheet1!$A:$J,MATCH(Index_Match!$E150,Sheet1!$A:$A,0),MATCH(Index_Match!M$1,Sheet1!$A$1:$J$1,0)))</f>
        <v>Old</v>
      </c>
    </row>
    <row r="151" spans="2:13" x14ac:dyDescent="0.25">
      <c r="B151" s="20"/>
      <c r="C151" s="20"/>
      <c r="D151" s="20"/>
      <c r="E151" s="20" t="str">
        <v>Kate</v>
      </c>
      <c r="F151" s="20" t="str">
        <f>IF(ISBLANK($E151),"",INDEX(Sheet1!$A:$J,MATCH(Index_Match!$E151,Sheet1!$A:$A,0),MATCH(Index_Match!F$1,Sheet1!$A$1:$J$1,0)))</f>
        <v>Female</v>
      </c>
      <c r="G151" s="20" t="str">
        <f>IF(ISBLANK($E151),"",INDEX(Sheet1!$A:$J,MATCH(Index_Match!$E151,Sheet1!$A:$A,0),MATCH(Index_Match!G$1,Sheet1!$A$1:$J$1,0)))</f>
        <v>Astronomer</v>
      </c>
      <c r="H151" s="20" t="str">
        <f>IF(ISBLANK($E151),"",INDEX(Sheet1!$A:$J,MATCH(Index_Match!$E151,Sheet1!$A:$A,0),MATCH(Index_Match!H$1,Sheet1!$A$1:$J$1,0)))</f>
        <v>Single</v>
      </c>
      <c r="I151" s="23">
        <f>IF(ISBLANK($E151),"",INDEX(Sheet1!$A:$J,MATCH(Index_Match!$E151,Sheet1!$A:$A,0),MATCH(Index_Match!I$1,Sheet1!$A$1:$J$1,0)))</f>
        <v>1</v>
      </c>
      <c r="J151" s="20" t="str">
        <f>IF(ISBLANK($E151),"",INDEX(Sheet1!$A:$J,MATCH(Index_Match!$E151,Sheet1!$A:$A,0),MATCH(Index_Match!J$1,Sheet1!$A$1:$J$1,0)))</f>
        <v>Kate Robinson</v>
      </c>
      <c r="K151" s="23">
        <f>IF(ISBLANK($E151),"",INDEX(Sheet1!$A:$J,MATCH(Index_Match!$E151,Sheet1!$A:$A,0),MATCH(Index_Match!K$1,Sheet1!$A$1:$J$1,0)))</f>
        <v>1</v>
      </c>
      <c r="L151" s="20" t="str">
        <f>IF(ISBLANK($E151),"",INDEX(Sheet1!$A:$J,MATCH(Index_Match!$E151,Sheet1!$A:$A,0),MATCH(Index_Match!L$1,Sheet1!$A$1:$J$1,0)))</f>
        <v>Robinson</v>
      </c>
      <c r="M151" s="20" t="str">
        <f>IF(ISBLANK($E151),"",INDEX(Sheet1!$A:$J,MATCH(Index_Match!$E151,Sheet1!$A:$A,0),MATCH(Index_Match!M$1,Sheet1!$A$1:$J$1,0)))</f>
        <v>Young</v>
      </c>
    </row>
    <row r="152" spans="2:13" x14ac:dyDescent="0.25">
      <c r="B152" s="20"/>
      <c r="C152" s="20"/>
      <c r="D152" s="20"/>
      <c r="E152" s="20" t="str">
        <v>Brianna</v>
      </c>
      <c r="F152" s="20" t="str">
        <f>IF(ISBLANK($E152),"",INDEX(Sheet1!$A:$J,MATCH(Index_Match!$E152,Sheet1!$A:$A,0),MATCH(Index_Match!F$1,Sheet1!$A$1:$J$1,0)))</f>
        <v>Female</v>
      </c>
      <c r="G152" s="20" t="str">
        <f>IF(ISBLANK($E152),"",INDEX(Sheet1!$A:$J,MATCH(Index_Match!$E152,Sheet1!$A:$A,0),MATCH(Index_Match!G$1,Sheet1!$A$1:$J$1,0)))</f>
        <v>Mechanic</v>
      </c>
      <c r="H152" s="20" t="str">
        <f>IF(ISBLANK($E152),"",INDEX(Sheet1!$A:$J,MATCH(Index_Match!$E152,Sheet1!$A:$A,0),MATCH(Index_Match!H$1,Sheet1!$A$1:$J$1,0)))</f>
        <v>Married</v>
      </c>
      <c r="I152" s="23">
        <f>IF(ISBLANK($E152),"",INDEX(Sheet1!$A:$J,MATCH(Index_Match!$E152,Sheet1!$A:$A,0),MATCH(Index_Match!I$1,Sheet1!$A$1:$J$1,0)))</f>
        <v>1</v>
      </c>
      <c r="J152" s="20" t="str">
        <f>IF(ISBLANK($E152),"",INDEX(Sheet1!$A:$J,MATCH(Index_Match!$E152,Sheet1!$A:$A,0),MATCH(Index_Match!J$1,Sheet1!$A$1:$J$1,0)))</f>
        <v>Brianna Fowler</v>
      </c>
      <c r="K152" s="23">
        <f>IF(ISBLANK($E152),"",INDEX(Sheet1!$A:$J,MATCH(Index_Match!$E152,Sheet1!$A:$A,0),MATCH(Index_Match!K$1,Sheet1!$A$1:$J$1,0)))</f>
        <v>1</v>
      </c>
      <c r="L152" s="20" t="str">
        <f>IF(ISBLANK($E152),"",INDEX(Sheet1!$A:$J,MATCH(Index_Match!$E152,Sheet1!$A:$A,0),MATCH(Index_Match!L$1,Sheet1!$A$1:$J$1,0)))</f>
        <v>Fowler</v>
      </c>
      <c r="M152" s="20" t="str">
        <f>IF(ISBLANK($E152),"",INDEX(Sheet1!$A:$J,MATCH(Index_Match!$E152,Sheet1!$A:$A,0),MATCH(Index_Match!M$1,Sheet1!$A$1:$J$1,0)))</f>
        <v>Young</v>
      </c>
    </row>
    <row r="153" spans="2:13" x14ac:dyDescent="0.25">
      <c r="B153" s="20"/>
      <c r="C153" s="20"/>
      <c r="D153" s="20"/>
      <c r="E153" s="20" t="str">
        <v>Amelia</v>
      </c>
      <c r="F153" s="20" t="str">
        <f>IF(ISBLANK($E153),"",INDEX(Sheet1!$A:$J,MATCH(Index_Match!$E153,Sheet1!$A:$A,0),MATCH(Index_Match!F$1,Sheet1!$A$1:$J$1,0)))</f>
        <v>Female</v>
      </c>
      <c r="G153" s="20" t="str">
        <f>IF(ISBLANK($E153),"",INDEX(Sheet1!$A:$J,MATCH(Index_Match!$E153,Sheet1!$A:$A,0),MATCH(Index_Match!G$1,Sheet1!$A$1:$J$1,0)))</f>
        <v>Scientist</v>
      </c>
      <c r="H153" s="20" t="str">
        <f>IF(ISBLANK($E153),"",INDEX(Sheet1!$A:$J,MATCH(Index_Match!$E153,Sheet1!$A:$A,0),MATCH(Index_Match!H$1,Sheet1!$A$1:$J$1,0)))</f>
        <v>Single</v>
      </c>
      <c r="I153" s="23">
        <f>IF(ISBLANK($E153),"",INDEX(Sheet1!$A:$J,MATCH(Index_Match!$E153,Sheet1!$A:$A,0),MATCH(Index_Match!I$1,Sheet1!$A$1:$J$1,0)))</f>
        <v>2</v>
      </c>
      <c r="J153" s="20" t="str">
        <f>IF(ISBLANK($E153),"",INDEX(Sheet1!$A:$J,MATCH(Index_Match!$E153,Sheet1!$A:$A,0),MATCH(Index_Match!J$1,Sheet1!$A$1:$J$1,0)))</f>
        <v>Amelia Craig</v>
      </c>
      <c r="K153" s="23">
        <f>IF(ISBLANK($E153),"",INDEX(Sheet1!$A:$J,MATCH(Index_Match!$E153,Sheet1!$A:$A,0),MATCH(Index_Match!K$1,Sheet1!$A$1:$J$1,0)))</f>
        <v>2</v>
      </c>
      <c r="L153" s="20" t="str">
        <f>IF(ISBLANK($E153),"",INDEX(Sheet1!$A:$J,MATCH(Index_Match!$E153,Sheet1!$A:$A,0),MATCH(Index_Match!L$1,Sheet1!$A$1:$J$1,0)))</f>
        <v>Craig</v>
      </c>
      <c r="M153" s="20" t="str">
        <f>IF(ISBLANK($E153),"",INDEX(Sheet1!$A:$J,MATCH(Index_Match!$E153,Sheet1!$A:$A,0),MATCH(Index_Match!M$1,Sheet1!$A$1:$J$1,0)))</f>
        <v>Old</v>
      </c>
    </row>
    <row r="154" spans="2:13" x14ac:dyDescent="0.25">
      <c r="B154" s="20"/>
      <c r="C154" s="20"/>
      <c r="D154" s="20"/>
      <c r="E154" s="20" t="str">
        <v>Paige</v>
      </c>
      <c r="F154" s="20" t="str">
        <f>IF(ISBLANK($E154),"",INDEX(Sheet1!$A:$J,MATCH(Index_Match!$E154,Sheet1!$A:$A,0),MATCH(Index_Match!F$1,Sheet1!$A$1:$J$1,0)))</f>
        <v>Female</v>
      </c>
      <c r="G154" s="20" t="str">
        <f>IF(ISBLANK($E154),"",INDEX(Sheet1!$A:$J,MATCH(Index_Match!$E154,Sheet1!$A:$A,0),MATCH(Index_Match!G$1,Sheet1!$A$1:$J$1,0)))</f>
        <v>Biochemist</v>
      </c>
      <c r="H154" s="20" t="str">
        <f>IF(ISBLANK($E154),"",INDEX(Sheet1!$A:$J,MATCH(Index_Match!$E154,Sheet1!$A:$A,0),MATCH(Index_Match!H$1,Sheet1!$A$1:$J$1,0)))</f>
        <v>Married</v>
      </c>
      <c r="I154" s="23">
        <f>IF(ISBLANK($E154),"",INDEX(Sheet1!$A:$J,MATCH(Index_Match!$E154,Sheet1!$A:$A,0),MATCH(Index_Match!I$1,Sheet1!$A$1:$J$1,0)))</f>
        <v>4</v>
      </c>
      <c r="J154" s="20" t="str">
        <f>IF(ISBLANK($E154),"",INDEX(Sheet1!$A:$J,MATCH(Index_Match!$E154,Sheet1!$A:$A,0),MATCH(Index_Match!J$1,Sheet1!$A$1:$J$1,0)))</f>
        <v>Paige Moore</v>
      </c>
      <c r="K154" s="23">
        <f>IF(ISBLANK($E154),"",INDEX(Sheet1!$A:$J,MATCH(Index_Match!$E154,Sheet1!$A:$A,0),MATCH(Index_Match!K$1,Sheet1!$A$1:$J$1,0)))</f>
        <v>4</v>
      </c>
      <c r="L154" s="20" t="str">
        <f>IF(ISBLANK($E154),"",INDEX(Sheet1!$A:$J,MATCH(Index_Match!$E154,Sheet1!$A:$A,0),MATCH(Index_Match!L$1,Sheet1!$A$1:$J$1,0)))</f>
        <v>Moore</v>
      </c>
      <c r="M154" s="20" t="str">
        <f>IF(ISBLANK($E154),"",INDEX(Sheet1!$A:$J,MATCH(Index_Match!$E154,Sheet1!$A:$A,0),MATCH(Index_Match!M$1,Sheet1!$A$1:$J$1,0)))</f>
        <v>Middle Age</v>
      </c>
    </row>
    <row r="155" spans="2:13" x14ac:dyDescent="0.25">
      <c r="B155" s="20"/>
      <c r="C155" s="20"/>
      <c r="D155" s="20"/>
      <c r="E155" s="20" t="str">
        <v>Arianna</v>
      </c>
      <c r="F155" s="20" t="str">
        <f>IF(ISBLANK($E155),"",INDEX(Sheet1!$A:$J,MATCH(Index_Match!$E155,Sheet1!$A:$A,0),MATCH(Index_Match!F$1,Sheet1!$A$1:$J$1,0)))</f>
        <v>Female</v>
      </c>
      <c r="G155" s="20" t="str">
        <f>IF(ISBLANK($E155),"",INDEX(Sheet1!$A:$J,MATCH(Index_Match!$E155,Sheet1!$A:$A,0),MATCH(Index_Match!G$1,Sheet1!$A$1:$J$1,0)))</f>
        <v>Biochemist</v>
      </c>
      <c r="H155" s="20" t="str">
        <f>IF(ISBLANK($E155),"",INDEX(Sheet1!$A:$J,MATCH(Index_Match!$E155,Sheet1!$A:$A,0),MATCH(Index_Match!H$1,Sheet1!$A$1:$J$1,0)))</f>
        <v>Married</v>
      </c>
      <c r="I155" s="23">
        <f>IF(ISBLANK($E155),"",INDEX(Sheet1!$A:$J,MATCH(Index_Match!$E155,Sheet1!$A:$A,0),MATCH(Index_Match!I$1,Sheet1!$A$1:$J$1,0)))</f>
        <v>0</v>
      </c>
      <c r="J155" s="20" t="str">
        <f>IF(ISBLANK($E155),"",INDEX(Sheet1!$A:$J,MATCH(Index_Match!$E155,Sheet1!$A:$A,0),MATCH(Index_Match!J$1,Sheet1!$A$1:$J$1,0)))</f>
        <v>Arianna Hall</v>
      </c>
      <c r="K155" s="23">
        <f>IF(ISBLANK($E155),"",INDEX(Sheet1!$A:$J,MATCH(Index_Match!$E155,Sheet1!$A:$A,0),MATCH(Index_Match!K$1,Sheet1!$A$1:$J$1,0)))</f>
        <v>0</v>
      </c>
      <c r="L155" s="20" t="str">
        <f>IF(ISBLANK($E155),"",INDEX(Sheet1!$A:$J,MATCH(Index_Match!$E155,Sheet1!$A:$A,0),MATCH(Index_Match!L$1,Sheet1!$A$1:$J$1,0)))</f>
        <v>Hall</v>
      </c>
      <c r="M155" s="20" t="str">
        <f>IF(ISBLANK($E155),"",INDEX(Sheet1!$A:$J,MATCH(Index_Match!$E155,Sheet1!$A:$A,0),MATCH(Index_Match!M$1,Sheet1!$A$1:$J$1,0)))</f>
        <v>Old</v>
      </c>
    </row>
    <row r="156" spans="2:13" x14ac:dyDescent="0.25">
      <c r="B156" s="20"/>
      <c r="C156" s="20"/>
      <c r="D156" s="20"/>
      <c r="E156" s="20" t="str">
        <v>Violet</v>
      </c>
      <c r="F156" s="20" t="str">
        <f>IF(ISBLANK($E156),"",INDEX(Sheet1!$A:$J,MATCH(Index_Match!$E156,Sheet1!$A:$A,0),MATCH(Index_Match!F$1,Sheet1!$A$1:$J$1,0)))</f>
        <v>Female</v>
      </c>
      <c r="G156" s="20" t="str">
        <f>IF(ISBLANK($E156),"",INDEX(Sheet1!$A:$J,MATCH(Index_Match!$E156,Sheet1!$A:$A,0),MATCH(Index_Match!G$1,Sheet1!$A$1:$J$1,0)))</f>
        <v>Driver</v>
      </c>
      <c r="H156" s="20" t="str">
        <f>IF(ISBLANK($E156),"",INDEX(Sheet1!$A:$J,MATCH(Index_Match!$E156,Sheet1!$A:$A,0),MATCH(Index_Match!H$1,Sheet1!$A$1:$J$1,0)))</f>
        <v>Married</v>
      </c>
      <c r="I156" s="23">
        <f>IF(ISBLANK($E156),"",INDEX(Sheet1!$A:$J,MATCH(Index_Match!$E156,Sheet1!$A:$A,0),MATCH(Index_Match!I$1,Sheet1!$A$1:$J$1,0)))</f>
        <v>2</v>
      </c>
      <c r="J156" s="20" t="str">
        <f>IF(ISBLANK($E156),"",INDEX(Sheet1!$A:$J,MATCH(Index_Match!$E156,Sheet1!$A:$A,0),MATCH(Index_Match!J$1,Sheet1!$A$1:$J$1,0)))</f>
        <v>Violet Cooper</v>
      </c>
      <c r="K156" s="23">
        <f>IF(ISBLANK($E156),"",INDEX(Sheet1!$A:$J,MATCH(Index_Match!$E156,Sheet1!$A:$A,0),MATCH(Index_Match!K$1,Sheet1!$A$1:$J$1,0)))</f>
        <v>2</v>
      </c>
      <c r="L156" s="20" t="str">
        <f>IF(ISBLANK($E156),"",INDEX(Sheet1!$A:$J,MATCH(Index_Match!$E156,Sheet1!$A:$A,0),MATCH(Index_Match!L$1,Sheet1!$A$1:$J$1,0)))</f>
        <v>Cooper</v>
      </c>
      <c r="M156" s="20" t="str">
        <f>IF(ISBLANK($E156),"",INDEX(Sheet1!$A:$J,MATCH(Index_Match!$E156,Sheet1!$A:$A,0),MATCH(Index_Match!M$1,Sheet1!$A$1:$J$1,0)))</f>
        <v>Old</v>
      </c>
    </row>
    <row r="157" spans="2:13" x14ac:dyDescent="0.25">
      <c r="B157" s="20"/>
      <c r="C157" s="20"/>
      <c r="D157" s="20"/>
      <c r="E157" s="20" t="str">
        <v>Catherine</v>
      </c>
      <c r="F157" s="20" t="str">
        <f>IF(ISBLANK($E157),"",INDEX(Sheet1!$A:$J,MATCH(Index_Match!$E157,Sheet1!$A:$A,0),MATCH(Index_Match!F$1,Sheet1!$A$1:$J$1,0)))</f>
        <v>Female</v>
      </c>
      <c r="G157" s="20" t="str">
        <f>IF(ISBLANK($E157),"",INDEX(Sheet1!$A:$J,MATCH(Index_Match!$E157,Sheet1!$A:$A,0),MATCH(Index_Match!G$1,Sheet1!$A$1:$J$1,0)))</f>
        <v>Jeweller</v>
      </c>
      <c r="H157" s="20" t="str">
        <f>IF(ISBLANK($E157),"",INDEX(Sheet1!$A:$J,MATCH(Index_Match!$E157,Sheet1!$A:$A,0),MATCH(Index_Match!H$1,Sheet1!$A$1:$J$1,0)))</f>
        <v>Single</v>
      </c>
      <c r="I157" s="23">
        <f>IF(ISBLANK($E157),"",INDEX(Sheet1!$A:$J,MATCH(Index_Match!$E157,Sheet1!$A:$A,0),MATCH(Index_Match!I$1,Sheet1!$A$1:$J$1,0)))</f>
        <v>3</v>
      </c>
      <c r="J157" s="20" t="str">
        <f>IF(ISBLANK($E157),"",INDEX(Sheet1!$A:$J,MATCH(Index_Match!$E157,Sheet1!$A:$A,0),MATCH(Index_Match!J$1,Sheet1!$A$1:$J$1,0)))</f>
        <v>Catherine Sullivan</v>
      </c>
      <c r="K157" s="23">
        <f>IF(ISBLANK($E157),"",INDEX(Sheet1!$A:$J,MATCH(Index_Match!$E157,Sheet1!$A:$A,0),MATCH(Index_Match!K$1,Sheet1!$A$1:$J$1,0)))</f>
        <v>3</v>
      </c>
      <c r="L157" s="20" t="str">
        <f>IF(ISBLANK($E157),"",INDEX(Sheet1!$A:$J,MATCH(Index_Match!$E157,Sheet1!$A:$A,0),MATCH(Index_Match!L$1,Sheet1!$A$1:$J$1,0)))</f>
        <v>Sullivan</v>
      </c>
      <c r="M157" s="20" t="str">
        <f>IF(ISBLANK($E157),"",INDEX(Sheet1!$A:$J,MATCH(Index_Match!$E157,Sheet1!$A:$A,0),MATCH(Index_Match!M$1,Sheet1!$A$1:$J$1,0)))</f>
        <v>Young</v>
      </c>
    </row>
    <row r="158" spans="2:13" x14ac:dyDescent="0.25">
      <c r="B158" s="20"/>
      <c r="C158" s="20"/>
      <c r="D158" s="20"/>
      <c r="E158" s="20" t="str">
        <v>Honey</v>
      </c>
      <c r="F158" s="20" t="str">
        <f>IF(ISBLANK($E158),"",INDEX(Sheet1!$A:$J,MATCH(Index_Match!$E158,Sheet1!$A:$A,0),MATCH(Index_Match!F$1,Sheet1!$A$1:$J$1,0)))</f>
        <v>Female</v>
      </c>
      <c r="G158" s="20" t="str">
        <f>IF(ISBLANK($E158),"",INDEX(Sheet1!$A:$J,MATCH(Index_Match!$E158,Sheet1!$A:$A,0),MATCH(Index_Match!G$1,Sheet1!$A$1:$J$1,0)))</f>
        <v>Photographer</v>
      </c>
      <c r="H158" s="20" t="str">
        <f>IF(ISBLANK($E158),"",INDEX(Sheet1!$A:$J,MATCH(Index_Match!$E158,Sheet1!$A:$A,0),MATCH(Index_Match!H$1,Sheet1!$A$1:$J$1,0)))</f>
        <v>Single</v>
      </c>
      <c r="I158" s="23">
        <f>IF(ISBLANK($E158),"",INDEX(Sheet1!$A:$J,MATCH(Index_Match!$E158,Sheet1!$A:$A,0),MATCH(Index_Match!I$1,Sheet1!$A$1:$J$1,0)))</f>
        <v>5</v>
      </c>
      <c r="J158" s="20" t="str">
        <f>IF(ISBLANK($E158),"",INDEX(Sheet1!$A:$J,MATCH(Index_Match!$E158,Sheet1!$A:$A,0),MATCH(Index_Match!J$1,Sheet1!$A$1:$J$1,0)))</f>
        <v>Honey Turner</v>
      </c>
      <c r="K158" s="23">
        <f>IF(ISBLANK($E158),"",INDEX(Sheet1!$A:$J,MATCH(Index_Match!$E158,Sheet1!$A:$A,0),MATCH(Index_Match!K$1,Sheet1!$A$1:$J$1,0)))</f>
        <v>5</v>
      </c>
      <c r="L158" s="20" t="str">
        <f>IF(ISBLANK($E158),"",INDEX(Sheet1!$A:$J,MATCH(Index_Match!$E158,Sheet1!$A:$A,0),MATCH(Index_Match!L$1,Sheet1!$A$1:$J$1,0)))</f>
        <v>Turner</v>
      </c>
      <c r="M158" s="20" t="str">
        <f>IF(ISBLANK($E158),"",INDEX(Sheet1!$A:$J,MATCH(Index_Match!$E158,Sheet1!$A:$A,0),MATCH(Index_Match!M$1,Sheet1!$A$1:$J$1,0)))</f>
        <v>Old</v>
      </c>
    </row>
    <row r="159" spans="2:13" x14ac:dyDescent="0.25">
      <c r="B159" s="20"/>
      <c r="C159" s="20"/>
      <c r="D159" s="20"/>
      <c r="E159" s="20" t="str">
        <v>Alina</v>
      </c>
      <c r="F159" s="20" t="str">
        <f>IF(ISBLANK($E159),"",INDEX(Sheet1!$A:$J,MATCH(Index_Match!$E159,Sheet1!$A:$A,0),MATCH(Index_Match!F$1,Sheet1!$A$1:$J$1,0)))</f>
        <v>Female</v>
      </c>
      <c r="G159" s="20" t="str">
        <f>IF(ISBLANK($E159),"",INDEX(Sheet1!$A:$J,MATCH(Index_Match!$E159,Sheet1!$A:$A,0),MATCH(Index_Match!G$1,Sheet1!$A$1:$J$1,0)))</f>
        <v>Engineer</v>
      </c>
      <c r="H159" s="20" t="str">
        <f>IF(ISBLANK($E159),"",INDEX(Sheet1!$A:$J,MATCH(Index_Match!$E159,Sheet1!$A:$A,0),MATCH(Index_Match!H$1,Sheet1!$A$1:$J$1,0)))</f>
        <v>Single</v>
      </c>
      <c r="I159" s="23">
        <f>IF(ISBLANK($E159),"",INDEX(Sheet1!$A:$J,MATCH(Index_Match!$E159,Sheet1!$A:$A,0),MATCH(Index_Match!I$1,Sheet1!$A$1:$J$1,0)))</f>
        <v>0</v>
      </c>
      <c r="J159" s="20" t="str">
        <f>IF(ISBLANK($E159),"",INDEX(Sheet1!$A:$J,MATCH(Index_Match!$E159,Sheet1!$A:$A,0),MATCH(Index_Match!J$1,Sheet1!$A$1:$J$1,0)))</f>
        <v>Alina Russell</v>
      </c>
      <c r="K159" s="23">
        <f>IF(ISBLANK($E159),"",INDEX(Sheet1!$A:$J,MATCH(Index_Match!$E159,Sheet1!$A:$A,0),MATCH(Index_Match!K$1,Sheet1!$A$1:$J$1,0)))</f>
        <v>0</v>
      </c>
      <c r="L159" s="20" t="str">
        <f>IF(ISBLANK($E159),"",INDEX(Sheet1!$A:$J,MATCH(Index_Match!$E159,Sheet1!$A:$A,0),MATCH(Index_Match!L$1,Sheet1!$A$1:$J$1,0)))</f>
        <v>Russell</v>
      </c>
      <c r="M159" s="20" t="str">
        <f>IF(ISBLANK($E159),"",INDEX(Sheet1!$A:$J,MATCH(Index_Match!$E159,Sheet1!$A:$A,0),MATCH(Index_Match!M$1,Sheet1!$A$1:$J$1,0)))</f>
        <v>Old</v>
      </c>
    </row>
    <row r="160" spans="2:13" x14ac:dyDescent="0.25">
      <c r="B160" s="20"/>
      <c r="C160" s="20"/>
      <c r="D160" s="20"/>
      <c r="E160" s="20" t="str">
        <v>Tara</v>
      </c>
      <c r="F160" s="20" t="str">
        <f>IF(ISBLANK($E160),"",INDEX(Sheet1!$A:$J,MATCH(Index_Match!$E160,Sheet1!$A:$A,0),MATCH(Index_Match!F$1,Sheet1!$A$1:$J$1,0)))</f>
        <v>Female</v>
      </c>
      <c r="G160" s="20" t="str">
        <f>IF(ISBLANK($E160),"",INDEX(Sheet1!$A:$J,MATCH(Index_Match!$E160,Sheet1!$A:$A,0),MATCH(Index_Match!G$1,Sheet1!$A$1:$J$1,0)))</f>
        <v>Jeweller</v>
      </c>
      <c r="H160" s="20" t="str">
        <f>IF(ISBLANK($E160),"",INDEX(Sheet1!$A:$J,MATCH(Index_Match!$E160,Sheet1!$A:$A,0),MATCH(Index_Match!H$1,Sheet1!$A$1:$J$1,0)))</f>
        <v>Married</v>
      </c>
      <c r="I160" s="23">
        <f>IF(ISBLANK($E160),"",INDEX(Sheet1!$A:$J,MATCH(Index_Match!$E160,Sheet1!$A:$A,0),MATCH(Index_Match!I$1,Sheet1!$A$1:$J$1,0)))</f>
        <v>4</v>
      </c>
      <c r="J160" s="20" t="str">
        <f>IF(ISBLANK($E160),"",INDEX(Sheet1!$A:$J,MATCH(Index_Match!$E160,Sheet1!$A:$A,0),MATCH(Index_Match!J$1,Sheet1!$A$1:$J$1,0)))</f>
        <v>Tara Brown</v>
      </c>
      <c r="K160" s="23">
        <f>IF(ISBLANK($E160),"",INDEX(Sheet1!$A:$J,MATCH(Index_Match!$E160,Sheet1!$A:$A,0),MATCH(Index_Match!K$1,Sheet1!$A$1:$J$1,0)))</f>
        <v>4</v>
      </c>
      <c r="L160" s="20" t="str">
        <f>IF(ISBLANK($E160),"",INDEX(Sheet1!$A:$J,MATCH(Index_Match!$E160,Sheet1!$A:$A,0),MATCH(Index_Match!L$1,Sheet1!$A$1:$J$1,0)))</f>
        <v>Brown</v>
      </c>
      <c r="M160" s="20" t="str">
        <f>IF(ISBLANK($E160),"",INDEX(Sheet1!$A:$J,MATCH(Index_Match!$E160,Sheet1!$A:$A,0),MATCH(Index_Match!M$1,Sheet1!$A$1:$J$1,0)))</f>
        <v>Young</v>
      </c>
    </row>
    <row r="161" spans="2:13" x14ac:dyDescent="0.25">
      <c r="B161" s="20"/>
      <c r="C161" s="20"/>
      <c r="D161" s="20"/>
      <c r="E161" s="20" t="str">
        <v>Maddie</v>
      </c>
      <c r="F161" s="20" t="str">
        <f>IF(ISBLANK($E161),"",INDEX(Sheet1!$A:$J,MATCH(Index_Match!$E161,Sheet1!$A:$A,0),MATCH(Index_Match!F$1,Sheet1!$A$1:$J$1,0)))</f>
        <v>Female</v>
      </c>
      <c r="G161" s="20" t="str">
        <f>IF(ISBLANK($E161),"",INDEX(Sheet1!$A:$J,MATCH(Index_Match!$E161,Sheet1!$A:$A,0),MATCH(Index_Match!G$1,Sheet1!$A$1:$J$1,0)))</f>
        <v>Engineer</v>
      </c>
      <c r="H161" s="20" t="str">
        <f>IF(ISBLANK($E161),"",INDEX(Sheet1!$A:$J,MATCH(Index_Match!$E161,Sheet1!$A:$A,0),MATCH(Index_Match!H$1,Sheet1!$A$1:$J$1,0)))</f>
        <v>Single</v>
      </c>
      <c r="I161" s="23">
        <f>IF(ISBLANK($E161),"",INDEX(Sheet1!$A:$J,MATCH(Index_Match!$E161,Sheet1!$A:$A,0),MATCH(Index_Match!I$1,Sheet1!$A$1:$J$1,0)))</f>
        <v>5</v>
      </c>
      <c r="J161" s="20" t="str">
        <f>IF(ISBLANK($E161),"",INDEX(Sheet1!$A:$J,MATCH(Index_Match!$E161,Sheet1!$A:$A,0),MATCH(Index_Match!J$1,Sheet1!$A$1:$J$1,0)))</f>
        <v>Maddie Hamilton</v>
      </c>
      <c r="K161" s="23">
        <f>IF(ISBLANK($E161),"",INDEX(Sheet1!$A:$J,MATCH(Index_Match!$E161,Sheet1!$A:$A,0),MATCH(Index_Match!K$1,Sheet1!$A$1:$J$1,0)))</f>
        <v>5</v>
      </c>
      <c r="L161" s="20" t="str">
        <f>IF(ISBLANK($E161),"",INDEX(Sheet1!$A:$J,MATCH(Index_Match!$E161,Sheet1!$A:$A,0),MATCH(Index_Match!L$1,Sheet1!$A$1:$J$1,0)))</f>
        <v>Hamilton</v>
      </c>
      <c r="M161" s="20" t="str">
        <f>IF(ISBLANK($E161),"",INDEX(Sheet1!$A:$J,MATCH(Index_Match!$E161,Sheet1!$A:$A,0),MATCH(Index_Match!M$1,Sheet1!$A$1:$J$1,0)))</f>
        <v>Middle Age</v>
      </c>
    </row>
    <row r="162" spans="2:13" x14ac:dyDescent="0.25">
      <c r="B162" s="20"/>
      <c r="C162" s="20"/>
      <c r="D162" s="20"/>
      <c r="E162" s="20" t="str">
        <v>Charlotte</v>
      </c>
      <c r="F162" s="20" t="str">
        <f>IF(ISBLANK($E162),"",INDEX(Sheet1!$A:$J,MATCH(Index_Match!$E162,Sheet1!$A:$A,0),MATCH(Index_Match!F$1,Sheet1!$A$1:$J$1,0)))</f>
        <v>Female</v>
      </c>
      <c r="G162" s="20" t="str">
        <f>IF(ISBLANK($E162),"",INDEX(Sheet1!$A:$J,MATCH(Index_Match!$E162,Sheet1!$A:$A,0),MATCH(Index_Match!G$1,Sheet1!$A$1:$J$1,0)))</f>
        <v>Programmer</v>
      </c>
      <c r="H162" s="20" t="str">
        <f>IF(ISBLANK($E162),"",INDEX(Sheet1!$A:$J,MATCH(Index_Match!$E162,Sheet1!$A:$A,0),MATCH(Index_Match!H$1,Sheet1!$A$1:$J$1,0)))</f>
        <v>Single</v>
      </c>
      <c r="I162" s="23">
        <f>IF(ISBLANK($E162),"",INDEX(Sheet1!$A:$J,MATCH(Index_Match!$E162,Sheet1!$A:$A,0),MATCH(Index_Match!I$1,Sheet1!$A$1:$J$1,0)))</f>
        <v>4</v>
      </c>
      <c r="J162" s="20" t="str">
        <f>IF(ISBLANK($E162),"",INDEX(Sheet1!$A:$J,MATCH(Index_Match!$E162,Sheet1!$A:$A,0),MATCH(Index_Match!J$1,Sheet1!$A$1:$J$1,0)))</f>
        <v>Charlotte Cunningham</v>
      </c>
      <c r="K162" s="23">
        <f>IF(ISBLANK($E162),"",INDEX(Sheet1!$A:$J,MATCH(Index_Match!$E162,Sheet1!$A:$A,0),MATCH(Index_Match!K$1,Sheet1!$A$1:$J$1,0)))</f>
        <v>4</v>
      </c>
      <c r="L162" s="20" t="str">
        <f>IF(ISBLANK($E162),"",INDEX(Sheet1!$A:$J,MATCH(Index_Match!$E162,Sheet1!$A:$A,0),MATCH(Index_Match!L$1,Sheet1!$A$1:$J$1,0)))</f>
        <v>Cunningham</v>
      </c>
      <c r="M162" s="20" t="str">
        <f>IF(ISBLANK($E162),"",INDEX(Sheet1!$A:$J,MATCH(Index_Match!$E162,Sheet1!$A:$A,0),MATCH(Index_Match!M$1,Sheet1!$A$1:$J$1,0)))</f>
        <v>Middle Age</v>
      </c>
    </row>
    <row r="163" spans="2:13" x14ac:dyDescent="0.25">
      <c r="B163" s="20"/>
      <c r="C163" s="20"/>
      <c r="D163" s="20"/>
      <c r="E163" s="20" t="str">
        <v>Cherry</v>
      </c>
      <c r="F163" s="20" t="str">
        <f>IF(ISBLANK($E163),"",INDEX(Sheet1!$A:$J,MATCH(Index_Match!$E163,Sheet1!$A:$A,0),MATCH(Index_Match!F$1,Sheet1!$A$1:$J$1,0)))</f>
        <v>Female</v>
      </c>
      <c r="G163" s="20" t="str">
        <f>IF(ISBLANK($E163),"",INDEX(Sheet1!$A:$J,MATCH(Index_Match!$E163,Sheet1!$A:$A,0),MATCH(Index_Match!G$1,Sheet1!$A$1:$J$1,0)))</f>
        <v>Singer</v>
      </c>
      <c r="H163" s="20" t="str">
        <f>IF(ISBLANK($E163),"",INDEX(Sheet1!$A:$J,MATCH(Index_Match!$E163,Sheet1!$A:$A,0),MATCH(Index_Match!H$1,Sheet1!$A$1:$J$1,0)))</f>
        <v>Married</v>
      </c>
      <c r="I163" s="23">
        <f>IF(ISBLANK($E163),"",INDEX(Sheet1!$A:$J,MATCH(Index_Match!$E163,Sheet1!$A:$A,0),MATCH(Index_Match!I$1,Sheet1!$A$1:$J$1,0)))</f>
        <v>5</v>
      </c>
      <c r="J163" s="20" t="str">
        <f>IF(ISBLANK($E163),"",INDEX(Sheet1!$A:$J,MATCH(Index_Match!$E163,Sheet1!$A:$A,0),MATCH(Index_Match!J$1,Sheet1!$A$1:$J$1,0)))</f>
        <v>Cherry Anderson</v>
      </c>
      <c r="K163" s="23">
        <f>IF(ISBLANK($E163),"",INDEX(Sheet1!$A:$J,MATCH(Index_Match!$E163,Sheet1!$A:$A,0),MATCH(Index_Match!K$1,Sheet1!$A$1:$J$1,0)))</f>
        <v>5</v>
      </c>
      <c r="L163" s="20" t="str">
        <f>IF(ISBLANK($E163),"",INDEX(Sheet1!$A:$J,MATCH(Index_Match!$E163,Sheet1!$A:$A,0),MATCH(Index_Match!L$1,Sheet1!$A$1:$J$1,0)))</f>
        <v>Anderson</v>
      </c>
      <c r="M163" s="20" t="str">
        <f>IF(ISBLANK($E163),"",INDEX(Sheet1!$A:$J,MATCH(Index_Match!$E163,Sheet1!$A:$A,0),MATCH(Index_Match!M$1,Sheet1!$A$1:$J$1,0)))</f>
        <v>Middle Age</v>
      </c>
    </row>
    <row r="164" spans="2:13" x14ac:dyDescent="0.25">
      <c r="B164" s="20"/>
      <c r="C164" s="20"/>
      <c r="D164" s="20"/>
      <c r="E164" s="20" t="str">
        <v>Elise</v>
      </c>
      <c r="F164" s="20" t="str">
        <f>IF(ISBLANK($E164),"",INDEX(Sheet1!$A:$J,MATCH(Index_Match!$E164,Sheet1!$A:$A,0),MATCH(Index_Match!F$1,Sheet1!$A$1:$J$1,0)))</f>
        <v>Female</v>
      </c>
      <c r="G164" s="20" t="str">
        <f>IF(ISBLANK($E164),"",INDEX(Sheet1!$A:$J,MATCH(Index_Match!$E164,Sheet1!$A:$A,0),MATCH(Index_Match!G$1,Sheet1!$A$1:$J$1,0)))</f>
        <v>Engineer</v>
      </c>
      <c r="H164" s="20" t="str">
        <f>IF(ISBLANK($E164),"",INDEX(Sheet1!$A:$J,MATCH(Index_Match!$E164,Sheet1!$A:$A,0),MATCH(Index_Match!H$1,Sheet1!$A$1:$J$1,0)))</f>
        <v>Married</v>
      </c>
      <c r="I164" s="23">
        <f>IF(ISBLANK($E164),"",INDEX(Sheet1!$A:$J,MATCH(Index_Match!$E164,Sheet1!$A:$A,0),MATCH(Index_Match!I$1,Sheet1!$A$1:$J$1,0)))</f>
        <v>5</v>
      </c>
      <c r="J164" s="20" t="str">
        <f>IF(ISBLANK($E164),"",INDEX(Sheet1!$A:$J,MATCH(Index_Match!$E164,Sheet1!$A:$A,0),MATCH(Index_Match!J$1,Sheet1!$A$1:$J$1,0)))</f>
        <v>Elise Tucker</v>
      </c>
      <c r="K164" s="23">
        <f>IF(ISBLANK($E164),"",INDEX(Sheet1!$A:$J,MATCH(Index_Match!$E164,Sheet1!$A:$A,0),MATCH(Index_Match!K$1,Sheet1!$A$1:$J$1,0)))</f>
        <v>5</v>
      </c>
      <c r="L164" s="20" t="str">
        <f>IF(ISBLANK($E164),"",INDEX(Sheet1!$A:$J,MATCH(Index_Match!$E164,Sheet1!$A:$A,0),MATCH(Index_Match!L$1,Sheet1!$A$1:$J$1,0)))</f>
        <v>Tucker</v>
      </c>
      <c r="M164" s="20" t="str">
        <f>IF(ISBLANK($E164),"",INDEX(Sheet1!$A:$J,MATCH(Index_Match!$E164,Sheet1!$A:$A,0),MATCH(Index_Match!M$1,Sheet1!$A$1:$J$1,0)))</f>
        <v>Young</v>
      </c>
    </row>
    <row r="165" spans="2:13" x14ac:dyDescent="0.25">
      <c r="B165" s="20"/>
      <c r="C165" s="20"/>
      <c r="D165" s="20"/>
      <c r="E165" s="20" t="str">
        <v>Eleanor</v>
      </c>
      <c r="F165" s="20" t="str">
        <f>IF(ISBLANK($E165),"",INDEX(Sheet1!$A:$J,MATCH(Index_Match!$E165,Sheet1!$A:$A,0),MATCH(Index_Match!F$1,Sheet1!$A$1:$J$1,0)))</f>
        <v>Female</v>
      </c>
      <c r="G165" s="20" t="str">
        <f>IF(ISBLANK($E165),"",INDEX(Sheet1!$A:$J,MATCH(Index_Match!$E165,Sheet1!$A:$A,0),MATCH(Index_Match!G$1,Sheet1!$A$1:$J$1,0)))</f>
        <v>Social Worker</v>
      </c>
      <c r="H165" s="20" t="str">
        <f>IF(ISBLANK($E165),"",INDEX(Sheet1!$A:$J,MATCH(Index_Match!$E165,Sheet1!$A:$A,0),MATCH(Index_Match!H$1,Sheet1!$A$1:$J$1,0)))</f>
        <v>Married</v>
      </c>
      <c r="I165" s="23">
        <f>IF(ISBLANK($E165),"",INDEX(Sheet1!$A:$J,MATCH(Index_Match!$E165,Sheet1!$A:$A,0),MATCH(Index_Match!I$1,Sheet1!$A$1:$J$1,0)))</f>
        <v>0</v>
      </c>
      <c r="J165" s="20" t="str">
        <f>IF(ISBLANK($E165),"",INDEX(Sheet1!$A:$J,MATCH(Index_Match!$E165,Sheet1!$A:$A,0),MATCH(Index_Match!J$1,Sheet1!$A$1:$J$1,0)))</f>
        <v>Eleanor Thomas</v>
      </c>
      <c r="K165" s="23">
        <f>IF(ISBLANK($E165),"",INDEX(Sheet1!$A:$J,MATCH(Index_Match!$E165,Sheet1!$A:$A,0),MATCH(Index_Match!K$1,Sheet1!$A$1:$J$1,0)))</f>
        <v>0</v>
      </c>
      <c r="L165" s="20" t="str">
        <f>IF(ISBLANK($E165),"",INDEX(Sheet1!$A:$J,MATCH(Index_Match!$E165,Sheet1!$A:$A,0),MATCH(Index_Match!L$1,Sheet1!$A$1:$J$1,0)))</f>
        <v>Thomas</v>
      </c>
      <c r="M165" s="20" t="str">
        <f>IF(ISBLANK($E165),"",INDEX(Sheet1!$A:$J,MATCH(Index_Match!$E165,Sheet1!$A:$A,0),MATCH(Index_Match!M$1,Sheet1!$A$1:$J$1,0)))</f>
        <v>Old</v>
      </c>
    </row>
    <row r="166" spans="2:13" x14ac:dyDescent="0.25">
      <c r="B166" s="20"/>
      <c r="C166" s="20"/>
      <c r="D166" s="20"/>
      <c r="E166" s="20" t="str">
        <v>Maya</v>
      </c>
      <c r="F166" s="20" t="str">
        <f>IF(ISBLANK($E166),"",INDEX(Sheet1!$A:$J,MATCH(Index_Match!$E166,Sheet1!$A:$A,0),MATCH(Index_Match!F$1,Sheet1!$A$1:$J$1,0)))</f>
        <v>Female</v>
      </c>
      <c r="G166" s="20" t="str">
        <f>IF(ISBLANK($E166),"",INDEX(Sheet1!$A:$J,MATCH(Index_Match!$E166,Sheet1!$A:$A,0),MATCH(Index_Match!G$1,Sheet1!$A$1:$J$1,0)))</f>
        <v>Architect</v>
      </c>
      <c r="H166" s="20" t="str">
        <f>IF(ISBLANK($E166),"",INDEX(Sheet1!$A:$J,MATCH(Index_Match!$E166,Sheet1!$A:$A,0),MATCH(Index_Match!H$1,Sheet1!$A$1:$J$1,0)))</f>
        <v>Married</v>
      </c>
      <c r="I166" s="23">
        <f>IF(ISBLANK($E166),"",INDEX(Sheet1!$A:$J,MATCH(Index_Match!$E166,Sheet1!$A:$A,0),MATCH(Index_Match!I$1,Sheet1!$A$1:$J$1,0)))</f>
        <v>3</v>
      </c>
      <c r="J166" s="20" t="str">
        <f>IF(ISBLANK($E166),"",INDEX(Sheet1!$A:$J,MATCH(Index_Match!$E166,Sheet1!$A:$A,0),MATCH(Index_Match!J$1,Sheet1!$A$1:$J$1,0)))</f>
        <v>Maya Mitchell</v>
      </c>
      <c r="K166" s="23">
        <f>IF(ISBLANK($E166),"",INDEX(Sheet1!$A:$J,MATCH(Index_Match!$E166,Sheet1!$A:$A,0),MATCH(Index_Match!K$1,Sheet1!$A$1:$J$1,0)))</f>
        <v>3</v>
      </c>
      <c r="L166" s="20" t="str">
        <f>IF(ISBLANK($E166),"",INDEX(Sheet1!$A:$J,MATCH(Index_Match!$E166,Sheet1!$A:$A,0),MATCH(Index_Match!L$1,Sheet1!$A$1:$J$1,0)))</f>
        <v>Mitchell</v>
      </c>
      <c r="M166" s="20" t="str">
        <f>IF(ISBLANK($E166),"",INDEX(Sheet1!$A:$J,MATCH(Index_Match!$E166,Sheet1!$A:$A,0),MATCH(Index_Match!M$1,Sheet1!$A$1:$J$1,0)))</f>
        <v>Middle Age</v>
      </c>
    </row>
    <row r="167" spans="2:13" x14ac:dyDescent="0.25">
      <c r="B167" s="20"/>
      <c r="C167" s="20"/>
      <c r="D167" s="20"/>
      <c r="E167" s="20" t="str">
        <v>Edith</v>
      </c>
      <c r="F167" s="20" t="str">
        <f>IF(ISBLANK($E167),"",INDEX(Sheet1!$A:$J,MATCH(Index_Match!$E167,Sheet1!$A:$A,0),MATCH(Index_Match!F$1,Sheet1!$A$1:$J$1,0)))</f>
        <v>Female</v>
      </c>
      <c r="G167" s="20" t="str">
        <f>IF(ISBLANK($E167),"",INDEX(Sheet1!$A:$J,MATCH(Index_Match!$E167,Sheet1!$A:$A,0),MATCH(Index_Match!G$1,Sheet1!$A$1:$J$1,0)))</f>
        <v>Programmer</v>
      </c>
      <c r="H167" s="20" t="str">
        <f>IF(ISBLANK($E167),"",INDEX(Sheet1!$A:$J,MATCH(Index_Match!$E167,Sheet1!$A:$A,0),MATCH(Index_Match!H$1,Sheet1!$A$1:$J$1,0)))</f>
        <v>Single</v>
      </c>
      <c r="I167" s="23">
        <f>IF(ISBLANK($E167),"",INDEX(Sheet1!$A:$J,MATCH(Index_Match!$E167,Sheet1!$A:$A,0),MATCH(Index_Match!I$1,Sheet1!$A$1:$J$1,0)))</f>
        <v>3</v>
      </c>
      <c r="J167" s="20" t="str">
        <f>IF(ISBLANK($E167),"",INDEX(Sheet1!$A:$J,MATCH(Index_Match!$E167,Sheet1!$A:$A,0),MATCH(Index_Match!J$1,Sheet1!$A$1:$J$1,0)))</f>
        <v>Edith Hall</v>
      </c>
      <c r="K167" s="23">
        <f>IF(ISBLANK($E167),"",INDEX(Sheet1!$A:$J,MATCH(Index_Match!$E167,Sheet1!$A:$A,0),MATCH(Index_Match!K$1,Sheet1!$A$1:$J$1,0)))</f>
        <v>3</v>
      </c>
      <c r="L167" s="20" t="str">
        <f>IF(ISBLANK($E167),"",INDEX(Sheet1!$A:$J,MATCH(Index_Match!$E167,Sheet1!$A:$A,0),MATCH(Index_Match!L$1,Sheet1!$A$1:$J$1,0)))</f>
        <v>Hall</v>
      </c>
      <c r="M167" s="20" t="str">
        <f>IF(ISBLANK($E167),"",INDEX(Sheet1!$A:$J,MATCH(Index_Match!$E167,Sheet1!$A:$A,0),MATCH(Index_Match!M$1,Sheet1!$A$1:$J$1,0)))</f>
        <v>Young</v>
      </c>
    </row>
    <row r="168" spans="2:13" x14ac:dyDescent="0.25">
      <c r="B168" s="20"/>
      <c r="C168" s="20"/>
      <c r="D168" s="20"/>
      <c r="E168" s="20" t="str">
        <v>Darcy</v>
      </c>
      <c r="F168" s="20" t="str">
        <f>IF(ISBLANK($E168),"",INDEX(Sheet1!$A:$J,MATCH(Index_Match!$E168,Sheet1!$A:$A,0),MATCH(Index_Match!F$1,Sheet1!$A$1:$J$1,0)))</f>
        <v>Female</v>
      </c>
      <c r="G168" s="20" t="str">
        <f>IF(ISBLANK($E168),"",INDEX(Sheet1!$A:$J,MATCH(Index_Match!$E168,Sheet1!$A:$A,0),MATCH(Index_Match!G$1,Sheet1!$A$1:$J$1,0)))</f>
        <v>Producer</v>
      </c>
      <c r="H168" s="20" t="str">
        <f>IF(ISBLANK($E168),"",INDEX(Sheet1!$A:$J,MATCH(Index_Match!$E168,Sheet1!$A:$A,0),MATCH(Index_Match!H$1,Sheet1!$A$1:$J$1,0)))</f>
        <v>Single</v>
      </c>
      <c r="I168" s="23">
        <f>IF(ISBLANK($E168),"",INDEX(Sheet1!$A:$J,MATCH(Index_Match!$E168,Sheet1!$A:$A,0),MATCH(Index_Match!I$1,Sheet1!$A$1:$J$1,0)))</f>
        <v>3</v>
      </c>
      <c r="J168" s="20" t="str">
        <f>IF(ISBLANK($E168),"",INDEX(Sheet1!$A:$J,MATCH(Index_Match!$E168,Sheet1!$A:$A,0),MATCH(Index_Match!J$1,Sheet1!$A$1:$J$1,0)))</f>
        <v>Darcy Fowler</v>
      </c>
      <c r="K168" s="23">
        <f>IF(ISBLANK($E168),"",INDEX(Sheet1!$A:$J,MATCH(Index_Match!$E168,Sheet1!$A:$A,0),MATCH(Index_Match!K$1,Sheet1!$A$1:$J$1,0)))</f>
        <v>3</v>
      </c>
      <c r="L168" s="20" t="str">
        <f>IF(ISBLANK($E168),"",INDEX(Sheet1!$A:$J,MATCH(Index_Match!$E168,Sheet1!$A:$A,0),MATCH(Index_Match!L$1,Sheet1!$A$1:$J$1,0)))</f>
        <v>Fowler</v>
      </c>
      <c r="M168" s="20" t="str">
        <f>IF(ISBLANK($E168),"",INDEX(Sheet1!$A:$J,MATCH(Index_Match!$E168,Sheet1!$A:$A,0),MATCH(Index_Match!M$1,Sheet1!$A$1:$J$1,0)))</f>
        <v>Old</v>
      </c>
    </row>
    <row r="169" spans="2:13" x14ac:dyDescent="0.25">
      <c r="B169" s="20"/>
      <c r="C169" s="20"/>
      <c r="D169" s="20"/>
      <c r="E169" s="20" t="str">
        <v>Lilianna</v>
      </c>
      <c r="F169" s="20" t="str">
        <f>IF(ISBLANK($E169),"",INDEX(Sheet1!$A:$J,MATCH(Index_Match!$E169,Sheet1!$A:$A,0),MATCH(Index_Match!F$1,Sheet1!$A$1:$J$1,0)))</f>
        <v>Female</v>
      </c>
      <c r="G169" s="20" t="str">
        <f>IF(ISBLANK($E169),"",INDEX(Sheet1!$A:$J,MATCH(Index_Match!$E169,Sheet1!$A:$A,0),MATCH(Index_Match!G$1,Sheet1!$A$1:$J$1,0)))</f>
        <v>Veterinarian</v>
      </c>
      <c r="H169" s="20" t="str">
        <f>IF(ISBLANK($E169),"",INDEX(Sheet1!$A:$J,MATCH(Index_Match!$E169,Sheet1!$A:$A,0),MATCH(Index_Match!H$1,Sheet1!$A$1:$J$1,0)))</f>
        <v>Married</v>
      </c>
      <c r="I169" s="23">
        <f>IF(ISBLANK($E169),"",INDEX(Sheet1!$A:$J,MATCH(Index_Match!$E169,Sheet1!$A:$A,0),MATCH(Index_Match!I$1,Sheet1!$A$1:$J$1,0)))</f>
        <v>4</v>
      </c>
      <c r="J169" s="20" t="str">
        <f>IF(ISBLANK($E169),"",INDEX(Sheet1!$A:$J,MATCH(Index_Match!$E169,Sheet1!$A:$A,0),MATCH(Index_Match!J$1,Sheet1!$A$1:$J$1,0)))</f>
        <v>Lilianna Morrison</v>
      </c>
      <c r="K169" s="23">
        <f>IF(ISBLANK($E169),"",INDEX(Sheet1!$A:$J,MATCH(Index_Match!$E169,Sheet1!$A:$A,0),MATCH(Index_Match!K$1,Sheet1!$A$1:$J$1,0)))</f>
        <v>4</v>
      </c>
      <c r="L169" s="20" t="str">
        <f>IF(ISBLANK($E169),"",INDEX(Sheet1!$A:$J,MATCH(Index_Match!$E169,Sheet1!$A:$A,0),MATCH(Index_Match!L$1,Sheet1!$A$1:$J$1,0)))</f>
        <v>Morrison</v>
      </c>
      <c r="M169" s="20" t="str">
        <f>IF(ISBLANK($E169),"",INDEX(Sheet1!$A:$J,MATCH(Index_Match!$E169,Sheet1!$A:$A,0),MATCH(Index_Match!M$1,Sheet1!$A$1:$J$1,0)))</f>
        <v>Old</v>
      </c>
    </row>
    <row r="170" spans="2:13" x14ac:dyDescent="0.25">
      <c r="B170" s="20"/>
      <c r="C170" s="20"/>
      <c r="D170" s="20"/>
      <c r="E170" s="20" t="str">
        <v>Maddie</v>
      </c>
      <c r="F170" s="20" t="str">
        <f>IF(ISBLANK($E170),"",INDEX(Sheet1!$A:$J,MATCH(Index_Match!$E170,Sheet1!$A:$A,0),MATCH(Index_Match!F$1,Sheet1!$A$1:$J$1,0)))</f>
        <v>Female</v>
      </c>
      <c r="G170" s="20" t="str">
        <f>IF(ISBLANK($E170),"",INDEX(Sheet1!$A:$J,MATCH(Index_Match!$E170,Sheet1!$A:$A,0),MATCH(Index_Match!G$1,Sheet1!$A$1:$J$1,0)))</f>
        <v>Engineer</v>
      </c>
      <c r="H170" s="20" t="str">
        <f>IF(ISBLANK($E170),"",INDEX(Sheet1!$A:$J,MATCH(Index_Match!$E170,Sheet1!$A:$A,0),MATCH(Index_Match!H$1,Sheet1!$A$1:$J$1,0)))</f>
        <v>Single</v>
      </c>
      <c r="I170" s="23">
        <f>IF(ISBLANK($E170),"",INDEX(Sheet1!$A:$J,MATCH(Index_Match!$E170,Sheet1!$A:$A,0),MATCH(Index_Match!I$1,Sheet1!$A$1:$J$1,0)))</f>
        <v>5</v>
      </c>
      <c r="J170" s="20" t="str">
        <f>IF(ISBLANK($E170),"",INDEX(Sheet1!$A:$J,MATCH(Index_Match!$E170,Sheet1!$A:$A,0),MATCH(Index_Match!J$1,Sheet1!$A$1:$J$1,0)))</f>
        <v>Maddie Hamilton</v>
      </c>
      <c r="K170" s="23">
        <f>IF(ISBLANK($E170),"",INDEX(Sheet1!$A:$J,MATCH(Index_Match!$E170,Sheet1!$A:$A,0),MATCH(Index_Match!K$1,Sheet1!$A$1:$J$1,0)))</f>
        <v>5</v>
      </c>
      <c r="L170" s="20" t="str">
        <f>IF(ISBLANK($E170),"",INDEX(Sheet1!$A:$J,MATCH(Index_Match!$E170,Sheet1!$A:$A,0),MATCH(Index_Match!L$1,Sheet1!$A$1:$J$1,0)))</f>
        <v>Hamilton</v>
      </c>
      <c r="M170" s="20" t="str">
        <f>IF(ISBLANK($E170),"",INDEX(Sheet1!$A:$J,MATCH(Index_Match!$E170,Sheet1!$A:$A,0),MATCH(Index_Match!M$1,Sheet1!$A$1:$J$1,0)))</f>
        <v>Middle Age</v>
      </c>
    </row>
    <row r="171" spans="2:13" x14ac:dyDescent="0.25">
      <c r="B171" s="20"/>
      <c r="C171" s="20"/>
      <c r="D171" s="20"/>
      <c r="E171" s="20" t="str">
        <v>Sienna</v>
      </c>
      <c r="F171" s="20" t="str">
        <f>IF(ISBLANK($E171),"",INDEX(Sheet1!$A:$J,MATCH(Index_Match!$E171,Sheet1!$A:$A,0),MATCH(Index_Match!F$1,Sheet1!$A$1:$J$1,0)))</f>
        <v>Female</v>
      </c>
      <c r="G171" s="20" t="str">
        <f>IF(ISBLANK($E171),"",INDEX(Sheet1!$A:$J,MATCH(Index_Match!$E171,Sheet1!$A:$A,0),MATCH(Index_Match!G$1,Sheet1!$A$1:$J$1,0)))</f>
        <v>Biochemist</v>
      </c>
      <c r="H171" s="20" t="str">
        <f>IF(ISBLANK($E171),"",INDEX(Sheet1!$A:$J,MATCH(Index_Match!$E171,Sheet1!$A:$A,0),MATCH(Index_Match!H$1,Sheet1!$A$1:$J$1,0)))</f>
        <v>Single</v>
      </c>
      <c r="I171" s="23">
        <f>IF(ISBLANK($E171),"",INDEX(Sheet1!$A:$J,MATCH(Index_Match!$E171,Sheet1!$A:$A,0),MATCH(Index_Match!I$1,Sheet1!$A$1:$J$1,0)))</f>
        <v>1</v>
      </c>
      <c r="J171" s="20" t="str">
        <f>IF(ISBLANK($E171),"",INDEX(Sheet1!$A:$J,MATCH(Index_Match!$E171,Sheet1!$A:$A,0),MATCH(Index_Match!J$1,Sheet1!$A$1:$J$1,0)))</f>
        <v>Sienna Baker</v>
      </c>
      <c r="K171" s="23">
        <f>IF(ISBLANK($E171),"",INDEX(Sheet1!$A:$J,MATCH(Index_Match!$E171,Sheet1!$A:$A,0),MATCH(Index_Match!K$1,Sheet1!$A$1:$J$1,0)))</f>
        <v>1</v>
      </c>
      <c r="L171" s="20" t="str">
        <f>IF(ISBLANK($E171),"",INDEX(Sheet1!$A:$J,MATCH(Index_Match!$E171,Sheet1!$A:$A,0),MATCH(Index_Match!L$1,Sheet1!$A$1:$J$1,0)))</f>
        <v>Baker</v>
      </c>
      <c r="M171" s="20" t="str">
        <f>IF(ISBLANK($E171),"",INDEX(Sheet1!$A:$J,MATCH(Index_Match!$E171,Sheet1!$A:$A,0),MATCH(Index_Match!M$1,Sheet1!$A$1:$J$1,0)))</f>
        <v>Young</v>
      </c>
    </row>
    <row r="172" spans="2:13" x14ac:dyDescent="0.25">
      <c r="B172" s="20"/>
      <c r="C172" s="20"/>
      <c r="D172" s="20"/>
      <c r="E172" s="20" t="str">
        <v>Aida</v>
      </c>
      <c r="F172" s="20" t="str">
        <f>IF(ISBLANK($E172),"",INDEX(Sheet1!$A:$J,MATCH(Index_Match!$E172,Sheet1!$A:$A,0),MATCH(Index_Match!F$1,Sheet1!$A$1:$J$1,0)))</f>
        <v>Female</v>
      </c>
      <c r="G172" s="20" t="str">
        <f>IF(ISBLANK($E172),"",INDEX(Sheet1!$A:$J,MATCH(Index_Match!$E172,Sheet1!$A:$A,0),MATCH(Index_Match!G$1,Sheet1!$A$1:$J$1,0)))</f>
        <v>Social Worker</v>
      </c>
      <c r="H172" s="20" t="str">
        <f>IF(ISBLANK($E172),"",INDEX(Sheet1!$A:$J,MATCH(Index_Match!$E172,Sheet1!$A:$A,0),MATCH(Index_Match!H$1,Sheet1!$A$1:$J$1,0)))</f>
        <v>Single</v>
      </c>
      <c r="I172" s="23">
        <f>IF(ISBLANK($E172),"",INDEX(Sheet1!$A:$J,MATCH(Index_Match!$E172,Sheet1!$A:$A,0),MATCH(Index_Match!I$1,Sheet1!$A$1:$J$1,0)))</f>
        <v>4</v>
      </c>
      <c r="J172" s="20" t="str">
        <f>IF(ISBLANK($E172),"",INDEX(Sheet1!$A:$J,MATCH(Index_Match!$E172,Sheet1!$A:$A,0),MATCH(Index_Match!J$1,Sheet1!$A$1:$J$1,0)))</f>
        <v>Aida Edwards</v>
      </c>
      <c r="K172" s="23">
        <f>IF(ISBLANK($E172),"",INDEX(Sheet1!$A:$J,MATCH(Index_Match!$E172,Sheet1!$A:$A,0),MATCH(Index_Match!K$1,Sheet1!$A$1:$J$1,0)))</f>
        <v>4</v>
      </c>
      <c r="L172" s="20" t="str">
        <f>IF(ISBLANK($E172),"",INDEX(Sheet1!$A:$J,MATCH(Index_Match!$E172,Sheet1!$A:$A,0),MATCH(Index_Match!L$1,Sheet1!$A$1:$J$1,0)))</f>
        <v>Edwards</v>
      </c>
      <c r="M172" s="20" t="str">
        <f>IF(ISBLANK($E172),"",INDEX(Sheet1!$A:$J,MATCH(Index_Match!$E172,Sheet1!$A:$A,0),MATCH(Index_Match!M$1,Sheet1!$A$1:$J$1,0)))</f>
        <v>Young</v>
      </c>
    </row>
    <row r="173" spans="2:13" x14ac:dyDescent="0.25">
      <c r="B173" s="20"/>
      <c r="C173" s="20"/>
      <c r="D173" s="20"/>
      <c r="E173" s="20" t="str">
        <v>Rubie</v>
      </c>
      <c r="F173" s="20" t="str">
        <f>IF(ISBLANK($E173),"",INDEX(Sheet1!$A:$J,MATCH(Index_Match!$E173,Sheet1!$A:$A,0),MATCH(Index_Match!F$1,Sheet1!$A$1:$J$1,0)))</f>
        <v>Female</v>
      </c>
      <c r="G173" s="20" t="str">
        <f>IF(ISBLANK($E173),"",INDEX(Sheet1!$A:$J,MATCH(Index_Match!$E173,Sheet1!$A:$A,0),MATCH(Index_Match!G$1,Sheet1!$A$1:$J$1,0)))</f>
        <v>Auditor</v>
      </c>
      <c r="H173" s="20" t="str">
        <f>IF(ISBLANK($E173),"",INDEX(Sheet1!$A:$J,MATCH(Index_Match!$E173,Sheet1!$A:$A,0),MATCH(Index_Match!H$1,Sheet1!$A$1:$J$1,0)))</f>
        <v>Single</v>
      </c>
      <c r="I173" s="23">
        <f>IF(ISBLANK($E173),"",INDEX(Sheet1!$A:$J,MATCH(Index_Match!$E173,Sheet1!$A:$A,0),MATCH(Index_Match!I$1,Sheet1!$A$1:$J$1,0)))</f>
        <v>1</v>
      </c>
      <c r="J173" s="20" t="str">
        <f>IF(ISBLANK($E173),"",INDEX(Sheet1!$A:$J,MATCH(Index_Match!$E173,Sheet1!$A:$A,0),MATCH(Index_Match!J$1,Sheet1!$A$1:$J$1,0)))</f>
        <v>Rubie Clark</v>
      </c>
      <c r="K173" s="23">
        <f>IF(ISBLANK($E173),"",INDEX(Sheet1!$A:$J,MATCH(Index_Match!$E173,Sheet1!$A:$A,0),MATCH(Index_Match!K$1,Sheet1!$A$1:$J$1,0)))</f>
        <v>1</v>
      </c>
      <c r="L173" s="20" t="str">
        <f>IF(ISBLANK($E173),"",INDEX(Sheet1!$A:$J,MATCH(Index_Match!$E173,Sheet1!$A:$A,0),MATCH(Index_Match!L$1,Sheet1!$A$1:$J$1,0)))</f>
        <v>Clark</v>
      </c>
      <c r="M173" s="20" t="str">
        <f>IF(ISBLANK($E173),"",INDEX(Sheet1!$A:$J,MATCH(Index_Match!$E173,Sheet1!$A:$A,0),MATCH(Index_Match!M$1,Sheet1!$A$1:$J$1,0)))</f>
        <v>Young</v>
      </c>
    </row>
    <row r="174" spans="2:13" x14ac:dyDescent="0.25">
      <c r="B174" s="20"/>
      <c r="C174" s="20"/>
      <c r="D174" s="20"/>
      <c r="E174" s="20" t="str">
        <v>Jessica</v>
      </c>
      <c r="F174" s="20" t="str">
        <f>IF(ISBLANK($E174),"",INDEX(Sheet1!$A:$J,MATCH(Index_Match!$E174,Sheet1!$A:$A,0),MATCH(Index_Match!F$1,Sheet1!$A$1:$J$1,0)))</f>
        <v>Female</v>
      </c>
      <c r="G174" s="20" t="str">
        <f>IF(ISBLANK($E174),"",INDEX(Sheet1!$A:$J,MATCH(Index_Match!$E174,Sheet1!$A:$A,0),MATCH(Index_Match!G$1,Sheet1!$A$1:$J$1,0)))</f>
        <v>Social Worker</v>
      </c>
      <c r="H174" s="20" t="str">
        <f>IF(ISBLANK($E174),"",INDEX(Sheet1!$A:$J,MATCH(Index_Match!$E174,Sheet1!$A:$A,0),MATCH(Index_Match!H$1,Sheet1!$A$1:$J$1,0)))</f>
        <v>Married</v>
      </c>
      <c r="I174" s="23">
        <f>IF(ISBLANK($E174),"",INDEX(Sheet1!$A:$J,MATCH(Index_Match!$E174,Sheet1!$A:$A,0),MATCH(Index_Match!I$1,Sheet1!$A$1:$J$1,0)))</f>
        <v>1</v>
      </c>
      <c r="J174" s="20" t="str">
        <f>IF(ISBLANK($E174),"",INDEX(Sheet1!$A:$J,MATCH(Index_Match!$E174,Sheet1!$A:$A,0),MATCH(Index_Match!J$1,Sheet1!$A$1:$J$1,0)))</f>
        <v>Jessica Cameron</v>
      </c>
      <c r="K174" s="23">
        <f>IF(ISBLANK($E174),"",INDEX(Sheet1!$A:$J,MATCH(Index_Match!$E174,Sheet1!$A:$A,0),MATCH(Index_Match!K$1,Sheet1!$A$1:$J$1,0)))</f>
        <v>1</v>
      </c>
      <c r="L174" s="20" t="str">
        <f>IF(ISBLANK($E174),"",INDEX(Sheet1!$A:$J,MATCH(Index_Match!$E174,Sheet1!$A:$A,0),MATCH(Index_Match!L$1,Sheet1!$A$1:$J$1,0)))</f>
        <v>Cameron</v>
      </c>
      <c r="M174" s="20" t="str">
        <f>IF(ISBLANK($E174),"",INDEX(Sheet1!$A:$J,MATCH(Index_Match!$E174,Sheet1!$A:$A,0),MATCH(Index_Match!M$1,Sheet1!$A$1:$J$1,0)))</f>
        <v>Young</v>
      </c>
    </row>
    <row r="175" spans="2:13" x14ac:dyDescent="0.25">
      <c r="B175" s="20"/>
      <c r="C175" s="20"/>
      <c r="D175" s="20"/>
      <c r="E175" s="20" t="str">
        <v>Arianna</v>
      </c>
      <c r="F175" s="20" t="str">
        <f>IF(ISBLANK($E175),"",INDEX(Sheet1!$A:$J,MATCH(Index_Match!$E175,Sheet1!$A:$A,0),MATCH(Index_Match!F$1,Sheet1!$A$1:$J$1,0)))</f>
        <v>Female</v>
      </c>
      <c r="G175" s="20" t="str">
        <f>IF(ISBLANK($E175),"",INDEX(Sheet1!$A:$J,MATCH(Index_Match!$E175,Sheet1!$A:$A,0),MATCH(Index_Match!G$1,Sheet1!$A$1:$J$1,0)))</f>
        <v>Biochemist</v>
      </c>
      <c r="H175" s="20" t="str">
        <f>IF(ISBLANK($E175),"",INDEX(Sheet1!$A:$J,MATCH(Index_Match!$E175,Sheet1!$A:$A,0),MATCH(Index_Match!H$1,Sheet1!$A$1:$J$1,0)))</f>
        <v>Married</v>
      </c>
      <c r="I175" s="23">
        <f>IF(ISBLANK($E175),"",INDEX(Sheet1!$A:$J,MATCH(Index_Match!$E175,Sheet1!$A:$A,0),MATCH(Index_Match!I$1,Sheet1!$A$1:$J$1,0)))</f>
        <v>0</v>
      </c>
      <c r="J175" s="20" t="str">
        <f>IF(ISBLANK($E175),"",INDEX(Sheet1!$A:$J,MATCH(Index_Match!$E175,Sheet1!$A:$A,0),MATCH(Index_Match!J$1,Sheet1!$A$1:$J$1,0)))</f>
        <v>Arianna Hall</v>
      </c>
      <c r="K175" s="23">
        <f>IF(ISBLANK($E175),"",INDEX(Sheet1!$A:$J,MATCH(Index_Match!$E175,Sheet1!$A:$A,0),MATCH(Index_Match!K$1,Sheet1!$A$1:$J$1,0)))</f>
        <v>0</v>
      </c>
      <c r="L175" s="20" t="str">
        <f>IF(ISBLANK($E175),"",INDEX(Sheet1!$A:$J,MATCH(Index_Match!$E175,Sheet1!$A:$A,0),MATCH(Index_Match!L$1,Sheet1!$A$1:$J$1,0)))</f>
        <v>Hall</v>
      </c>
      <c r="M175" s="20" t="str">
        <f>IF(ISBLANK($E175),"",INDEX(Sheet1!$A:$J,MATCH(Index_Match!$E175,Sheet1!$A:$A,0),MATCH(Index_Match!M$1,Sheet1!$A$1:$J$1,0)))</f>
        <v>Old</v>
      </c>
    </row>
    <row r="176" spans="2:13" x14ac:dyDescent="0.25">
      <c r="B176" s="20"/>
      <c r="C176" s="20"/>
      <c r="D176" s="20"/>
      <c r="E176" s="20" t="str">
        <v>Victoria</v>
      </c>
      <c r="F176" s="20" t="str">
        <f>IF(ISBLANK($E176),"",INDEX(Sheet1!$A:$J,MATCH(Index_Match!$E176,Sheet1!$A:$A,0),MATCH(Index_Match!F$1,Sheet1!$A$1:$J$1,0)))</f>
        <v>Female</v>
      </c>
      <c r="G176" s="20" t="str">
        <f>IF(ISBLANK($E176),"",INDEX(Sheet1!$A:$J,MATCH(Index_Match!$E176,Sheet1!$A:$A,0),MATCH(Index_Match!G$1,Sheet1!$A$1:$J$1,0)))</f>
        <v>Salesman</v>
      </c>
      <c r="H176" s="20" t="str">
        <f>IF(ISBLANK($E176),"",INDEX(Sheet1!$A:$J,MATCH(Index_Match!$E176,Sheet1!$A:$A,0),MATCH(Index_Match!H$1,Sheet1!$A$1:$J$1,0)))</f>
        <v>Married</v>
      </c>
      <c r="I176" s="23">
        <f>IF(ISBLANK($E176),"",INDEX(Sheet1!$A:$J,MATCH(Index_Match!$E176,Sheet1!$A:$A,0),MATCH(Index_Match!I$1,Sheet1!$A$1:$J$1,0)))</f>
        <v>3</v>
      </c>
      <c r="J176" s="20" t="str">
        <f>IF(ISBLANK($E176),"",INDEX(Sheet1!$A:$J,MATCH(Index_Match!$E176,Sheet1!$A:$A,0),MATCH(Index_Match!J$1,Sheet1!$A$1:$J$1,0)))</f>
        <v>Victoria Foster</v>
      </c>
      <c r="K176" s="23">
        <f>IF(ISBLANK($E176),"",INDEX(Sheet1!$A:$J,MATCH(Index_Match!$E176,Sheet1!$A:$A,0),MATCH(Index_Match!K$1,Sheet1!$A$1:$J$1,0)))</f>
        <v>3</v>
      </c>
      <c r="L176" s="20" t="str">
        <f>IF(ISBLANK($E176),"",INDEX(Sheet1!$A:$J,MATCH(Index_Match!$E176,Sheet1!$A:$A,0),MATCH(Index_Match!L$1,Sheet1!$A$1:$J$1,0)))</f>
        <v>Foster</v>
      </c>
      <c r="M176" s="20" t="str">
        <f>IF(ISBLANK($E176),"",INDEX(Sheet1!$A:$J,MATCH(Index_Match!$E176,Sheet1!$A:$A,0),MATCH(Index_Match!M$1,Sheet1!$A$1:$J$1,0)))</f>
        <v>Young</v>
      </c>
    </row>
    <row r="177" spans="2:13" x14ac:dyDescent="0.25">
      <c r="B177" s="20"/>
      <c r="C177" s="20"/>
      <c r="D177" s="20"/>
      <c r="E177" s="20" t="str">
        <v>Amber</v>
      </c>
      <c r="F177" s="20" t="str">
        <f>IF(ISBLANK($E177),"",INDEX(Sheet1!$A:$J,MATCH(Index_Match!$E177,Sheet1!$A:$A,0),MATCH(Index_Match!F$1,Sheet1!$A$1:$J$1,0)))</f>
        <v>Female</v>
      </c>
      <c r="G177" s="20" t="str">
        <f>IF(ISBLANK($E177),"",INDEX(Sheet1!$A:$J,MATCH(Index_Match!$E177,Sheet1!$A:$A,0),MATCH(Index_Match!G$1,Sheet1!$A$1:$J$1,0)))</f>
        <v>Insurer</v>
      </c>
      <c r="H177" s="20" t="str">
        <f>IF(ISBLANK($E177),"",INDEX(Sheet1!$A:$J,MATCH(Index_Match!$E177,Sheet1!$A:$A,0),MATCH(Index_Match!H$1,Sheet1!$A$1:$J$1,0)))</f>
        <v>Single</v>
      </c>
      <c r="I177" s="23">
        <f>IF(ISBLANK($E177),"",INDEX(Sheet1!$A:$J,MATCH(Index_Match!$E177,Sheet1!$A:$A,0),MATCH(Index_Match!I$1,Sheet1!$A$1:$J$1,0)))</f>
        <v>3</v>
      </c>
      <c r="J177" s="20" t="str">
        <f>IF(ISBLANK($E177),"",INDEX(Sheet1!$A:$J,MATCH(Index_Match!$E177,Sheet1!$A:$A,0),MATCH(Index_Match!J$1,Sheet1!$A$1:$J$1,0)))</f>
        <v>Amber Murray</v>
      </c>
      <c r="K177" s="23">
        <f>IF(ISBLANK($E177),"",INDEX(Sheet1!$A:$J,MATCH(Index_Match!$E177,Sheet1!$A:$A,0),MATCH(Index_Match!K$1,Sheet1!$A$1:$J$1,0)))</f>
        <v>3</v>
      </c>
      <c r="L177" s="20" t="str">
        <f>IF(ISBLANK($E177),"",INDEX(Sheet1!$A:$J,MATCH(Index_Match!$E177,Sheet1!$A:$A,0),MATCH(Index_Match!L$1,Sheet1!$A$1:$J$1,0)))</f>
        <v>Murray</v>
      </c>
      <c r="M177" s="20" t="str">
        <f>IF(ISBLANK($E177),"",INDEX(Sheet1!$A:$J,MATCH(Index_Match!$E177,Sheet1!$A:$A,0),MATCH(Index_Match!M$1,Sheet1!$A$1:$J$1,0)))</f>
        <v>Middle Age</v>
      </c>
    </row>
    <row r="178" spans="2:13" x14ac:dyDescent="0.25">
      <c r="B178" s="20"/>
      <c r="C178" s="20"/>
      <c r="D178" s="20"/>
      <c r="E178" s="20" t="str">
        <v>Kimberly</v>
      </c>
      <c r="F178" s="20" t="str">
        <f>IF(ISBLANK($E178),"",INDEX(Sheet1!$A:$J,MATCH(Index_Match!$E178,Sheet1!$A:$A,0),MATCH(Index_Match!F$1,Sheet1!$A$1:$J$1,0)))</f>
        <v>Female</v>
      </c>
      <c r="G178" s="20" t="str">
        <f>IF(ISBLANK($E178),"",INDEX(Sheet1!$A:$J,MATCH(Index_Match!$E178,Sheet1!$A:$A,0),MATCH(Index_Match!G$1,Sheet1!$A$1:$J$1,0)))</f>
        <v>Geologist</v>
      </c>
      <c r="H178" s="20" t="str">
        <f>IF(ISBLANK($E178),"",INDEX(Sheet1!$A:$J,MATCH(Index_Match!$E178,Sheet1!$A:$A,0),MATCH(Index_Match!H$1,Sheet1!$A$1:$J$1,0)))</f>
        <v>Single</v>
      </c>
      <c r="I178" s="23">
        <f>IF(ISBLANK($E178),"",INDEX(Sheet1!$A:$J,MATCH(Index_Match!$E178,Sheet1!$A:$A,0),MATCH(Index_Match!I$1,Sheet1!$A$1:$J$1,0)))</f>
        <v>2</v>
      </c>
      <c r="J178" s="20" t="str">
        <f>IF(ISBLANK($E178),"",INDEX(Sheet1!$A:$J,MATCH(Index_Match!$E178,Sheet1!$A:$A,0),MATCH(Index_Match!J$1,Sheet1!$A$1:$J$1,0)))</f>
        <v>Kimberly Rogers</v>
      </c>
      <c r="K178" s="23">
        <f>IF(ISBLANK($E178),"",INDEX(Sheet1!$A:$J,MATCH(Index_Match!$E178,Sheet1!$A:$A,0),MATCH(Index_Match!K$1,Sheet1!$A$1:$J$1,0)))</f>
        <v>2</v>
      </c>
      <c r="L178" s="20" t="str">
        <f>IF(ISBLANK($E178),"",INDEX(Sheet1!$A:$J,MATCH(Index_Match!$E178,Sheet1!$A:$A,0),MATCH(Index_Match!L$1,Sheet1!$A$1:$J$1,0)))</f>
        <v>Rogers</v>
      </c>
      <c r="M178" s="20" t="str">
        <f>IF(ISBLANK($E178),"",INDEX(Sheet1!$A:$J,MATCH(Index_Match!$E178,Sheet1!$A:$A,0),MATCH(Index_Match!M$1,Sheet1!$A$1:$J$1,0)))</f>
        <v>Old</v>
      </c>
    </row>
    <row r="179" spans="2:13" x14ac:dyDescent="0.25">
      <c r="B179" s="20"/>
      <c r="C179" s="20"/>
      <c r="D179" s="20"/>
      <c r="E179" s="20" t="str">
        <v>Tiana</v>
      </c>
      <c r="F179" s="20" t="str">
        <f>IF(ISBLANK($E179),"",INDEX(Sheet1!$A:$J,MATCH(Index_Match!$E179,Sheet1!$A:$A,0),MATCH(Index_Match!F$1,Sheet1!$A$1:$J$1,0)))</f>
        <v>Female</v>
      </c>
      <c r="G179" s="20" t="str">
        <f>IF(ISBLANK($E179),"",INDEX(Sheet1!$A:$J,MATCH(Index_Match!$E179,Sheet1!$A:$A,0),MATCH(Index_Match!G$1,Sheet1!$A$1:$J$1,0)))</f>
        <v>Composer</v>
      </c>
      <c r="H179" s="20" t="str">
        <f>IF(ISBLANK($E179),"",INDEX(Sheet1!$A:$J,MATCH(Index_Match!$E179,Sheet1!$A:$A,0),MATCH(Index_Match!H$1,Sheet1!$A$1:$J$1,0)))</f>
        <v>Single</v>
      </c>
      <c r="I179" s="23">
        <f>IF(ISBLANK($E179),"",INDEX(Sheet1!$A:$J,MATCH(Index_Match!$E179,Sheet1!$A:$A,0),MATCH(Index_Match!I$1,Sheet1!$A$1:$J$1,0)))</f>
        <v>4</v>
      </c>
      <c r="J179" s="20" t="str">
        <f>IF(ISBLANK($E179),"",INDEX(Sheet1!$A:$J,MATCH(Index_Match!$E179,Sheet1!$A:$A,0),MATCH(Index_Match!J$1,Sheet1!$A$1:$J$1,0)))</f>
        <v>Tiana Wright</v>
      </c>
      <c r="K179" s="23">
        <f>IF(ISBLANK($E179),"",INDEX(Sheet1!$A:$J,MATCH(Index_Match!$E179,Sheet1!$A:$A,0),MATCH(Index_Match!K$1,Sheet1!$A$1:$J$1,0)))</f>
        <v>4</v>
      </c>
      <c r="L179" s="20" t="str">
        <f>IF(ISBLANK($E179),"",INDEX(Sheet1!$A:$J,MATCH(Index_Match!$E179,Sheet1!$A:$A,0),MATCH(Index_Match!L$1,Sheet1!$A$1:$J$1,0)))</f>
        <v>Wright</v>
      </c>
      <c r="M179" s="20" t="str">
        <f>IF(ISBLANK($E179),"",INDEX(Sheet1!$A:$J,MATCH(Index_Match!$E179,Sheet1!$A:$A,0),MATCH(Index_Match!M$1,Sheet1!$A$1:$J$1,0)))</f>
        <v>Old</v>
      </c>
    </row>
    <row r="180" spans="2:13" x14ac:dyDescent="0.25">
      <c r="B180" s="20"/>
      <c r="C180" s="20"/>
      <c r="D180" s="20"/>
      <c r="E180" s="20" t="str">
        <v>Connie</v>
      </c>
      <c r="F180" s="20" t="str">
        <f>IF(ISBLANK($E180),"",INDEX(Sheet1!$A:$J,MATCH(Index_Match!$E180,Sheet1!$A:$A,0),MATCH(Index_Match!F$1,Sheet1!$A$1:$J$1,0)))</f>
        <v>Female</v>
      </c>
      <c r="G180" s="20" t="str">
        <f>IF(ISBLANK($E180),"",INDEX(Sheet1!$A:$J,MATCH(Index_Match!$E180,Sheet1!$A:$A,0),MATCH(Index_Match!G$1,Sheet1!$A$1:$J$1,0)))</f>
        <v>Economist</v>
      </c>
      <c r="H180" s="20" t="str">
        <f>IF(ISBLANK($E180),"",INDEX(Sheet1!$A:$J,MATCH(Index_Match!$E180,Sheet1!$A:$A,0),MATCH(Index_Match!H$1,Sheet1!$A$1:$J$1,0)))</f>
        <v>Single</v>
      </c>
      <c r="I180" s="23">
        <f>IF(ISBLANK($E180),"",INDEX(Sheet1!$A:$J,MATCH(Index_Match!$E180,Sheet1!$A:$A,0),MATCH(Index_Match!I$1,Sheet1!$A$1:$J$1,0)))</f>
        <v>1</v>
      </c>
      <c r="J180" s="20" t="str">
        <f>IF(ISBLANK($E180),"",INDEX(Sheet1!$A:$J,MATCH(Index_Match!$E180,Sheet1!$A:$A,0),MATCH(Index_Match!J$1,Sheet1!$A$1:$J$1,0)))</f>
        <v>Connie Martin</v>
      </c>
      <c r="K180" s="23">
        <f>IF(ISBLANK($E180),"",INDEX(Sheet1!$A:$J,MATCH(Index_Match!$E180,Sheet1!$A:$A,0),MATCH(Index_Match!K$1,Sheet1!$A$1:$J$1,0)))</f>
        <v>1</v>
      </c>
      <c r="L180" s="20" t="str">
        <f>IF(ISBLANK($E180),"",INDEX(Sheet1!$A:$J,MATCH(Index_Match!$E180,Sheet1!$A:$A,0),MATCH(Index_Match!L$1,Sheet1!$A$1:$J$1,0)))</f>
        <v>Martin</v>
      </c>
      <c r="M180" s="20" t="str">
        <f>IF(ISBLANK($E180),"",INDEX(Sheet1!$A:$J,MATCH(Index_Match!$E180,Sheet1!$A:$A,0),MATCH(Index_Match!M$1,Sheet1!$A$1:$J$1,0)))</f>
        <v>Old</v>
      </c>
    </row>
    <row r="181" spans="2:13" x14ac:dyDescent="0.25">
      <c r="B181" s="20"/>
      <c r="C181" s="20"/>
      <c r="D181" s="20"/>
      <c r="E181" s="20" t="str">
        <v>Emma</v>
      </c>
      <c r="F181" s="20" t="str">
        <f>IF(ISBLANK($E181),"",INDEX(Sheet1!$A:$J,MATCH(Index_Match!$E181,Sheet1!$A:$A,0),MATCH(Index_Match!F$1,Sheet1!$A$1:$J$1,0)))</f>
        <v>Female</v>
      </c>
      <c r="G181" s="20" t="str">
        <f>IF(ISBLANK($E181),"",INDEX(Sheet1!$A:$J,MATCH(Index_Match!$E181,Sheet1!$A:$A,0),MATCH(Index_Match!G$1,Sheet1!$A$1:$J$1,0)))</f>
        <v>Baker</v>
      </c>
      <c r="H181" s="20" t="str">
        <f>IF(ISBLANK($E181),"",INDEX(Sheet1!$A:$J,MATCH(Index_Match!$E181,Sheet1!$A:$A,0),MATCH(Index_Match!H$1,Sheet1!$A$1:$J$1,0)))</f>
        <v>Married</v>
      </c>
      <c r="I181" s="23">
        <f>IF(ISBLANK($E181),"",INDEX(Sheet1!$A:$J,MATCH(Index_Match!$E181,Sheet1!$A:$A,0),MATCH(Index_Match!I$1,Sheet1!$A$1:$J$1,0)))</f>
        <v>2</v>
      </c>
      <c r="J181" s="20" t="str">
        <f>IF(ISBLANK($E181),"",INDEX(Sheet1!$A:$J,MATCH(Index_Match!$E181,Sheet1!$A:$A,0),MATCH(Index_Match!J$1,Sheet1!$A$1:$J$1,0)))</f>
        <v>Emma Farrell</v>
      </c>
      <c r="K181" s="23">
        <f>IF(ISBLANK($E181),"",INDEX(Sheet1!$A:$J,MATCH(Index_Match!$E181,Sheet1!$A:$A,0),MATCH(Index_Match!K$1,Sheet1!$A$1:$J$1,0)))</f>
        <v>2</v>
      </c>
      <c r="L181" s="20" t="str">
        <f>IF(ISBLANK($E181),"",INDEX(Sheet1!$A:$J,MATCH(Index_Match!$E181,Sheet1!$A:$A,0),MATCH(Index_Match!L$1,Sheet1!$A$1:$J$1,0)))</f>
        <v>Farrell</v>
      </c>
      <c r="M181" s="20" t="str">
        <f>IF(ISBLANK($E181),"",INDEX(Sheet1!$A:$J,MATCH(Index_Match!$E181,Sheet1!$A:$A,0),MATCH(Index_Match!M$1,Sheet1!$A$1:$J$1,0)))</f>
        <v>Middle Age</v>
      </c>
    </row>
    <row r="182" spans="2:13" x14ac:dyDescent="0.25">
      <c r="B182" s="20"/>
      <c r="C182" s="20"/>
      <c r="D182" s="20"/>
      <c r="E182" s="20" t="str">
        <v>Tara</v>
      </c>
      <c r="F182" s="20" t="str">
        <f>IF(ISBLANK($E182),"",INDEX(Sheet1!$A:$J,MATCH(Index_Match!$E182,Sheet1!$A:$A,0),MATCH(Index_Match!F$1,Sheet1!$A$1:$J$1,0)))</f>
        <v>Female</v>
      </c>
      <c r="G182" s="20" t="str">
        <f>IF(ISBLANK($E182),"",INDEX(Sheet1!$A:$J,MATCH(Index_Match!$E182,Sheet1!$A:$A,0),MATCH(Index_Match!G$1,Sheet1!$A$1:$J$1,0)))</f>
        <v>Jeweller</v>
      </c>
      <c r="H182" s="20" t="str">
        <f>IF(ISBLANK($E182),"",INDEX(Sheet1!$A:$J,MATCH(Index_Match!$E182,Sheet1!$A:$A,0),MATCH(Index_Match!H$1,Sheet1!$A$1:$J$1,0)))</f>
        <v>Married</v>
      </c>
      <c r="I182" s="23">
        <f>IF(ISBLANK($E182),"",INDEX(Sheet1!$A:$J,MATCH(Index_Match!$E182,Sheet1!$A:$A,0),MATCH(Index_Match!I$1,Sheet1!$A$1:$J$1,0)))</f>
        <v>4</v>
      </c>
      <c r="J182" s="20" t="str">
        <f>IF(ISBLANK($E182),"",INDEX(Sheet1!$A:$J,MATCH(Index_Match!$E182,Sheet1!$A:$A,0),MATCH(Index_Match!J$1,Sheet1!$A$1:$J$1,0)))</f>
        <v>Tara Brown</v>
      </c>
      <c r="K182" s="23">
        <f>IF(ISBLANK($E182),"",INDEX(Sheet1!$A:$J,MATCH(Index_Match!$E182,Sheet1!$A:$A,0),MATCH(Index_Match!K$1,Sheet1!$A$1:$J$1,0)))</f>
        <v>4</v>
      </c>
      <c r="L182" s="20" t="str">
        <f>IF(ISBLANK($E182),"",INDEX(Sheet1!$A:$J,MATCH(Index_Match!$E182,Sheet1!$A:$A,0),MATCH(Index_Match!L$1,Sheet1!$A$1:$J$1,0)))</f>
        <v>Brown</v>
      </c>
      <c r="M182" s="20" t="str">
        <f>IF(ISBLANK($E182),"",INDEX(Sheet1!$A:$J,MATCH(Index_Match!$E182,Sheet1!$A:$A,0),MATCH(Index_Match!M$1,Sheet1!$A$1:$J$1,0)))</f>
        <v>Young</v>
      </c>
    </row>
    <row r="183" spans="2:13" x14ac:dyDescent="0.25">
      <c r="B183" s="20"/>
      <c r="C183" s="20"/>
      <c r="D183" s="20"/>
      <c r="E183" s="20" t="str">
        <v>Camila</v>
      </c>
      <c r="F183" s="20" t="str">
        <f>IF(ISBLANK($E183),"",INDEX(Sheet1!$A:$J,MATCH(Index_Match!$E183,Sheet1!$A:$A,0),MATCH(Index_Match!F$1,Sheet1!$A$1:$J$1,0)))</f>
        <v>Female</v>
      </c>
      <c r="G183" s="20" t="str">
        <f>IF(ISBLANK($E183),"",INDEX(Sheet1!$A:$J,MATCH(Index_Match!$E183,Sheet1!$A:$A,0),MATCH(Index_Match!G$1,Sheet1!$A$1:$J$1,0)))</f>
        <v>Veterinarian</v>
      </c>
      <c r="H183" s="20" t="str">
        <f>IF(ISBLANK($E183),"",INDEX(Sheet1!$A:$J,MATCH(Index_Match!$E183,Sheet1!$A:$A,0),MATCH(Index_Match!H$1,Sheet1!$A$1:$J$1,0)))</f>
        <v>Single</v>
      </c>
      <c r="I183" s="23">
        <f>IF(ISBLANK($E183),"",INDEX(Sheet1!$A:$J,MATCH(Index_Match!$E183,Sheet1!$A:$A,0),MATCH(Index_Match!I$1,Sheet1!$A$1:$J$1,0)))</f>
        <v>5</v>
      </c>
      <c r="J183" s="20" t="str">
        <f>IF(ISBLANK($E183),"",INDEX(Sheet1!$A:$J,MATCH(Index_Match!$E183,Sheet1!$A:$A,0),MATCH(Index_Match!J$1,Sheet1!$A$1:$J$1,0)))</f>
        <v>Camila Mitchell</v>
      </c>
      <c r="K183" s="23">
        <f>IF(ISBLANK($E183),"",INDEX(Sheet1!$A:$J,MATCH(Index_Match!$E183,Sheet1!$A:$A,0),MATCH(Index_Match!K$1,Sheet1!$A$1:$J$1,0)))</f>
        <v>5</v>
      </c>
      <c r="L183" s="20" t="str">
        <f>IF(ISBLANK($E183),"",INDEX(Sheet1!$A:$J,MATCH(Index_Match!$E183,Sheet1!$A:$A,0),MATCH(Index_Match!L$1,Sheet1!$A$1:$J$1,0)))</f>
        <v>Mitchell</v>
      </c>
      <c r="M183" s="20" t="str">
        <f>IF(ISBLANK($E183),"",INDEX(Sheet1!$A:$J,MATCH(Index_Match!$E183,Sheet1!$A:$A,0),MATCH(Index_Match!M$1,Sheet1!$A$1:$J$1,0)))</f>
        <v>Middle Age</v>
      </c>
    </row>
    <row r="184" spans="2:13" x14ac:dyDescent="0.25">
      <c r="B184" s="20"/>
      <c r="C184" s="20"/>
      <c r="D184" s="20"/>
      <c r="E184" s="20" t="str">
        <v>Nicole</v>
      </c>
      <c r="F184" s="20" t="str">
        <f>IF(ISBLANK($E184),"",INDEX(Sheet1!$A:$J,MATCH(Index_Match!$E184,Sheet1!$A:$A,0),MATCH(Index_Match!F$1,Sheet1!$A$1:$J$1,0)))</f>
        <v>Female</v>
      </c>
      <c r="G184" s="20" t="str">
        <f>IF(ISBLANK($E184),"",INDEX(Sheet1!$A:$J,MATCH(Index_Match!$E184,Sheet1!$A:$A,0),MATCH(Index_Match!G$1,Sheet1!$A$1:$J$1,0)))</f>
        <v>Aeroplane Pilot</v>
      </c>
      <c r="H184" s="20" t="str">
        <f>IF(ISBLANK($E184),"",INDEX(Sheet1!$A:$J,MATCH(Index_Match!$E184,Sheet1!$A:$A,0),MATCH(Index_Match!H$1,Sheet1!$A$1:$J$1,0)))</f>
        <v>Married</v>
      </c>
      <c r="I184" s="23">
        <f>IF(ISBLANK($E184),"",INDEX(Sheet1!$A:$J,MATCH(Index_Match!$E184,Sheet1!$A:$A,0),MATCH(Index_Match!I$1,Sheet1!$A$1:$J$1,0)))</f>
        <v>0</v>
      </c>
      <c r="J184" s="20" t="str">
        <f>IF(ISBLANK($E184),"",INDEX(Sheet1!$A:$J,MATCH(Index_Match!$E184,Sheet1!$A:$A,0),MATCH(Index_Match!J$1,Sheet1!$A$1:$J$1,0)))</f>
        <v>Nicole Morgan</v>
      </c>
      <c r="K184" s="23">
        <f>IF(ISBLANK($E184),"",INDEX(Sheet1!$A:$J,MATCH(Index_Match!$E184,Sheet1!$A:$A,0),MATCH(Index_Match!K$1,Sheet1!$A$1:$J$1,0)))</f>
        <v>0</v>
      </c>
      <c r="L184" s="20" t="str">
        <f>IF(ISBLANK($E184),"",INDEX(Sheet1!$A:$J,MATCH(Index_Match!$E184,Sheet1!$A:$A,0),MATCH(Index_Match!L$1,Sheet1!$A$1:$J$1,0)))</f>
        <v>Morgan</v>
      </c>
      <c r="M184" s="20" t="str">
        <f>IF(ISBLANK($E184),"",INDEX(Sheet1!$A:$J,MATCH(Index_Match!$E184,Sheet1!$A:$A,0),MATCH(Index_Match!M$1,Sheet1!$A$1:$J$1,0)))</f>
        <v>Middle Age</v>
      </c>
    </row>
    <row r="185" spans="2:13" x14ac:dyDescent="0.25">
      <c r="B185" s="20"/>
      <c r="C185" s="20"/>
      <c r="D185" s="20"/>
      <c r="E185" s="20" t="str">
        <v>Sarah</v>
      </c>
      <c r="F185" s="20" t="str">
        <f>IF(ISBLANK($E185),"",INDEX(Sheet1!$A:$J,MATCH(Index_Match!$E185,Sheet1!$A:$A,0),MATCH(Index_Match!F$1,Sheet1!$A$1:$J$1,0)))</f>
        <v>Female</v>
      </c>
      <c r="G185" s="20" t="str">
        <f>IF(ISBLANK($E185),"",INDEX(Sheet1!$A:$J,MATCH(Index_Match!$E185,Sheet1!$A:$A,0),MATCH(Index_Match!G$1,Sheet1!$A$1:$J$1,0)))</f>
        <v>Lecturer</v>
      </c>
      <c r="H185" s="20" t="str">
        <f>IF(ISBLANK($E185),"",INDEX(Sheet1!$A:$J,MATCH(Index_Match!$E185,Sheet1!$A:$A,0),MATCH(Index_Match!H$1,Sheet1!$A$1:$J$1,0)))</f>
        <v>Single</v>
      </c>
      <c r="I185" s="23">
        <f>IF(ISBLANK($E185),"",INDEX(Sheet1!$A:$J,MATCH(Index_Match!$E185,Sheet1!$A:$A,0),MATCH(Index_Match!I$1,Sheet1!$A$1:$J$1,0)))</f>
        <v>4</v>
      </c>
      <c r="J185" s="20" t="str">
        <f>IF(ISBLANK($E185),"",INDEX(Sheet1!$A:$J,MATCH(Index_Match!$E185,Sheet1!$A:$A,0),MATCH(Index_Match!J$1,Sheet1!$A$1:$J$1,0)))</f>
        <v>Sarah Stevens</v>
      </c>
      <c r="K185" s="23">
        <f>IF(ISBLANK($E185),"",INDEX(Sheet1!$A:$J,MATCH(Index_Match!$E185,Sheet1!$A:$A,0),MATCH(Index_Match!K$1,Sheet1!$A$1:$J$1,0)))</f>
        <v>4</v>
      </c>
      <c r="L185" s="20" t="str">
        <f>IF(ISBLANK($E185),"",INDEX(Sheet1!$A:$J,MATCH(Index_Match!$E185,Sheet1!$A:$A,0),MATCH(Index_Match!L$1,Sheet1!$A$1:$J$1,0)))</f>
        <v>Stevens</v>
      </c>
      <c r="M185" s="20" t="str">
        <f>IF(ISBLANK($E185),"",INDEX(Sheet1!$A:$J,MATCH(Index_Match!$E185,Sheet1!$A:$A,0),MATCH(Index_Match!M$1,Sheet1!$A$1:$J$1,0)))</f>
        <v>Middle Age</v>
      </c>
    </row>
    <row r="186" spans="2:13" x14ac:dyDescent="0.25">
      <c r="B186" s="20"/>
      <c r="C186" s="20"/>
      <c r="D186" s="20"/>
      <c r="E186" s="20" t="str">
        <v>Violet</v>
      </c>
      <c r="F186" s="20" t="str">
        <f>IF(ISBLANK($E186),"",INDEX(Sheet1!$A:$J,MATCH(Index_Match!$E186,Sheet1!$A:$A,0),MATCH(Index_Match!F$1,Sheet1!$A$1:$J$1,0)))</f>
        <v>Female</v>
      </c>
      <c r="G186" s="20" t="str">
        <f>IF(ISBLANK($E186),"",INDEX(Sheet1!$A:$J,MATCH(Index_Match!$E186,Sheet1!$A:$A,0),MATCH(Index_Match!G$1,Sheet1!$A$1:$J$1,0)))</f>
        <v>Driver</v>
      </c>
      <c r="H186" s="20" t="str">
        <f>IF(ISBLANK($E186),"",INDEX(Sheet1!$A:$J,MATCH(Index_Match!$E186,Sheet1!$A:$A,0),MATCH(Index_Match!H$1,Sheet1!$A$1:$J$1,0)))</f>
        <v>Married</v>
      </c>
      <c r="I186" s="23">
        <f>IF(ISBLANK($E186),"",INDEX(Sheet1!$A:$J,MATCH(Index_Match!$E186,Sheet1!$A:$A,0),MATCH(Index_Match!I$1,Sheet1!$A$1:$J$1,0)))</f>
        <v>2</v>
      </c>
      <c r="J186" s="20" t="str">
        <f>IF(ISBLANK($E186),"",INDEX(Sheet1!$A:$J,MATCH(Index_Match!$E186,Sheet1!$A:$A,0),MATCH(Index_Match!J$1,Sheet1!$A$1:$J$1,0)))</f>
        <v>Violet Cooper</v>
      </c>
      <c r="K186" s="23">
        <f>IF(ISBLANK($E186),"",INDEX(Sheet1!$A:$J,MATCH(Index_Match!$E186,Sheet1!$A:$A,0),MATCH(Index_Match!K$1,Sheet1!$A$1:$J$1,0)))</f>
        <v>2</v>
      </c>
      <c r="L186" s="20" t="str">
        <f>IF(ISBLANK($E186),"",INDEX(Sheet1!$A:$J,MATCH(Index_Match!$E186,Sheet1!$A:$A,0),MATCH(Index_Match!L$1,Sheet1!$A$1:$J$1,0)))</f>
        <v>Cooper</v>
      </c>
      <c r="M186" s="20" t="str">
        <f>IF(ISBLANK($E186),"",INDEX(Sheet1!$A:$J,MATCH(Index_Match!$E186,Sheet1!$A:$A,0),MATCH(Index_Match!M$1,Sheet1!$A$1:$J$1,0)))</f>
        <v>Old</v>
      </c>
    </row>
    <row r="187" spans="2:13" x14ac:dyDescent="0.25">
      <c r="B187" s="20"/>
      <c r="C187" s="20"/>
      <c r="D187" s="20"/>
      <c r="E187" s="20" t="str">
        <v>Elise</v>
      </c>
      <c r="F187" s="20" t="str">
        <f>IF(ISBLANK($E187),"",INDEX(Sheet1!$A:$J,MATCH(Index_Match!$E187,Sheet1!$A:$A,0),MATCH(Index_Match!F$1,Sheet1!$A$1:$J$1,0)))</f>
        <v>Female</v>
      </c>
      <c r="G187" s="20" t="str">
        <f>IF(ISBLANK($E187),"",INDEX(Sheet1!$A:$J,MATCH(Index_Match!$E187,Sheet1!$A:$A,0),MATCH(Index_Match!G$1,Sheet1!$A$1:$J$1,0)))</f>
        <v>Engineer</v>
      </c>
      <c r="H187" s="20" t="str">
        <f>IF(ISBLANK($E187),"",INDEX(Sheet1!$A:$J,MATCH(Index_Match!$E187,Sheet1!$A:$A,0),MATCH(Index_Match!H$1,Sheet1!$A$1:$J$1,0)))</f>
        <v>Married</v>
      </c>
      <c r="I187" s="23">
        <f>IF(ISBLANK($E187),"",INDEX(Sheet1!$A:$J,MATCH(Index_Match!$E187,Sheet1!$A:$A,0),MATCH(Index_Match!I$1,Sheet1!$A$1:$J$1,0)))</f>
        <v>5</v>
      </c>
      <c r="J187" s="20" t="str">
        <f>IF(ISBLANK($E187),"",INDEX(Sheet1!$A:$J,MATCH(Index_Match!$E187,Sheet1!$A:$A,0),MATCH(Index_Match!J$1,Sheet1!$A$1:$J$1,0)))</f>
        <v>Elise Tucker</v>
      </c>
      <c r="K187" s="23">
        <f>IF(ISBLANK($E187),"",INDEX(Sheet1!$A:$J,MATCH(Index_Match!$E187,Sheet1!$A:$A,0),MATCH(Index_Match!K$1,Sheet1!$A$1:$J$1,0)))</f>
        <v>5</v>
      </c>
      <c r="L187" s="20" t="str">
        <f>IF(ISBLANK($E187),"",INDEX(Sheet1!$A:$J,MATCH(Index_Match!$E187,Sheet1!$A:$A,0),MATCH(Index_Match!L$1,Sheet1!$A$1:$J$1,0)))</f>
        <v>Tucker</v>
      </c>
      <c r="M187" s="20" t="str">
        <f>IF(ISBLANK($E187),"",INDEX(Sheet1!$A:$J,MATCH(Index_Match!$E187,Sheet1!$A:$A,0),MATCH(Index_Match!M$1,Sheet1!$A$1:$J$1,0)))</f>
        <v>Young</v>
      </c>
    </row>
    <row r="188" spans="2:13" x14ac:dyDescent="0.25">
      <c r="B188" s="20"/>
      <c r="C188" s="20"/>
      <c r="D188" s="20"/>
      <c r="E188" s="20" t="str">
        <v>Grace</v>
      </c>
      <c r="F188" s="20" t="str">
        <f>IF(ISBLANK($E188),"",INDEX(Sheet1!$A:$J,MATCH(Index_Match!$E188,Sheet1!$A:$A,0),MATCH(Index_Match!F$1,Sheet1!$A$1:$J$1,0)))</f>
        <v>Female</v>
      </c>
      <c r="G188" s="20" t="str">
        <f>IF(ISBLANK($E188),"",INDEX(Sheet1!$A:$J,MATCH(Index_Match!$E188,Sheet1!$A:$A,0),MATCH(Index_Match!G$1,Sheet1!$A$1:$J$1,0)))</f>
        <v>Insurer</v>
      </c>
      <c r="H188" s="20" t="str">
        <f>IF(ISBLANK($E188),"",INDEX(Sheet1!$A:$J,MATCH(Index_Match!$E188,Sheet1!$A:$A,0),MATCH(Index_Match!H$1,Sheet1!$A$1:$J$1,0)))</f>
        <v>Married</v>
      </c>
      <c r="I188" s="23">
        <f>IF(ISBLANK($E188),"",INDEX(Sheet1!$A:$J,MATCH(Index_Match!$E188,Sheet1!$A:$A,0),MATCH(Index_Match!I$1,Sheet1!$A$1:$J$1,0)))</f>
        <v>1</v>
      </c>
      <c r="J188" s="20" t="str">
        <f>IF(ISBLANK($E188),"",INDEX(Sheet1!$A:$J,MATCH(Index_Match!$E188,Sheet1!$A:$A,0),MATCH(Index_Match!J$1,Sheet1!$A$1:$J$1,0)))</f>
        <v>Grace Taylor</v>
      </c>
      <c r="K188" s="23">
        <f>IF(ISBLANK($E188),"",INDEX(Sheet1!$A:$J,MATCH(Index_Match!$E188,Sheet1!$A:$A,0),MATCH(Index_Match!K$1,Sheet1!$A$1:$J$1,0)))</f>
        <v>1</v>
      </c>
      <c r="L188" s="20" t="str">
        <f>IF(ISBLANK($E188),"",INDEX(Sheet1!$A:$J,MATCH(Index_Match!$E188,Sheet1!$A:$A,0),MATCH(Index_Match!L$1,Sheet1!$A$1:$J$1,0)))</f>
        <v>Taylor</v>
      </c>
      <c r="M188" s="20" t="str">
        <f>IF(ISBLANK($E188),"",INDEX(Sheet1!$A:$J,MATCH(Index_Match!$E188,Sheet1!$A:$A,0),MATCH(Index_Match!M$1,Sheet1!$A$1:$J$1,0)))</f>
        <v>Middle Age</v>
      </c>
    </row>
    <row r="189" spans="2:13" x14ac:dyDescent="0.25">
      <c r="B189" s="20"/>
      <c r="C189" s="20"/>
      <c r="D189" s="20"/>
      <c r="E189" s="20" t="str">
        <v>Savana</v>
      </c>
      <c r="F189" s="20" t="str">
        <f>IF(ISBLANK($E189),"",INDEX(Sheet1!$A:$J,MATCH(Index_Match!$E189,Sheet1!$A:$A,0),MATCH(Index_Match!F$1,Sheet1!$A$1:$J$1,0)))</f>
        <v>Female</v>
      </c>
      <c r="G189" s="20" t="str">
        <f>IF(ISBLANK($E189),"",INDEX(Sheet1!$A:$J,MATCH(Index_Match!$E189,Sheet1!$A:$A,0),MATCH(Index_Match!G$1,Sheet1!$A$1:$J$1,0)))</f>
        <v>Accountant</v>
      </c>
      <c r="H189" s="20" t="str">
        <f>IF(ISBLANK($E189),"",INDEX(Sheet1!$A:$J,MATCH(Index_Match!$E189,Sheet1!$A:$A,0),MATCH(Index_Match!H$1,Sheet1!$A$1:$J$1,0)))</f>
        <v>Single</v>
      </c>
      <c r="I189" s="23">
        <f>IF(ISBLANK($E189),"",INDEX(Sheet1!$A:$J,MATCH(Index_Match!$E189,Sheet1!$A:$A,0),MATCH(Index_Match!I$1,Sheet1!$A$1:$J$1,0)))</f>
        <v>5</v>
      </c>
      <c r="J189" s="20" t="str">
        <f>IF(ISBLANK($E189),"",INDEX(Sheet1!$A:$J,MATCH(Index_Match!$E189,Sheet1!$A:$A,0),MATCH(Index_Match!J$1,Sheet1!$A$1:$J$1,0)))</f>
        <v>Savana Carroll</v>
      </c>
      <c r="K189" s="23">
        <f>IF(ISBLANK($E189),"",INDEX(Sheet1!$A:$J,MATCH(Index_Match!$E189,Sheet1!$A:$A,0),MATCH(Index_Match!K$1,Sheet1!$A$1:$J$1,0)))</f>
        <v>5</v>
      </c>
      <c r="L189" s="20" t="str">
        <f>IF(ISBLANK($E189),"",INDEX(Sheet1!$A:$J,MATCH(Index_Match!$E189,Sheet1!$A:$A,0),MATCH(Index_Match!L$1,Sheet1!$A$1:$J$1,0)))</f>
        <v>Carroll</v>
      </c>
      <c r="M189" s="20" t="str">
        <f>IF(ISBLANK($E189),"",INDEX(Sheet1!$A:$J,MATCH(Index_Match!$E189,Sheet1!$A:$A,0),MATCH(Index_Match!M$1,Sheet1!$A$1:$J$1,0)))</f>
        <v>Middle Age</v>
      </c>
    </row>
    <row r="190" spans="2:13" x14ac:dyDescent="0.25">
      <c r="B190" s="20"/>
      <c r="C190" s="20"/>
      <c r="D190" s="20"/>
      <c r="E190" s="20" t="str">
        <v>Evelyn</v>
      </c>
      <c r="F190" s="20" t="str">
        <f>IF(ISBLANK($E190),"",INDEX(Sheet1!$A:$J,MATCH(Index_Match!$E190,Sheet1!$A:$A,0),MATCH(Index_Match!F$1,Sheet1!$A$1:$J$1,0)))</f>
        <v>Female</v>
      </c>
      <c r="G190" s="20" t="str">
        <f>IF(ISBLANK($E190),"",INDEX(Sheet1!$A:$J,MATCH(Index_Match!$E190,Sheet1!$A:$A,0),MATCH(Index_Match!G$1,Sheet1!$A$1:$J$1,0)))</f>
        <v>Teacher</v>
      </c>
      <c r="H190" s="20" t="str">
        <f>IF(ISBLANK($E190),"",INDEX(Sheet1!$A:$J,MATCH(Index_Match!$E190,Sheet1!$A:$A,0),MATCH(Index_Match!H$1,Sheet1!$A$1:$J$1,0)))</f>
        <v>Married</v>
      </c>
      <c r="I190" s="23">
        <f>IF(ISBLANK($E190),"",INDEX(Sheet1!$A:$J,MATCH(Index_Match!$E190,Sheet1!$A:$A,0),MATCH(Index_Match!I$1,Sheet1!$A$1:$J$1,0)))</f>
        <v>3</v>
      </c>
      <c r="J190" s="20" t="str">
        <f>IF(ISBLANK($E190),"",INDEX(Sheet1!$A:$J,MATCH(Index_Match!$E190,Sheet1!$A:$A,0),MATCH(Index_Match!J$1,Sheet1!$A$1:$J$1,0)))</f>
        <v>Evelyn Watson</v>
      </c>
      <c r="K190" s="23">
        <f>IF(ISBLANK($E190),"",INDEX(Sheet1!$A:$J,MATCH(Index_Match!$E190,Sheet1!$A:$A,0),MATCH(Index_Match!K$1,Sheet1!$A$1:$J$1,0)))</f>
        <v>3</v>
      </c>
      <c r="L190" s="20" t="str">
        <f>IF(ISBLANK($E190),"",INDEX(Sheet1!$A:$J,MATCH(Index_Match!$E190,Sheet1!$A:$A,0),MATCH(Index_Match!L$1,Sheet1!$A$1:$J$1,0)))</f>
        <v>Watson</v>
      </c>
      <c r="M190" s="20" t="str">
        <f>IF(ISBLANK($E190),"",INDEX(Sheet1!$A:$J,MATCH(Index_Match!$E190,Sheet1!$A:$A,0),MATCH(Index_Match!M$1,Sheet1!$A$1:$J$1,0)))</f>
        <v>Middle Age</v>
      </c>
    </row>
    <row r="191" spans="2:13" x14ac:dyDescent="0.25">
      <c r="B191" s="20"/>
      <c r="C191" s="20"/>
      <c r="D191" s="20"/>
      <c r="E191" s="20" t="str">
        <v>Myra</v>
      </c>
      <c r="F191" s="20" t="str">
        <f>IF(ISBLANK($E191),"",INDEX(Sheet1!$A:$J,MATCH(Index_Match!$E191,Sheet1!$A:$A,0),MATCH(Index_Match!F$1,Sheet1!$A$1:$J$1,0)))</f>
        <v>Female</v>
      </c>
      <c r="G191" s="20" t="str">
        <f>IF(ISBLANK($E191),"",INDEX(Sheet1!$A:$J,MATCH(Index_Match!$E191,Sheet1!$A:$A,0),MATCH(Index_Match!G$1,Sheet1!$A$1:$J$1,0)))</f>
        <v>Architect</v>
      </c>
      <c r="H191" s="20" t="str">
        <f>IF(ISBLANK($E191),"",INDEX(Sheet1!$A:$J,MATCH(Index_Match!$E191,Sheet1!$A:$A,0),MATCH(Index_Match!H$1,Sheet1!$A$1:$J$1,0)))</f>
        <v>Single</v>
      </c>
      <c r="I191" s="23">
        <f>IF(ISBLANK($E191),"",INDEX(Sheet1!$A:$J,MATCH(Index_Match!$E191,Sheet1!$A:$A,0),MATCH(Index_Match!I$1,Sheet1!$A$1:$J$1,0)))</f>
        <v>0</v>
      </c>
      <c r="J191" s="20" t="str">
        <f>IF(ISBLANK($E191),"",INDEX(Sheet1!$A:$J,MATCH(Index_Match!$E191,Sheet1!$A:$A,0),MATCH(Index_Match!J$1,Sheet1!$A$1:$J$1,0)))</f>
        <v>Myra Ryan</v>
      </c>
      <c r="K191" s="23">
        <f>IF(ISBLANK($E191),"",INDEX(Sheet1!$A:$J,MATCH(Index_Match!$E191,Sheet1!$A:$A,0),MATCH(Index_Match!K$1,Sheet1!$A$1:$J$1,0)))</f>
        <v>0</v>
      </c>
      <c r="L191" s="20" t="str">
        <f>IF(ISBLANK($E191),"",INDEX(Sheet1!$A:$J,MATCH(Index_Match!$E191,Sheet1!$A:$A,0),MATCH(Index_Match!L$1,Sheet1!$A$1:$J$1,0)))</f>
        <v>Ryan</v>
      </c>
      <c r="M191" s="20" t="str">
        <f>IF(ISBLANK($E191),"",INDEX(Sheet1!$A:$J,MATCH(Index_Match!$E191,Sheet1!$A:$A,0),MATCH(Index_Match!M$1,Sheet1!$A$1:$J$1,0)))</f>
        <v>Young</v>
      </c>
    </row>
    <row r="192" spans="2:13" x14ac:dyDescent="0.25">
      <c r="B192" s="20"/>
      <c r="C192" s="20"/>
      <c r="D192" s="20"/>
      <c r="E192" s="20" t="str">
        <v>Kirsten</v>
      </c>
      <c r="F192" s="20" t="str">
        <f>IF(ISBLANK($E192),"",INDEX(Sheet1!$A:$J,MATCH(Index_Match!$E192,Sheet1!$A:$A,0),MATCH(Index_Match!F$1,Sheet1!$A$1:$J$1,0)))</f>
        <v>Female</v>
      </c>
      <c r="G192" s="20" t="str">
        <f>IF(ISBLANK($E192),"",INDEX(Sheet1!$A:$J,MATCH(Index_Match!$E192,Sheet1!$A:$A,0),MATCH(Index_Match!G$1,Sheet1!$A$1:$J$1,0)))</f>
        <v>Meteorologist</v>
      </c>
      <c r="H192" s="20" t="str">
        <f>IF(ISBLANK($E192),"",INDEX(Sheet1!$A:$J,MATCH(Index_Match!$E192,Sheet1!$A:$A,0),MATCH(Index_Match!H$1,Sheet1!$A$1:$J$1,0)))</f>
        <v>Single</v>
      </c>
      <c r="I192" s="23">
        <f>IF(ISBLANK($E192),"",INDEX(Sheet1!$A:$J,MATCH(Index_Match!$E192,Sheet1!$A:$A,0),MATCH(Index_Match!I$1,Sheet1!$A$1:$J$1,0)))</f>
        <v>3</v>
      </c>
      <c r="J192" s="20" t="str">
        <f>IF(ISBLANK($E192),"",INDEX(Sheet1!$A:$J,MATCH(Index_Match!$E192,Sheet1!$A:$A,0),MATCH(Index_Match!J$1,Sheet1!$A$1:$J$1,0)))</f>
        <v>Kirsten Perry</v>
      </c>
      <c r="K192" s="23">
        <f>IF(ISBLANK($E192),"",INDEX(Sheet1!$A:$J,MATCH(Index_Match!$E192,Sheet1!$A:$A,0),MATCH(Index_Match!K$1,Sheet1!$A$1:$J$1,0)))</f>
        <v>3</v>
      </c>
      <c r="L192" s="20" t="str">
        <f>IF(ISBLANK($E192),"",INDEX(Sheet1!$A:$J,MATCH(Index_Match!$E192,Sheet1!$A:$A,0),MATCH(Index_Match!L$1,Sheet1!$A$1:$J$1,0)))</f>
        <v>Perry</v>
      </c>
      <c r="M192" s="20" t="str">
        <f>IF(ISBLANK($E192),"",INDEX(Sheet1!$A:$J,MATCH(Index_Match!$E192,Sheet1!$A:$A,0),MATCH(Index_Match!M$1,Sheet1!$A$1:$J$1,0)))</f>
        <v>Young</v>
      </c>
    </row>
    <row r="193" spans="2:13" x14ac:dyDescent="0.25">
      <c r="B193" s="20"/>
      <c r="C193" s="20"/>
      <c r="D193" s="20"/>
      <c r="E193" s="20" t="str">
        <v>Carina</v>
      </c>
      <c r="F193" s="20" t="str">
        <f>IF(ISBLANK($E193),"",INDEX(Sheet1!$A:$J,MATCH(Index_Match!$E193,Sheet1!$A:$A,0),MATCH(Index_Match!F$1,Sheet1!$A$1:$J$1,0)))</f>
        <v>Female</v>
      </c>
      <c r="G193" s="20" t="str">
        <f>IF(ISBLANK($E193),"",INDEX(Sheet1!$A:$J,MATCH(Index_Match!$E193,Sheet1!$A:$A,0),MATCH(Index_Match!G$1,Sheet1!$A$1:$J$1,0)))</f>
        <v>Aeroplane Pilot</v>
      </c>
      <c r="H193" s="20" t="str">
        <f>IF(ISBLANK($E193),"",INDEX(Sheet1!$A:$J,MATCH(Index_Match!$E193,Sheet1!$A:$A,0),MATCH(Index_Match!H$1,Sheet1!$A$1:$J$1,0)))</f>
        <v>Married</v>
      </c>
      <c r="I193" s="23">
        <f>IF(ISBLANK($E193),"",INDEX(Sheet1!$A:$J,MATCH(Index_Match!$E193,Sheet1!$A:$A,0),MATCH(Index_Match!I$1,Sheet1!$A$1:$J$1,0)))</f>
        <v>4</v>
      </c>
      <c r="J193" s="20" t="str">
        <f>IF(ISBLANK($E193),"",INDEX(Sheet1!$A:$J,MATCH(Index_Match!$E193,Sheet1!$A:$A,0),MATCH(Index_Match!J$1,Sheet1!$A$1:$J$1,0)))</f>
        <v>Carina Williams</v>
      </c>
      <c r="K193" s="23">
        <f>IF(ISBLANK($E193),"",INDEX(Sheet1!$A:$J,MATCH(Index_Match!$E193,Sheet1!$A:$A,0),MATCH(Index_Match!K$1,Sheet1!$A$1:$J$1,0)))</f>
        <v>4</v>
      </c>
      <c r="L193" s="20" t="str">
        <f>IF(ISBLANK($E193),"",INDEX(Sheet1!$A:$J,MATCH(Index_Match!$E193,Sheet1!$A:$A,0),MATCH(Index_Match!L$1,Sheet1!$A$1:$J$1,0)))</f>
        <v>Williams</v>
      </c>
      <c r="M193" s="20" t="str">
        <f>IF(ISBLANK($E193),"",INDEX(Sheet1!$A:$J,MATCH(Index_Match!$E193,Sheet1!$A:$A,0),MATCH(Index_Match!M$1,Sheet1!$A$1:$J$1,0)))</f>
        <v>Young</v>
      </c>
    </row>
    <row r="194" spans="2:13" x14ac:dyDescent="0.25">
      <c r="B194" s="20"/>
      <c r="C194" s="20"/>
      <c r="D194" s="20"/>
      <c r="E194" s="20" t="str">
        <v>Maddie</v>
      </c>
      <c r="F194" s="20" t="str">
        <f>IF(ISBLANK($E194),"",INDEX(Sheet1!$A:$J,MATCH(Index_Match!$E194,Sheet1!$A:$A,0),MATCH(Index_Match!F$1,Sheet1!$A$1:$J$1,0)))</f>
        <v>Female</v>
      </c>
      <c r="G194" s="20" t="str">
        <f>IF(ISBLANK($E194),"",INDEX(Sheet1!$A:$J,MATCH(Index_Match!$E194,Sheet1!$A:$A,0),MATCH(Index_Match!G$1,Sheet1!$A$1:$J$1,0)))</f>
        <v>Engineer</v>
      </c>
      <c r="H194" s="20" t="str">
        <f>IF(ISBLANK($E194),"",INDEX(Sheet1!$A:$J,MATCH(Index_Match!$E194,Sheet1!$A:$A,0),MATCH(Index_Match!H$1,Sheet1!$A$1:$J$1,0)))</f>
        <v>Single</v>
      </c>
      <c r="I194" s="23">
        <f>IF(ISBLANK($E194),"",INDEX(Sheet1!$A:$J,MATCH(Index_Match!$E194,Sheet1!$A:$A,0),MATCH(Index_Match!I$1,Sheet1!$A$1:$J$1,0)))</f>
        <v>5</v>
      </c>
      <c r="J194" s="20" t="str">
        <f>IF(ISBLANK($E194),"",INDEX(Sheet1!$A:$J,MATCH(Index_Match!$E194,Sheet1!$A:$A,0),MATCH(Index_Match!J$1,Sheet1!$A$1:$J$1,0)))</f>
        <v>Maddie Hamilton</v>
      </c>
      <c r="K194" s="23">
        <f>IF(ISBLANK($E194),"",INDEX(Sheet1!$A:$J,MATCH(Index_Match!$E194,Sheet1!$A:$A,0),MATCH(Index_Match!K$1,Sheet1!$A$1:$J$1,0)))</f>
        <v>5</v>
      </c>
      <c r="L194" s="20" t="str">
        <f>IF(ISBLANK($E194),"",INDEX(Sheet1!$A:$J,MATCH(Index_Match!$E194,Sheet1!$A:$A,0),MATCH(Index_Match!L$1,Sheet1!$A$1:$J$1,0)))</f>
        <v>Hamilton</v>
      </c>
      <c r="M194" s="20" t="str">
        <f>IF(ISBLANK($E194),"",INDEX(Sheet1!$A:$J,MATCH(Index_Match!$E194,Sheet1!$A:$A,0),MATCH(Index_Match!M$1,Sheet1!$A$1:$J$1,0)))</f>
        <v>Middle Age</v>
      </c>
    </row>
    <row r="195" spans="2:13" x14ac:dyDescent="0.25">
      <c r="B195" s="20"/>
      <c r="C195" s="20"/>
      <c r="D195" s="20"/>
      <c r="E195" s="20" t="str">
        <v>Cherry</v>
      </c>
      <c r="F195" s="20" t="str">
        <f>IF(ISBLANK($E195),"",INDEX(Sheet1!$A:$J,MATCH(Index_Match!$E195,Sheet1!$A:$A,0),MATCH(Index_Match!F$1,Sheet1!$A$1:$J$1,0)))</f>
        <v>Female</v>
      </c>
      <c r="G195" s="20" t="str">
        <f>IF(ISBLANK($E195),"",INDEX(Sheet1!$A:$J,MATCH(Index_Match!$E195,Sheet1!$A:$A,0),MATCH(Index_Match!G$1,Sheet1!$A$1:$J$1,0)))</f>
        <v>Singer</v>
      </c>
      <c r="H195" s="20" t="str">
        <f>IF(ISBLANK($E195),"",INDEX(Sheet1!$A:$J,MATCH(Index_Match!$E195,Sheet1!$A:$A,0),MATCH(Index_Match!H$1,Sheet1!$A$1:$J$1,0)))</f>
        <v>Married</v>
      </c>
      <c r="I195" s="23">
        <f>IF(ISBLANK($E195),"",INDEX(Sheet1!$A:$J,MATCH(Index_Match!$E195,Sheet1!$A:$A,0),MATCH(Index_Match!I$1,Sheet1!$A$1:$J$1,0)))</f>
        <v>5</v>
      </c>
      <c r="J195" s="20" t="str">
        <f>IF(ISBLANK($E195),"",INDEX(Sheet1!$A:$J,MATCH(Index_Match!$E195,Sheet1!$A:$A,0),MATCH(Index_Match!J$1,Sheet1!$A$1:$J$1,0)))</f>
        <v>Cherry Anderson</v>
      </c>
      <c r="K195" s="23">
        <f>IF(ISBLANK($E195),"",INDEX(Sheet1!$A:$J,MATCH(Index_Match!$E195,Sheet1!$A:$A,0),MATCH(Index_Match!K$1,Sheet1!$A$1:$J$1,0)))</f>
        <v>5</v>
      </c>
      <c r="L195" s="20" t="str">
        <f>IF(ISBLANK($E195),"",INDEX(Sheet1!$A:$J,MATCH(Index_Match!$E195,Sheet1!$A:$A,0),MATCH(Index_Match!L$1,Sheet1!$A$1:$J$1,0)))</f>
        <v>Anderson</v>
      </c>
      <c r="M195" s="20" t="str">
        <f>IF(ISBLANK($E195),"",INDEX(Sheet1!$A:$J,MATCH(Index_Match!$E195,Sheet1!$A:$A,0),MATCH(Index_Match!M$1,Sheet1!$A$1:$J$1,0)))</f>
        <v>Middle Age</v>
      </c>
    </row>
    <row r="196" spans="2:13" x14ac:dyDescent="0.25">
      <c r="B196" s="20"/>
      <c r="C196" s="20"/>
      <c r="D196" s="20"/>
      <c r="E196" s="20" t="str">
        <v>Vivian</v>
      </c>
      <c r="F196" s="20" t="str">
        <f>IF(ISBLANK($E196),"",INDEX(Sheet1!$A:$J,MATCH(Index_Match!$E196,Sheet1!$A:$A,0),MATCH(Index_Match!F$1,Sheet1!$A$1:$J$1,0)))</f>
        <v>Female</v>
      </c>
      <c r="G196" s="20" t="str">
        <f>IF(ISBLANK($E196),"",INDEX(Sheet1!$A:$J,MATCH(Index_Match!$E196,Sheet1!$A:$A,0),MATCH(Index_Match!G$1,Sheet1!$A$1:$J$1,0)))</f>
        <v>Fine Artist</v>
      </c>
      <c r="H196" s="20" t="str">
        <f>IF(ISBLANK($E196),"",INDEX(Sheet1!$A:$J,MATCH(Index_Match!$E196,Sheet1!$A:$A,0),MATCH(Index_Match!H$1,Sheet1!$A$1:$J$1,0)))</f>
        <v>Married</v>
      </c>
      <c r="I196" s="23">
        <f>IF(ISBLANK($E196),"",INDEX(Sheet1!$A:$J,MATCH(Index_Match!$E196,Sheet1!$A:$A,0),MATCH(Index_Match!I$1,Sheet1!$A$1:$J$1,0)))</f>
        <v>5</v>
      </c>
      <c r="J196" s="20" t="str">
        <f>IF(ISBLANK($E196),"",INDEX(Sheet1!$A:$J,MATCH(Index_Match!$E196,Sheet1!$A:$A,0),MATCH(Index_Match!J$1,Sheet1!$A$1:$J$1,0)))</f>
        <v>Vivian Edwards</v>
      </c>
      <c r="K196" s="23">
        <f>IF(ISBLANK($E196),"",INDEX(Sheet1!$A:$J,MATCH(Index_Match!$E196,Sheet1!$A:$A,0),MATCH(Index_Match!K$1,Sheet1!$A$1:$J$1,0)))</f>
        <v>5</v>
      </c>
      <c r="L196" s="20" t="str">
        <f>IF(ISBLANK($E196),"",INDEX(Sheet1!$A:$J,MATCH(Index_Match!$E196,Sheet1!$A:$A,0),MATCH(Index_Match!L$1,Sheet1!$A$1:$J$1,0)))</f>
        <v>Edwards</v>
      </c>
      <c r="M196" s="20" t="str">
        <f>IF(ISBLANK($E196),"",INDEX(Sheet1!$A:$J,MATCH(Index_Match!$E196,Sheet1!$A:$A,0),MATCH(Index_Match!M$1,Sheet1!$A$1:$J$1,0)))</f>
        <v>Middle Age</v>
      </c>
    </row>
    <row r="197" spans="2:13" x14ac:dyDescent="0.25">
      <c r="B197" s="20"/>
      <c r="C197" s="20"/>
      <c r="D197" s="20"/>
      <c r="E197" s="20" t="str">
        <v>Lucia</v>
      </c>
      <c r="F197" s="20" t="str">
        <f>IF(ISBLANK($E197),"",INDEX(Sheet1!$A:$J,MATCH(Index_Match!$E197,Sheet1!$A:$A,0),MATCH(Index_Match!F$1,Sheet1!$A$1:$J$1,0)))</f>
        <v>Female</v>
      </c>
      <c r="G197" s="20" t="str">
        <f>IF(ISBLANK($E197),"",INDEX(Sheet1!$A:$J,MATCH(Index_Match!$E197,Sheet1!$A:$A,0),MATCH(Index_Match!G$1,Sheet1!$A$1:$J$1,0)))</f>
        <v>Driver</v>
      </c>
      <c r="H197" s="20" t="str">
        <f>IF(ISBLANK($E197),"",INDEX(Sheet1!$A:$J,MATCH(Index_Match!$E197,Sheet1!$A:$A,0),MATCH(Index_Match!H$1,Sheet1!$A$1:$J$1,0)))</f>
        <v>Single</v>
      </c>
      <c r="I197" s="23">
        <f>IF(ISBLANK($E197),"",INDEX(Sheet1!$A:$J,MATCH(Index_Match!$E197,Sheet1!$A:$A,0),MATCH(Index_Match!I$1,Sheet1!$A$1:$J$1,0)))</f>
        <v>5</v>
      </c>
      <c r="J197" s="20" t="str">
        <f>IF(ISBLANK($E197),"",INDEX(Sheet1!$A:$J,MATCH(Index_Match!$E197,Sheet1!$A:$A,0),MATCH(Index_Match!J$1,Sheet1!$A$1:$J$1,0)))</f>
        <v>Lucia Cameron</v>
      </c>
      <c r="K197" s="23">
        <f>IF(ISBLANK($E197),"",INDEX(Sheet1!$A:$J,MATCH(Index_Match!$E197,Sheet1!$A:$A,0),MATCH(Index_Match!K$1,Sheet1!$A$1:$J$1,0)))</f>
        <v>5</v>
      </c>
      <c r="L197" s="20" t="str">
        <f>IF(ISBLANK($E197),"",INDEX(Sheet1!$A:$J,MATCH(Index_Match!$E197,Sheet1!$A:$A,0),MATCH(Index_Match!L$1,Sheet1!$A$1:$J$1,0)))</f>
        <v>Cameron</v>
      </c>
      <c r="M197" s="20" t="str">
        <f>IF(ISBLANK($E197),"",INDEX(Sheet1!$A:$J,MATCH(Index_Match!$E197,Sheet1!$A:$A,0),MATCH(Index_Match!M$1,Sheet1!$A$1:$J$1,0)))</f>
        <v>Middle Age</v>
      </c>
    </row>
    <row r="198" spans="2:13" x14ac:dyDescent="0.25">
      <c r="B198" s="20"/>
      <c r="C198" s="20"/>
      <c r="D198" s="20"/>
      <c r="E198" s="20" t="str">
        <v>Deanna</v>
      </c>
      <c r="F198" s="20" t="str">
        <f>IF(ISBLANK($E198),"",INDEX(Sheet1!$A:$J,MATCH(Index_Match!$E198,Sheet1!$A:$A,0),MATCH(Index_Match!F$1,Sheet1!$A$1:$J$1,0)))</f>
        <v>Female</v>
      </c>
      <c r="G198" s="20" t="str">
        <f>IF(ISBLANK($E198),"",INDEX(Sheet1!$A:$J,MATCH(Index_Match!$E198,Sheet1!$A:$A,0),MATCH(Index_Match!G$1,Sheet1!$A$1:$J$1,0)))</f>
        <v>Actor</v>
      </c>
      <c r="H198" s="20" t="str">
        <f>IF(ISBLANK($E198),"",INDEX(Sheet1!$A:$J,MATCH(Index_Match!$E198,Sheet1!$A:$A,0),MATCH(Index_Match!H$1,Sheet1!$A$1:$J$1,0)))</f>
        <v>Single</v>
      </c>
      <c r="I198" s="23">
        <f>IF(ISBLANK($E198),"",INDEX(Sheet1!$A:$J,MATCH(Index_Match!$E198,Sheet1!$A:$A,0),MATCH(Index_Match!I$1,Sheet1!$A$1:$J$1,0)))</f>
        <v>5</v>
      </c>
      <c r="J198" s="20" t="str">
        <f>IF(ISBLANK($E198),"",INDEX(Sheet1!$A:$J,MATCH(Index_Match!$E198,Sheet1!$A:$A,0),MATCH(Index_Match!J$1,Sheet1!$A$1:$J$1,0)))</f>
        <v>Deanna Spencer</v>
      </c>
      <c r="K198" s="23">
        <f>IF(ISBLANK($E198),"",INDEX(Sheet1!$A:$J,MATCH(Index_Match!$E198,Sheet1!$A:$A,0),MATCH(Index_Match!K$1,Sheet1!$A$1:$J$1,0)))</f>
        <v>5</v>
      </c>
      <c r="L198" s="20" t="str">
        <f>IF(ISBLANK($E198),"",INDEX(Sheet1!$A:$J,MATCH(Index_Match!$E198,Sheet1!$A:$A,0),MATCH(Index_Match!L$1,Sheet1!$A$1:$J$1,0)))</f>
        <v>Spencer</v>
      </c>
      <c r="M198" s="20" t="str">
        <f>IF(ISBLANK($E198),"",INDEX(Sheet1!$A:$J,MATCH(Index_Match!$E198,Sheet1!$A:$A,0),MATCH(Index_Match!M$1,Sheet1!$A$1:$J$1,0)))</f>
        <v>Old</v>
      </c>
    </row>
    <row r="199" spans="2:13" x14ac:dyDescent="0.25">
      <c r="B199" s="20"/>
      <c r="C199" s="20"/>
      <c r="D199" s="20"/>
      <c r="E199" s="20" t="str">
        <v>Fiona</v>
      </c>
      <c r="F199" s="20" t="str">
        <f>IF(ISBLANK($E199),"",INDEX(Sheet1!$A:$J,MATCH(Index_Match!$E199,Sheet1!$A:$A,0),MATCH(Index_Match!F$1,Sheet1!$A$1:$J$1,0)))</f>
        <v>Female</v>
      </c>
      <c r="G199" s="20" t="str">
        <f>IF(ISBLANK($E199),"",INDEX(Sheet1!$A:$J,MATCH(Index_Match!$E199,Sheet1!$A:$A,0),MATCH(Index_Match!G$1,Sheet1!$A$1:$J$1,0)))</f>
        <v>Hairdresser</v>
      </c>
      <c r="H199" s="20" t="str">
        <f>IF(ISBLANK($E199),"",INDEX(Sheet1!$A:$J,MATCH(Index_Match!$E199,Sheet1!$A:$A,0),MATCH(Index_Match!H$1,Sheet1!$A$1:$J$1,0)))</f>
        <v>Married</v>
      </c>
      <c r="I199" s="23">
        <f>IF(ISBLANK($E199),"",INDEX(Sheet1!$A:$J,MATCH(Index_Match!$E199,Sheet1!$A:$A,0),MATCH(Index_Match!I$1,Sheet1!$A$1:$J$1,0)))</f>
        <v>0</v>
      </c>
      <c r="J199" s="20" t="str">
        <f>IF(ISBLANK($E199),"",INDEX(Sheet1!$A:$J,MATCH(Index_Match!$E199,Sheet1!$A:$A,0),MATCH(Index_Match!J$1,Sheet1!$A$1:$J$1,0)))</f>
        <v>Fiona Phillips</v>
      </c>
      <c r="K199" s="23">
        <f>IF(ISBLANK($E199),"",INDEX(Sheet1!$A:$J,MATCH(Index_Match!$E199,Sheet1!$A:$A,0),MATCH(Index_Match!K$1,Sheet1!$A$1:$J$1,0)))</f>
        <v>0</v>
      </c>
      <c r="L199" s="20" t="str">
        <f>IF(ISBLANK($E199),"",INDEX(Sheet1!$A:$J,MATCH(Index_Match!$E199,Sheet1!$A:$A,0),MATCH(Index_Match!L$1,Sheet1!$A$1:$J$1,0)))</f>
        <v>Phillips</v>
      </c>
      <c r="M199" s="20" t="str">
        <f>IF(ISBLANK($E199),"",INDEX(Sheet1!$A:$J,MATCH(Index_Match!$E199,Sheet1!$A:$A,0),MATCH(Index_Match!M$1,Sheet1!$A$1:$J$1,0)))</f>
        <v>Middle Age</v>
      </c>
    </row>
    <row r="200" spans="2:13" x14ac:dyDescent="0.25">
      <c r="B200" s="20"/>
      <c r="C200" s="20"/>
      <c r="D200" s="20"/>
      <c r="E200" s="20" t="str">
        <v>Adelaide</v>
      </c>
      <c r="F200" s="20" t="str">
        <f>IF(ISBLANK($E200),"",INDEX(Sheet1!$A:$J,MATCH(Index_Match!$E200,Sheet1!$A:$A,0),MATCH(Index_Match!F$1,Sheet1!$A$1:$J$1,0)))</f>
        <v>Female</v>
      </c>
      <c r="G200" s="20" t="str">
        <f>IF(ISBLANK($E200),"",INDEX(Sheet1!$A:$J,MATCH(Index_Match!$E200,Sheet1!$A:$A,0),MATCH(Index_Match!G$1,Sheet1!$A$1:$J$1,0)))</f>
        <v>Producer</v>
      </c>
      <c r="H200" s="20" t="str">
        <f>IF(ISBLANK($E200),"",INDEX(Sheet1!$A:$J,MATCH(Index_Match!$E200,Sheet1!$A:$A,0),MATCH(Index_Match!H$1,Sheet1!$A$1:$J$1,0)))</f>
        <v>Single</v>
      </c>
      <c r="I200" s="23">
        <f>IF(ISBLANK($E200),"",INDEX(Sheet1!$A:$J,MATCH(Index_Match!$E200,Sheet1!$A:$A,0),MATCH(Index_Match!I$1,Sheet1!$A$1:$J$1,0)))</f>
        <v>3</v>
      </c>
      <c r="J200" s="20" t="str">
        <f>IF(ISBLANK($E200),"",INDEX(Sheet1!$A:$J,MATCH(Index_Match!$E200,Sheet1!$A:$A,0),MATCH(Index_Match!J$1,Sheet1!$A$1:$J$1,0)))</f>
        <v>Adelaide Farrell</v>
      </c>
      <c r="K200" s="23">
        <f>IF(ISBLANK($E200),"",INDEX(Sheet1!$A:$J,MATCH(Index_Match!$E200,Sheet1!$A:$A,0),MATCH(Index_Match!K$1,Sheet1!$A$1:$J$1,0)))</f>
        <v>3</v>
      </c>
      <c r="L200" s="20" t="str">
        <f>IF(ISBLANK($E200),"",INDEX(Sheet1!$A:$J,MATCH(Index_Match!$E200,Sheet1!$A:$A,0),MATCH(Index_Match!L$1,Sheet1!$A$1:$J$1,0)))</f>
        <v>Farrell</v>
      </c>
      <c r="M200" s="20" t="str">
        <f>IF(ISBLANK($E200),"",INDEX(Sheet1!$A:$J,MATCH(Index_Match!$E200,Sheet1!$A:$A,0),MATCH(Index_Match!M$1,Sheet1!$A$1:$J$1,0)))</f>
        <v>Middle Age</v>
      </c>
    </row>
    <row r="201" spans="2:13" x14ac:dyDescent="0.25">
      <c r="B201" s="20"/>
      <c r="C201" s="20"/>
      <c r="D201" s="20"/>
      <c r="E201" s="20" t="str">
        <v>Arianna</v>
      </c>
      <c r="F201" s="20" t="str">
        <f>IF(ISBLANK($E201),"",INDEX(Sheet1!$A:$J,MATCH(Index_Match!$E201,Sheet1!$A:$A,0),MATCH(Index_Match!F$1,Sheet1!$A$1:$J$1,0)))</f>
        <v>Female</v>
      </c>
      <c r="G201" s="20" t="str">
        <f>IF(ISBLANK($E201),"",INDEX(Sheet1!$A:$J,MATCH(Index_Match!$E201,Sheet1!$A:$A,0),MATCH(Index_Match!G$1,Sheet1!$A$1:$J$1,0)))</f>
        <v>Biochemist</v>
      </c>
      <c r="H201" s="20" t="str">
        <f>IF(ISBLANK($E201),"",INDEX(Sheet1!$A:$J,MATCH(Index_Match!$E201,Sheet1!$A:$A,0),MATCH(Index_Match!H$1,Sheet1!$A$1:$J$1,0)))</f>
        <v>Married</v>
      </c>
      <c r="I201" s="23">
        <f>IF(ISBLANK($E201),"",INDEX(Sheet1!$A:$J,MATCH(Index_Match!$E201,Sheet1!$A:$A,0),MATCH(Index_Match!I$1,Sheet1!$A$1:$J$1,0)))</f>
        <v>0</v>
      </c>
      <c r="J201" s="20" t="str">
        <f>IF(ISBLANK($E201),"",INDEX(Sheet1!$A:$J,MATCH(Index_Match!$E201,Sheet1!$A:$A,0),MATCH(Index_Match!J$1,Sheet1!$A$1:$J$1,0)))</f>
        <v>Arianna Hall</v>
      </c>
      <c r="K201" s="23">
        <f>IF(ISBLANK($E201),"",INDEX(Sheet1!$A:$J,MATCH(Index_Match!$E201,Sheet1!$A:$A,0),MATCH(Index_Match!K$1,Sheet1!$A$1:$J$1,0)))</f>
        <v>0</v>
      </c>
      <c r="L201" s="20" t="str">
        <f>IF(ISBLANK($E201),"",INDEX(Sheet1!$A:$J,MATCH(Index_Match!$E201,Sheet1!$A:$A,0),MATCH(Index_Match!L$1,Sheet1!$A$1:$J$1,0)))</f>
        <v>Hall</v>
      </c>
      <c r="M201" s="20" t="str">
        <f>IF(ISBLANK($E201),"",INDEX(Sheet1!$A:$J,MATCH(Index_Match!$E201,Sheet1!$A:$A,0),MATCH(Index_Match!M$1,Sheet1!$A$1:$J$1,0)))</f>
        <v>Old</v>
      </c>
    </row>
    <row r="202" spans="2:13" x14ac:dyDescent="0.25">
      <c r="B202" s="20"/>
      <c r="C202" s="20"/>
      <c r="D202" s="20"/>
      <c r="E202" s="20" t="str">
        <v>Jessica</v>
      </c>
      <c r="F202" s="20" t="str">
        <f>IF(ISBLANK($E202),"",INDEX(Sheet1!$A:$J,MATCH(Index_Match!$E202,Sheet1!$A:$A,0),MATCH(Index_Match!F$1,Sheet1!$A$1:$J$1,0)))</f>
        <v>Female</v>
      </c>
      <c r="G202" s="20" t="str">
        <f>IF(ISBLANK($E202),"",INDEX(Sheet1!$A:$J,MATCH(Index_Match!$E202,Sheet1!$A:$A,0),MATCH(Index_Match!G$1,Sheet1!$A$1:$J$1,0)))</f>
        <v>Social Worker</v>
      </c>
      <c r="H202" s="20" t="str">
        <f>IF(ISBLANK($E202),"",INDEX(Sheet1!$A:$J,MATCH(Index_Match!$E202,Sheet1!$A:$A,0),MATCH(Index_Match!H$1,Sheet1!$A$1:$J$1,0)))</f>
        <v>Married</v>
      </c>
      <c r="I202" s="23">
        <f>IF(ISBLANK($E202),"",INDEX(Sheet1!$A:$J,MATCH(Index_Match!$E202,Sheet1!$A:$A,0),MATCH(Index_Match!I$1,Sheet1!$A$1:$J$1,0)))</f>
        <v>1</v>
      </c>
      <c r="J202" s="20" t="str">
        <f>IF(ISBLANK($E202),"",INDEX(Sheet1!$A:$J,MATCH(Index_Match!$E202,Sheet1!$A:$A,0),MATCH(Index_Match!J$1,Sheet1!$A$1:$J$1,0)))</f>
        <v>Jessica Cameron</v>
      </c>
      <c r="K202" s="23">
        <f>IF(ISBLANK($E202),"",INDEX(Sheet1!$A:$J,MATCH(Index_Match!$E202,Sheet1!$A:$A,0),MATCH(Index_Match!K$1,Sheet1!$A$1:$J$1,0)))</f>
        <v>1</v>
      </c>
      <c r="L202" s="20" t="str">
        <f>IF(ISBLANK($E202),"",INDEX(Sheet1!$A:$J,MATCH(Index_Match!$E202,Sheet1!$A:$A,0),MATCH(Index_Match!L$1,Sheet1!$A$1:$J$1,0)))</f>
        <v>Cameron</v>
      </c>
      <c r="M202" s="20" t="str">
        <f>IF(ISBLANK($E202),"",INDEX(Sheet1!$A:$J,MATCH(Index_Match!$E202,Sheet1!$A:$A,0),MATCH(Index_Match!M$1,Sheet1!$A$1:$J$1,0)))</f>
        <v>Young</v>
      </c>
    </row>
    <row r="203" spans="2:13" x14ac:dyDescent="0.25">
      <c r="B203" s="20"/>
      <c r="C203" s="20"/>
      <c r="D203" s="20"/>
      <c r="E203" s="20" t="str">
        <v>Maya</v>
      </c>
      <c r="F203" s="20" t="str">
        <f>IF(ISBLANK($E203),"",INDEX(Sheet1!$A:$J,MATCH(Index_Match!$E203,Sheet1!$A:$A,0),MATCH(Index_Match!F$1,Sheet1!$A$1:$J$1,0)))</f>
        <v>Female</v>
      </c>
      <c r="G203" s="20" t="str">
        <f>IF(ISBLANK($E203),"",INDEX(Sheet1!$A:$J,MATCH(Index_Match!$E203,Sheet1!$A:$A,0),MATCH(Index_Match!G$1,Sheet1!$A$1:$J$1,0)))</f>
        <v>Architect</v>
      </c>
      <c r="H203" s="20" t="str">
        <f>IF(ISBLANK($E203),"",INDEX(Sheet1!$A:$J,MATCH(Index_Match!$E203,Sheet1!$A:$A,0),MATCH(Index_Match!H$1,Sheet1!$A$1:$J$1,0)))</f>
        <v>Married</v>
      </c>
      <c r="I203" s="23">
        <f>IF(ISBLANK($E203),"",INDEX(Sheet1!$A:$J,MATCH(Index_Match!$E203,Sheet1!$A:$A,0),MATCH(Index_Match!I$1,Sheet1!$A$1:$J$1,0)))</f>
        <v>3</v>
      </c>
      <c r="J203" s="20" t="str">
        <f>IF(ISBLANK($E203),"",INDEX(Sheet1!$A:$J,MATCH(Index_Match!$E203,Sheet1!$A:$A,0),MATCH(Index_Match!J$1,Sheet1!$A$1:$J$1,0)))</f>
        <v>Maya Mitchell</v>
      </c>
      <c r="K203" s="23">
        <f>IF(ISBLANK($E203),"",INDEX(Sheet1!$A:$J,MATCH(Index_Match!$E203,Sheet1!$A:$A,0),MATCH(Index_Match!K$1,Sheet1!$A$1:$J$1,0)))</f>
        <v>3</v>
      </c>
      <c r="L203" s="20" t="str">
        <f>IF(ISBLANK($E203),"",INDEX(Sheet1!$A:$J,MATCH(Index_Match!$E203,Sheet1!$A:$A,0),MATCH(Index_Match!L$1,Sheet1!$A$1:$J$1,0)))</f>
        <v>Mitchell</v>
      </c>
      <c r="M203" s="20" t="str">
        <f>IF(ISBLANK($E203),"",INDEX(Sheet1!$A:$J,MATCH(Index_Match!$E203,Sheet1!$A:$A,0),MATCH(Index_Match!M$1,Sheet1!$A$1:$J$1,0)))</f>
        <v>Middle Age</v>
      </c>
    </row>
    <row r="204" spans="2:13" x14ac:dyDescent="0.25">
      <c r="B204" s="20"/>
      <c r="C204" s="20"/>
      <c r="D204" s="20"/>
      <c r="E204" s="20" t="str">
        <v>Tiana</v>
      </c>
      <c r="F204" s="20" t="str">
        <f>IF(ISBLANK($E204),"",INDEX(Sheet1!$A:$J,MATCH(Index_Match!$E204,Sheet1!$A:$A,0),MATCH(Index_Match!F$1,Sheet1!$A$1:$J$1,0)))</f>
        <v>Female</v>
      </c>
      <c r="G204" s="20" t="str">
        <f>IF(ISBLANK($E204),"",INDEX(Sheet1!$A:$J,MATCH(Index_Match!$E204,Sheet1!$A:$A,0),MATCH(Index_Match!G$1,Sheet1!$A$1:$J$1,0)))</f>
        <v>Composer</v>
      </c>
      <c r="H204" s="20" t="str">
        <f>IF(ISBLANK($E204),"",INDEX(Sheet1!$A:$J,MATCH(Index_Match!$E204,Sheet1!$A:$A,0),MATCH(Index_Match!H$1,Sheet1!$A$1:$J$1,0)))</f>
        <v>Single</v>
      </c>
      <c r="I204" s="23">
        <f>IF(ISBLANK($E204),"",INDEX(Sheet1!$A:$J,MATCH(Index_Match!$E204,Sheet1!$A:$A,0),MATCH(Index_Match!I$1,Sheet1!$A$1:$J$1,0)))</f>
        <v>4</v>
      </c>
      <c r="J204" s="20" t="str">
        <f>IF(ISBLANK($E204),"",INDEX(Sheet1!$A:$J,MATCH(Index_Match!$E204,Sheet1!$A:$A,0),MATCH(Index_Match!J$1,Sheet1!$A$1:$J$1,0)))</f>
        <v>Tiana Wright</v>
      </c>
      <c r="K204" s="23">
        <f>IF(ISBLANK($E204),"",INDEX(Sheet1!$A:$J,MATCH(Index_Match!$E204,Sheet1!$A:$A,0),MATCH(Index_Match!K$1,Sheet1!$A$1:$J$1,0)))</f>
        <v>4</v>
      </c>
      <c r="L204" s="20" t="str">
        <f>IF(ISBLANK($E204),"",INDEX(Sheet1!$A:$J,MATCH(Index_Match!$E204,Sheet1!$A:$A,0),MATCH(Index_Match!L$1,Sheet1!$A$1:$J$1,0)))</f>
        <v>Wright</v>
      </c>
      <c r="M204" s="20" t="str">
        <f>IF(ISBLANK($E204),"",INDEX(Sheet1!$A:$J,MATCH(Index_Match!$E204,Sheet1!$A:$A,0),MATCH(Index_Match!M$1,Sheet1!$A$1:$J$1,0)))</f>
        <v>Old</v>
      </c>
    </row>
    <row r="205" spans="2:13" x14ac:dyDescent="0.25">
      <c r="B205" s="20"/>
      <c r="C205" s="20"/>
      <c r="D205" s="20"/>
      <c r="E205" s="20" t="str">
        <v>Cherry</v>
      </c>
      <c r="F205" s="20" t="str">
        <f>IF(ISBLANK($E205),"",INDEX(Sheet1!$A:$J,MATCH(Index_Match!$E205,Sheet1!$A:$A,0),MATCH(Index_Match!F$1,Sheet1!$A$1:$J$1,0)))</f>
        <v>Female</v>
      </c>
      <c r="G205" s="20" t="str">
        <f>IF(ISBLANK($E205),"",INDEX(Sheet1!$A:$J,MATCH(Index_Match!$E205,Sheet1!$A:$A,0),MATCH(Index_Match!G$1,Sheet1!$A$1:$J$1,0)))</f>
        <v>Singer</v>
      </c>
      <c r="H205" s="20" t="str">
        <f>IF(ISBLANK($E205),"",INDEX(Sheet1!$A:$J,MATCH(Index_Match!$E205,Sheet1!$A:$A,0),MATCH(Index_Match!H$1,Sheet1!$A$1:$J$1,0)))</f>
        <v>Married</v>
      </c>
      <c r="I205" s="23">
        <f>IF(ISBLANK($E205),"",INDEX(Sheet1!$A:$J,MATCH(Index_Match!$E205,Sheet1!$A:$A,0),MATCH(Index_Match!I$1,Sheet1!$A$1:$J$1,0)))</f>
        <v>5</v>
      </c>
      <c r="J205" s="20" t="str">
        <f>IF(ISBLANK($E205),"",INDEX(Sheet1!$A:$J,MATCH(Index_Match!$E205,Sheet1!$A:$A,0),MATCH(Index_Match!J$1,Sheet1!$A$1:$J$1,0)))</f>
        <v>Cherry Anderson</v>
      </c>
      <c r="K205" s="23">
        <f>IF(ISBLANK($E205),"",INDEX(Sheet1!$A:$J,MATCH(Index_Match!$E205,Sheet1!$A:$A,0),MATCH(Index_Match!K$1,Sheet1!$A$1:$J$1,0)))</f>
        <v>5</v>
      </c>
      <c r="L205" s="20" t="str">
        <f>IF(ISBLANK($E205),"",INDEX(Sheet1!$A:$J,MATCH(Index_Match!$E205,Sheet1!$A:$A,0),MATCH(Index_Match!L$1,Sheet1!$A$1:$J$1,0)))</f>
        <v>Anderson</v>
      </c>
      <c r="M205" s="20" t="str">
        <f>IF(ISBLANK($E205),"",INDEX(Sheet1!$A:$J,MATCH(Index_Match!$E205,Sheet1!$A:$A,0),MATCH(Index_Match!M$1,Sheet1!$A$1:$J$1,0)))</f>
        <v>Middle Age</v>
      </c>
    </row>
    <row r="206" spans="2:13" x14ac:dyDescent="0.25">
      <c r="B206" s="20"/>
      <c r="C206" s="20"/>
      <c r="D206" s="20"/>
      <c r="E206" s="20" t="str">
        <v>Lucy</v>
      </c>
      <c r="F206" s="20" t="str">
        <f>IF(ISBLANK($E206),"",INDEX(Sheet1!$A:$J,MATCH(Index_Match!$E206,Sheet1!$A:$A,0),MATCH(Index_Match!F$1,Sheet1!$A$1:$J$1,0)))</f>
        <v>Female</v>
      </c>
      <c r="G206" s="20" t="str">
        <f>IF(ISBLANK($E206),"",INDEX(Sheet1!$A:$J,MATCH(Index_Match!$E206,Sheet1!$A:$A,0),MATCH(Index_Match!G$1,Sheet1!$A$1:$J$1,0)))</f>
        <v>Manager</v>
      </c>
      <c r="H206" s="20" t="str">
        <f>IF(ISBLANK($E206),"",INDEX(Sheet1!$A:$J,MATCH(Index_Match!$E206,Sheet1!$A:$A,0),MATCH(Index_Match!H$1,Sheet1!$A$1:$J$1,0)))</f>
        <v>Single</v>
      </c>
      <c r="I206" s="23">
        <f>IF(ISBLANK($E206),"",INDEX(Sheet1!$A:$J,MATCH(Index_Match!$E206,Sheet1!$A:$A,0),MATCH(Index_Match!I$1,Sheet1!$A$1:$J$1,0)))</f>
        <v>0</v>
      </c>
      <c r="J206" s="20" t="str">
        <f>IF(ISBLANK($E206),"",INDEX(Sheet1!$A:$J,MATCH(Index_Match!$E206,Sheet1!$A:$A,0),MATCH(Index_Match!J$1,Sheet1!$A$1:$J$1,0)))</f>
        <v>Lucy Anderson</v>
      </c>
      <c r="K206" s="23">
        <f>IF(ISBLANK($E206),"",INDEX(Sheet1!$A:$J,MATCH(Index_Match!$E206,Sheet1!$A:$A,0),MATCH(Index_Match!K$1,Sheet1!$A$1:$J$1,0)))</f>
        <v>0</v>
      </c>
      <c r="L206" s="20" t="str">
        <f>IF(ISBLANK($E206),"",INDEX(Sheet1!$A:$J,MATCH(Index_Match!$E206,Sheet1!$A:$A,0),MATCH(Index_Match!L$1,Sheet1!$A$1:$J$1,0)))</f>
        <v>Anderson</v>
      </c>
      <c r="M206" s="20" t="str">
        <f>IF(ISBLANK($E206),"",INDEX(Sheet1!$A:$J,MATCH(Index_Match!$E206,Sheet1!$A:$A,0),MATCH(Index_Match!M$1,Sheet1!$A$1:$J$1,0)))</f>
        <v>Old</v>
      </c>
    </row>
    <row r="207" spans="2:13" x14ac:dyDescent="0.25">
      <c r="B207" s="20"/>
      <c r="C207" s="20"/>
      <c r="D207" s="20"/>
      <c r="E207" s="20" t="str">
        <v>Belinda</v>
      </c>
      <c r="F207" s="20" t="str">
        <f>IF(ISBLANK($E207),"",INDEX(Sheet1!$A:$J,MATCH(Index_Match!$E207,Sheet1!$A:$A,0),MATCH(Index_Match!F$1,Sheet1!$A$1:$J$1,0)))</f>
        <v>Female</v>
      </c>
      <c r="G207" s="20" t="str">
        <f>IF(ISBLANK($E207),"",INDEX(Sheet1!$A:$J,MATCH(Index_Match!$E207,Sheet1!$A:$A,0),MATCH(Index_Match!G$1,Sheet1!$A$1:$J$1,0)))</f>
        <v>Dancer</v>
      </c>
      <c r="H207" s="20" t="str">
        <f>IF(ISBLANK($E207),"",INDEX(Sheet1!$A:$J,MATCH(Index_Match!$E207,Sheet1!$A:$A,0),MATCH(Index_Match!H$1,Sheet1!$A$1:$J$1,0)))</f>
        <v>Married</v>
      </c>
      <c r="I207" s="23">
        <f>IF(ISBLANK($E207),"",INDEX(Sheet1!$A:$J,MATCH(Index_Match!$E207,Sheet1!$A:$A,0),MATCH(Index_Match!I$1,Sheet1!$A$1:$J$1,0)))</f>
        <v>5</v>
      </c>
      <c r="J207" s="20" t="str">
        <f>IF(ISBLANK($E207),"",INDEX(Sheet1!$A:$J,MATCH(Index_Match!$E207,Sheet1!$A:$A,0),MATCH(Index_Match!J$1,Sheet1!$A$1:$J$1,0)))</f>
        <v>Belinda Spencer</v>
      </c>
      <c r="K207" s="23">
        <f>IF(ISBLANK($E207),"",INDEX(Sheet1!$A:$J,MATCH(Index_Match!$E207,Sheet1!$A:$A,0),MATCH(Index_Match!K$1,Sheet1!$A$1:$J$1,0)))</f>
        <v>5</v>
      </c>
      <c r="L207" s="20" t="str">
        <f>IF(ISBLANK($E207),"",INDEX(Sheet1!$A:$J,MATCH(Index_Match!$E207,Sheet1!$A:$A,0),MATCH(Index_Match!L$1,Sheet1!$A$1:$J$1,0)))</f>
        <v>Spencer</v>
      </c>
      <c r="M207" s="20" t="str">
        <f>IF(ISBLANK($E207),"",INDEX(Sheet1!$A:$J,MATCH(Index_Match!$E207,Sheet1!$A:$A,0),MATCH(Index_Match!M$1,Sheet1!$A$1:$J$1,0)))</f>
        <v>Young</v>
      </c>
    </row>
    <row r="208" spans="2:13" x14ac:dyDescent="0.25">
      <c r="B208" s="20"/>
      <c r="C208" s="20"/>
      <c r="D208" s="20"/>
      <c r="E208" s="20" t="str">
        <v>Natalie</v>
      </c>
      <c r="F208" s="20" t="str">
        <f>IF(ISBLANK($E208),"",INDEX(Sheet1!$A:$J,MATCH(Index_Match!$E208,Sheet1!$A:$A,0),MATCH(Index_Match!F$1,Sheet1!$A$1:$J$1,0)))</f>
        <v>Female</v>
      </c>
      <c r="G208" s="20" t="str">
        <f>IF(ISBLANK($E208),"",INDEX(Sheet1!$A:$J,MATCH(Index_Match!$E208,Sheet1!$A:$A,0),MATCH(Index_Match!G$1,Sheet1!$A$1:$J$1,0)))</f>
        <v>Auditor</v>
      </c>
      <c r="H208" s="20" t="str">
        <f>IF(ISBLANK($E208),"",INDEX(Sheet1!$A:$J,MATCH(Index_Match!$E208,Sheet1!$A:$A,0),MATCH(Index_Match!H$1,Sheet1!$A$1:$J$1,0)))</f>
        <v>Married</v>
      </c>
      <c r="I208" s="23">
        <f>IF(ISBLANK($E208),"",INDEX(Sheet1!$A:$J,MATCH(Index_Match!$E208,Sheet1!$A:$A,0),MATCH(Index_Match!I$1,Sheet1!$A$1:$J$1,0)))</f>
        <v>4</v>
      </c>
      <c r="J208" s="20" t="str">
        <f>IF(ISBLANK($E208),"",INDEX(Sheet1!$A:$J,MATCH(Index_Match!$E208,Sheet1!$A:$A,0),MATCH(Index_Match!J$1,Sheet1!$A$1:$J$1,0)))</f>
        <v>Natalie Myers</v>
      </c>
      <c r="K208" s="23">
        <f>IF(ISBLANK($E208),"",INDEX(Sheet1!$A:$J,MATCH(Index_Match!$E208,Sheet1!$A:$A,0),MATCH(Index_Match!K$1,Sheet1!$A$1:$J$1,0)))</f>
        <v>4</v>
      </c>
      <c r="L208" s="20" t="str">
        <f>IF(ISBLANK($E208),"",INDEX(Sheet1!$A:$J,MATCH(Index_Match!$E208,Sheet1!$A:$A,0),MATCH(Index_Match!L$1,Sheet1!$A$1:$J$1,0)))</f>
        <v>Myers</v>
      </c>
      <c r="M208" s="20" t="str">
        <f>IF(ISBLANK($E208),"",INDEX(Sheet1!$A:$J,MATCH(Index_Match!$E208,Sheet1!$A:$A,0),MATCH(Index_Match!M$1,Sheet1!$A$1:$J$1,0)))</f>
        <v>Middle Age</v>
      </c>
    </row>
    <row r="209" spans="2:13" x14ac:dyDescent="0.25">
      <c r="B209" s="20"/>
      <c r="C209" s="20"/>
      <c r="D209" s="20"/>
      <c r="E209" s="20" t="str">
        <v>Honey</v>
      </c>
      <c r="F209" s="20" t="str">
        <f>IF(ISBLANK($E209),"",INDEX(Sheet1!$A:$J,MATCH(Index_Match!$E209,Sheet1!$A:$A,0),MATCH(Index_Match!F$1,Sheet1!$A$1:$J$1,0)))</f>
        <v>Female</v>
      </c>
      <c r="G209" s="20" t="str">
        <f>IF(ISBLANK($E209),"",INDEX(Sheet1!$A:$J,MATCH(Index_Match!$E209,Sheet1!$A:$A,0),MATCH(Index_Match!G$1,Sheet1!$A$1:$J$1,0)))</f>
        <v>Photographer</v>
      </c>
      <c r="H209" s="20" t="str">
        <f>IF(ISBLANK($E209),"",INDEX(Sheet1!$A:$J,MATCH(Index_Match!$E209,Sheet1!$A:$A,0),MATCH(Index_Match!H$1,Sheet1!$A$1:$J$1,0)))</f>
        <v>Single</v>
      </c>
      <c r="I209" s="23">
        <f>IF(ISBLANK($E209),"",INDEX(Sheet1!$A:$J,MATCH(Index_Match!$E209,Sheet1!$A:$A,0),MATCH(Index_Match!I$1,Sheet1!$A$1:$J$1,0)))</f>
        <v>5</v>
      </c>
      <c r="J209" s="20" t="str">
        <f>IF(ISBLANK($E209),"",INDEX(Sheet1!$A:$J,MATCH(Index_Match!$E209,Sheet1!$A:$A,0),MATCH(Index_Match!J$1,Sheet1!$A$1:$J$1,0)))</f>
        <v>Honey Turner</v>
      </c>
      <c r="K209" s="23">
        <f>IF(ISBLANK($E209),"",INDEX(Sheet1!$A:$J,MATCH(Index_Match!$E209,Sheet1!$A:$A,0),MATCH(Index_Match!K$1,Sheet1!$A$1:$J$1,0)))</f>
        <v>5</v>
      </c>
      <c r="L209" s="20" t="str">
        <f>IF(ISBLANK($E209),"",INDEX(Sheet1!$A:$J,MATCH(Index_Match!$E209,Sheet1!$A:$A,0),MATCH(Index_Match!L$1,Sheet1!$A$1:$J$1,0)))</f>
        <v>Turner</v>
      </c>
      <c r="M209" s="20" t="str">
        <f>IF(ISBLANK($E209),"",INDEX(Sheet1!$A:$J,MATCH(Index_Match!$E209,Sheet1!$A:$A,0),MATCH(Index_Match!M$1,Sheet1!$A$1:$J$1,0)))</f>
        <v>Old</v>
      </c>
    </row>
    <row r="210" spans="2:13" x14ac:dyDescent="0.25">
      <c r="B210" s="20"/>
      <c r="C210" s="20"/>
      <c r="D210" s="20"/>
      <c r="E210" s="20" t="str">
        <v>Valeria</v>
      </c>
      <c r="F210" s="20" t="str">
        <f>IF(ISBLANK($E210),"",INDEX(Sheet1!$A:$J,MATCH(Index_Match!$E210,Sheet1!$A:$A,0),MATCH(Index_Match!F$1,Sheet1!$A$1:$J$1,0)))</f>
        <v>Female</v>
      </c>
      <c r="G210" s="20" t="str">
        <f>IF(ISBLANK($E210),"",INDEX(Sheet1!$A:$J,MATCH(Index_Match!$E210,Sheet1!$A:$A,0),MATCH(Index_Match!G$1,Sheet1!$A$1:$J$1,0)))</f>
        <v>Medic</v>
      </c>
      <c r="H210" s="20" t="str">
        <f>IF(ISBLANK($E210),"",INDEX(Sheet1!$A:$J,MATCH(Index_Match!$E210,Sheet1!$A:$A,0),MATCH(Index_Match!H$1,Sheet1!$A$1:$J$1,0)))</f>
        <v>Married</v>
      </c>
      <c r="I210" s="23">
        <f>IF(ISBLANK($E210),"",INDEX(Sheet1!$A:$J,MATCH(Index_Match!$E210,Sheet1!$A:$A,0),MATCH(Index_Match!I$1,Sheet1!$A$1:$J$1,0)))</f>
        <v>5</v>
      </c>
      <c r="J210" s="20" t="str">
        <f>IF(ISBLANK($E210),"",INDEX(Sheet1!$A:$J,MATCH(Index_Match!$E210,Sheet1!$A:$A,0),MATCH(Index_Match!J$1,Sheet1!$A$1:$J$1,0)))</f>
        <v>Valeria Perry</v>
      </c>
      <c r="K210" s="23">
        <f>IF(ISBLANK($E210),"",INDEX(Sheet1!$A:$J,MATCH(Index_Match!$E210,Sheet1!$A:$A,0),MATCH(Index_Match!K$1,Sheet1!$A$1:$J$1,0)))</f>
        <v>5</v>
      </c>
      <c r="L210" s="20" t="str">
        <f>IF(ISBLANK($E210),"",INDEX(Sheet1!$A:$J,MATCH(Index_Match!$E210,Sheet1!$A:$A,0),MATCH(Index_Match!L$1,Sheet1!$A$1:$J$1,0)))</f>
        <v>Perry</v>
      </c>
      <c r="M210" s="20" t="str">
        <f>IF(ISBLANK($E210),"",INDEX(Sheet1!$A:$J,MATCH(Index_Match!$E210,Sheet1!$A:$A,0),MATCH(Index_Match!M$1,Sheet1!$A$1:$J$1,0)))</f>
        <v>Middle Age</v>
      </c>
    </row>
    <row r="211" spans="2:13" x14ac:dyDescent="0.25">
      <c r="B211" s="20"/>
      <c r="C211" s="20"/>
      <c r="D211" s="20"/>
      <c r="E211" s="20" t="str">
        <v>Camila</v>
      </c>
      <c r="F211" s="20" t="str">
        <f>IF(ISBLANK($E211),"",INDEX(Sheet1!$A:$J,MATCH(Index_Match!$E211,Sheet1!$A:$A,0),MATCH(Index_Match!F$1,Sheet1!$A$1:$J$1,0)))</f>
        <v>Female</v>
      </c>
      <c r="G211" s="20" t="str">
        <f>IF(ISBLANK($E211),"",INDEX(Sheet1!$A:$J,MATCH(Index_Match!$E211,Sheet1!$A:$A,0),MATCH(Index_Match!G$1,Sheet1!$A$1:$J$1,0)))</f>
        <v>Veterinarian</v>
      </c>
      <c r="H211" s="20" t="str">
        <f>IF(ISBLANK($E211),"",INDEX(Sheet1!$A:$J,MATCH(Index_Match!$E211,Sheet1!$A:$A,0),MATCH(Index_Match!H$1,Sheet1!$A$1:$J$1,0)))</f>
        <v>Single</v>
      </c>
      <c r="I211" s="23">
        <f>IF(ISBLANK($E211),"",INDEX(Sheet1!$A:$J,MATCH(Index_Match!$E211,Sheet1!$A:$A,0),MATCH(Index_Match!I$1,Sheet1!$A$1:$J$1,0)))</f>
        <v>5</v>
      </c>
      <c r="J211" s="20" t="str">
        <f>IF(ISBLANK($E211),"",INDEX(Sheet1!$A:$J,MATCH(Index_Match!$E211,Sheet1!$A:$A,0),MATCH(Index_Match!J$1,Sheet1!$A$1:$J$1,0)))</f>
        <v>Camila Mitchell</v>
      </c>
      <c r="K211" s="23">
        <f>IF(ISBLANK($E211),"",INDEX(Sheet1!$A:$J,MATCH(Index_Match!$E211,Sheet1!$A:$A,0),MATCH(Index_Match!K$1,Sheet1!$A$1:$J$1,0)))</f>
        <v>5</v>
      </c>
      <c r="L211" s="20" t="str">
        <f>IF(ISBLANK($E211),"",INDEX(Sheet1!$A:$J,MATCH(Index_Match!$E211,Sheet1!$A:$A,0),MATCH(Index_Match!L$1,Sheet1!$A$1:$J$1,0)))</f>
        <v>Mitchell</v>
      </c>
      <c r="M211" s="20" t="str">
        <f>IF(ISBLANK($E211),"",INDEX(Sheet1!$A:$J,MATCH(Index_Match!$E211,Sheet1!$A:$A,0),MATCH(Index_Match!M$1,Sheet1!$A$1:$J$1,0)))</f>
        <v>Middle Age</v>
      </c>
    </row>
    <row r="212" spans="2:13" x14ac:dyDescent="0.25">
      <c r="B212" s="20"/>
      <c r="C212" s="20"/>
      <c r="D212" s="20"/>
      <c r="E212" s="20" t="str">
        <v>Kirsten</v>
      </c>
      <c r="F212" s="20" t="str">
        <f>IF(ISBLANK($E212),"",INDEX(Sheet1!$A:$J,MATCH(Index_Match!$E212,Sheet1!$A:$A,0),MATCH(Index_Match!F$1,Sheet1!$A$1:$J$1,0)))</f>
        <v>Female</v>
      </c>
      <c r="G212" s="20" t="str">
        <f>IF(ISBLANK($E212),"",INDEX(Sheet1!$A:$J,MATCH(Index_Match!$E212,Sheet1!$A:$A,0),MATCH(Index_Match!G$1,Sheet1!$A$1:$J$1,0)))</f>
        <v>Meteorologist</v>
      </c>
      <c r="H212" s="20" t="str">
        <f>IF(ISBLANK($E212),"",INDEX(Sheet1!$A:$J,MATCH(Index_Match!$E212,Sheet1!$A:$A,0),MATCH(Index_Match!H$1,Sheet1!$A$1:$J$1,0)))</f>
        <v>Single</v>
      </c>
      <c r="I212" s="23">
        <f>IF(ISBLANK($E212),"",INDEX(Sheet1!$A:$J,MATCH(Index_Match!$E212,Sheet1!$A:$A,0),MATCH(Index_Match!I$1,Sheet1!$A$1:$J$1,0)))</f>
        <v>3</v>
      </c>
      <c r="J212" s="20" t="str">
        <f>IF(ISBLANK($E212),"",INDEX(Sheet1!$A:$J,MATCH(Index_Match!$E212,Sheet1!$A:$A,0),MATCH(Index_Match!J$1,Sheet1!$A$1:$J$1,0)))</f>
        <v>Kirsten Perry</v>
      </c>
      <c r="K212" s="23">
        <f>IF(ISBLANK($E212),"",INDEX(Sheet1!$A:$J,MATCH(Index_Match!$E212,Sheet1!$A:$A,0),MATCH(Index_Match!K$1,Sheet1!$A$1:$J$1,0)))</f>
        <v>3</v>
      </c>
      <c r="L212" s="20" t="str">
        <f>IF(ISBLANK($E212),"",INDEX(Sheet1!$A:$J,MATCH(Index_Match!$E212,Sheet1!$A:$A,0),MATCH(Index_Match!L$1,Sheet1!$A$1:$J$1,0)))</f>
        <v>Perry</v>
      </c>
      <c r="M212" s="20" t="str">
        <f>IF(ISBLANK($E212),"",INDEX(Sheet1!$A:$J,MATCH(Index_Match!$E212,Sheet1!$A:$A,0),MATCH(Index_Match!M$1,Sheet1!$A$1:$J$1,0)))</f>
        <v>Young</v>
      </c>
    </row>
    <row r="213" spans="2:13" x14ac:dyDescent="0.25">
      <c r="B213" s="20"/>
      <c r="C213" s="20"/>
      <c r="D213" s="20"/>
      <c r="E213" s="20" t="str">
        <v>Carina</v>
      </c>
      <c r="F213" s="20" t="str">
        <f>IF(ISBLANK($E213),"",INDEX(Sheet1!$A:$J,MATCH(Index_Match!$E213,Sheet1!$A:$A,0),MATCH(Index_Match!F$1,Sheet1!$A$1:$J$1,0)))</f>
        <v>Female</v>
      </c>
      <c r="G213" s="20" t="str">
        <f>IF(ISBLANK($E213),"",INDEX(Sheet1!$A:$J,MATCH(Index_Match!$E213,Sheet1!$A:$A,0),MATCH(Index_Match!G$1,Sheet1!$A$1:$J$1,0)))</f>
        <v>Aeroplane Pilot</v>
      </c>
      <c r="H213" s="20" t="str">
        <f>IF(ISBLANK($E213),"",INDEX(Sheet1!$A:$J,MATCH(Index_Match!$E213,Sheet1!$A:$A,0),MATCH(Index_Match!H$1,Sheet1!$A$1:$J$1,0)))</f>
        <v>Married</v>
      </c>
      <c r="I213" s="23">
        <f>IF(ISBLANK($E213),"",INDEX(Sheet1!$A:$J,MATCH(Index_Match!$E213,Sheet1!$A:$A,0),MATCH(Index_Match!I$1,Sheet1!$A$1:$J$1,0)))</f>
        <v>4</v>
      </c>
      <c r="J213" s="20" t="str">
        <f>IF(ISBLANK($E213),"",INDEX(Sheet1!$A:$J,MATCH(Index_Match!$E213,Sheet1!$A:$A,0),MATCH(Index_Match!J$1,Sheet1!$A$1:$J$1,0)))</f>
        <v>Carina Williams</v>
      </c>
      <c r="K213" s="23">
        <f>IF(ISBLANK($E213),"",INDEX(Sheet1!$A:$J,MATCH(Index_Match!$E213,Sheet1!$A:$A,0),MATCH(Index_Match!K$1,Sheet1!$A$1:$J$1,0)))</f>
        <v>4</v>
      </c>
      <c r="L213" s="20" t="str">
        <f>IF(ISBLANK($E213),"",INDEX(Sheet1!$A:$J,MATCH(Index_Match!$E213,Sheet1!$A:$A,0),MATCH(Index_Match!L$1,Sheet1!$A$1:$J$1,0)))</f>
        <v>Williams</v>
      </c>
      <c r="M213" s="20" t="str">
        <f>IF(ISBLANK($E213),"",INDEX(Sheet1!$A:$J,MATCH(Index_Match!$E213,Sheet1!$A:$A,0),MATCH(Index_Match!M$1,Sheet1!$A$1:$J$1,0)))</f>
        <v>Young</v>
      </c>
    </row>
    <row r="214" spans="2:13" x14ac:dyDescent="0.25">
      <c r="B214" s="20"/>
      <c r="C214" s="20"/>
      <c r="D214" s="20"/>
      <c r="E214" s="20" t="str">
        <v>Melanie</v>
      </c>
      <c r="F214" s="20" t="str">
        <f>IF(ISBLANK($E214),"",INDEX(Sheet1!$A:$J,MATCH(Index_Match!$E214,Sheet1!$A:$A,0),MATCH(Index_Match!F$1,Sheet1!$A$1:$J$1,0)))</f>
        <v>Female</v>
      </c>
      <c r="G214" s="20" t="str">
        <f>IF(ISBLANK($E214),"",INDEX(Sheet1!$A:$J,MATCH(Index_Match!$E214,Sheet1!$A:$A,0),MATCH(Index_Match!G$1,Sheet1!$A$1:$J$1,0)))</f>
        <v>Florist</v>
      </c>
      <c r="H214" s="20" t="str">
        <f>IF(ISBLANK($E214),"",INDEX(Sheet1!$A:$J,MATCH(Index_Match!$E214,Sheet1!$A:$A,0),MATCH(Index_Match!H$1,Sheet1!$A$1:$J$1,0)))</f>
        <v>Single</v>
      </c>
      <c r="I214" s="23">
        <f>IF(ISBLANK($E214),"",INDEX(Sheet1!$A:$J,MATCH(Index_Match!$E214,Sheet1!$A:$A,0),MATCH(Index_Match!I$1,Sheet1!$A$1:$J$1,0)))</f>
        <v>1</v>
      </c>
      <c r="J214" s="20" t="str">
        <f>IF(ISBLANK($E214),"",INDEX(Sheet1!$A:$J,MATCH(Index_Match!$E214,Sheet1!$A:$A,0),MATCH(Index_Match!J$1,Sheet1!$A$1:$J$1,0)))</f>
        <v>Melanie Craig</v>
      </c>
      <c r="K214" s="23">
        <f>IF(ISBLANK($E214),"",INDEX(Sheet1!$A:$J,MATCH(Index_Match!$E214,Sheet1!$A:$A,0),MATCH(Index_Match!K$1,Sheet1!$A$1:$J$1,0)))</f>
        <v>1</v>
      </c>
      <c r="L214" s="20" t="str">
        <f>IF(ISBLANK($E214),"",INDEX(Sheet1!$A:$J,MATCH(Index_Match!$E214,Sheet1!$A:$A,0),MATCH(Index_Match!L$1,Sheet1!$A$1:$J$1,0)))</f>
        <v>Craig</v>
      </c>
      <c r="M214" s="20" t="str">
        <f>IF(ISBLANK($E214),"",INDEX(Sheet1!$A:$J,MATCH(Index_Match!$E214,Sheet1!$A:$A,0),MATCH(Index_Match!M$1,Sheet1!$A$1:$J$1,0)))</f>
        <v>Young</v>
      </c>
    </row>
    <row r="215" spans="2:13" x14ac:dyDescent="0.25">
      <c r="B215" s="20"/>
      <c r="C215" s="20"/>
      <c r="D215" s="20"/>
      <c r="E215" s="20" t="str">
        <v>Connie</v>
      </c>
      <c r="F215" s="20" t="str">
        <f>IF(ISBLANK($E215),"",INDEX(Sheet1!$A:$J,MATCH(Index_Match!$E215,Sheet1!$A:$A,0),MATCH(Index_Match!F$1,Sheet1!$A$1:$J$1,0)))</f>
        <v>Female</v>
      </c>
      <c r="G215" s="20" t="str">
        <f>IF(ISBLANK($E215),"",INDEX(Sheet1!$A:$J,MATCH(Index_Match!$E215,Sheet1!$A:$A,0),MATCH(Index_Match!G$1,Sheet1!$A$1:$J$1,0)))</f>
        <v>Economist</v>
      </c>
      <c r="H215" s="20" t="str">
        <f>IF(ISBLANK($E215),"",INDEX(Sheet1!$A:$J,MATCH(Index_Match!$E215,Sheet1!$A:$A,0),MATCH(Index_Match!H$1,Sheet1!$A$1:$J$1,0)))</f>
        <v>Single</v>
      </c>
      <c r="I215" s="23">
        <f>IF(ISBLANK($E215),"",INDEX(Sheet1!$A:$J,MATCH(Index_Match!$E215,Sheet1!$A:$A,0),MATCH(Index_Match!I$1,Sheet1!$A$1:$J$1,0)))</f>
        <v>1</v>
      </c>
      <c r="J215" s="20" t="str">
        <f>IF(ISBLANK($E215),"",INDEX(Sheet1!$A:$J,MATCH(Index_Match!$E215,Sheet1!$A:$A,0),MATCH(Index_Match!J$1,Sheet1!$A$1:$J$1,0)))</f>
        <v>Connie Martin</v>
      </c>
      <c r="K215" s="23">
        <f>IF(ISBLANK($E215),"",INDEX(Sheet1!$A:$J,MATCH(Index_Match!$E215,Sheet1!$A:$A,0),MATCH(Index_Match!K$1,Sheet1!$A$1:$J$1,0)))</f>
        <v>1</v>
      </c>
      <c r="L215" s="20" t="str">
        <f>IF(ISBLANK($E215),"",INDEX(Sheet1!$A:$J,MATCH(Index_Match!$E215,Sheet1!$A:$A,0),MATCH(Index_Match!L$1,Sheet1!$A$1:$J$1,0)))</f>
        <v>Martin</v>
      </c>
      <c r="M215" s="20" t="str">
        <f>IF(ISBLANK($E215),"",INDEX(Sheet1!$A:$J,MATCH(Index_Match!$E215,Sheet1!$A:$A,0),MATCH(Index_Match!M$1,Sheet1!$A$1:$J$1,0)))</f>
        <v>Old</v>
      </c>
    </row>
    <row r="216" spans="2:13" x14ac:dyDescent="0.25">
      <c r="B216" s="20"/>
      <c r="C216" s="20"/>
      <c r="D216" s="20"/>
      <c r="E216" s="20" t="str">
        <v>Kelsey</v>
      </c>
      <c r="F216" s="20" t="str">
        <f>IF(ISBLANK($E216),"",INDEX(Sheet1!$A:$J,MATCH(Index_Match!$E216,Sheet1!$A:$A,0),MATCH(Index_Match!F$1,Sheet1!$A$1:$J$1,0)))</f>
        <v>Female</v>
      </c>
      <c r="G216" s="20" t="str">
        <f>IF(ISBLANK($E216),"",INDEX(Sheet1!$A:$J,MATCH(Index_Match!$E216,Sheet1!$A:$A,0),MATCH(Index_Match!G$1,Sheet1!$A$1:$J$1,0)))</f>
        <v>Physicist</v>
      </c>
      <c r="H216" s="20" t="str">
        <f>IF(ISBLANK($E216),"",INDEX(Sheet1!$A:$J,MATCH(Index_Match!$E216,Sheet1!$A:$A,0),MATCH(Index_Match!H$1,Sheet1!$A$1:$J$1,0)))</f>
        <v>Married</v>
      </c>
      <c r="I216" s="23">
        <f>IF(ISBLANK($E216),"",INDEX(Sheet1!$A:$J,MATCH(Index_Match!$E216,Sheet1!$A:$A,0),MATCH(Index_Match!I$1,Sheet1!$A$1:$J$1,0)))</f>
        <v>1</v>
      </c>
      <c r="J216" s="20" t="str">
        <f>IF(ISBLANK($E216),"",INDEX(Sheet1!$A:$J,MATCH(Index_Match!$E216,Sheet1!$A:$A,0),MATCH(Index_Match!J$1,Sheet1!$A$1:$J$1,0)))</f>
        <v>Kelsey Warren</v>
      </c>
      <c r="K216" s="23">
        <f>IF(ISBLANK($E216),"",INDEX(Sheet1!$A:$J,MATCH(Index_Match!$E216,Sheet1!$A:$A,0),MATCH(Index_Match!K$1,Sheet1!$A$1:$J$1,0)))</f>
        <v>1</v>
      </c>
      <c r="L216" s="20" t="str">
        <f>IF(ISBLANK($E216),"",INDEX(Sheet1!$A:$J,MATCH(Index_Match!$E216,Sheet1!$A:$A,0),MATCH(Index_Match!L$1,Sheet1!$A$1:$J$1,0)))</f>
        <v>Warren</v>
      </c>
      <c r="M216" s="20" t="str">
        <f>IF(ISBLANK($E216),"",INDEX(Sheet1!$A:$J,MATCH(Index_Match!$E216,Sheet1!$A:$A,0),MATCH(Index_Match!M$1,Sheet1!$A$1:$J$1,0)))</f>
        <v>Young</v>
      </c>
    </row>
    <row r="217" spans="2:13" x14ac:dyDescent="0.25">
      <c r="B217" s="20"/>
      <c r="C217" s="20"/>
      <c r="D217" s="20"/>
      <c r="E217" s="20" t="str">
        <v>Alina</v>
      </c>
      <c r="F217" s="20" t="str">
        <f>IF(ISBLANK($E217),"",INDEX(Sheet1!$A:$J,MATCH(Index_Match!$E217,Sheet1!$A:$A,0),MATCH(Index_Match!F$1,Sheet1!$A$1:$J$1,0)))</f>
        <v>Female</v>
      </c>
      <c r="G217" s="20" t="str">
        <f>IF(ISBLANK($E217),"",INDEX(Sheet1!$A:$J,MATCH(Index_Match!$E217,Sheet1!$A:$A,0),MATCH(Index_Match!G$1,Sheet1!$A$1:$J$1,0)))</f>
        <v>Engineer</v>
      </c>
      <c r="H217" s="20" t="str">
        <f>IF(ISBLANK($E217),"",INDEX(Sheet1!$A:$J,MATCH(Index_Match!$E217,Sheet1!$A:$A,0),MATCH(Index_Match!H$1,Sheet1!$A$1:$J$1,0)))</f>
        <v>Single</v>
      </c>
      <c r="I217" s="23">
        <f>IF(ISBLANK($E217),"",INDEX(Sheet1!$A:$J,MATCH(Index_Match!$E217,Sheet1!$A:$A,0),MATCH(Index_Match!I$1,Sheet1!$A$1:$J$1,0)))</f>
        <v>0</v>
      </c>
      <c r="J217" s="20" t="str">
        <f>IF(ISBLANK($E217),"",INDEX(Sheet1!$A:$J,MATCH(Index_Match!$E217,Sheet1!$A:$A,0),MATCH(Index_Match!J$1,Sheet1!$A$1:$J$1,0)))</f>
        <v>Alina Russell</v>
      </c>
      <c r="K217" s="23">
        <f>IF(ISBLANK($E217),"",INDEX(Sheet1!$A:$J,MATCH(Index_Match!$E217,Sheet1!$A:$A,0),MATCH(Index_Match!K$1,Sheet1!$A$1:$J$1,0)))</f>
        <v>0</v>
      </c>
      <c r="L217" s="20" t="str">
        <f>IF(ISBLANK($E217),"",INDEX(Sheet1!$A:$J,MATCH(Index_Match!$E217,Sheet1!$A:$A,0),MATCH(Index_Match!L$1,Sheet1!$A$1:$J$1,0)))</f>
        <v>Russell</v>
      </c>
      <c r="M217" s="20" t="str">
        <f>IF(ISBLANK($E217),"",INDEX(Sheet1!$A:$J,MATCH(Index_Match!$E217,Sheet1!$A:$A,0),MATCH(Index_Match!M$1,Sheet1!$A$1:$J$1,0)))</f>
        <v>Old</v>
      </c>
    </row>
    <row r="218" spans="2:13" x14ac:dyDescent="0.25">
      <c r="B218" s="20"/>
      <c r="C218" s="20"/>
      <c r="D218" s="20"/>
      <c r="E218" s="20" t="str">
        <v>Carina</v>
      </c>
      <c r="F218" s="20" t="str">
        <f>IF(ISBLANK($E218),"",INDEX(Sheet1!$A:$J,MATCH(Index_Match!$E218,Sheet1!$A:$A,0),MATCH(Index_Match!F$1,Sheet1!$A$1:$J$1,0)))</f>
        <v>Female</v>
      </c>
      <c r="G218" s="20" t="str">
        <f>IF(ISBLANK($E218),"",INDEX(Sheet1!$A:$J,MATCH(Index_Match!$E218,Sheet1!$A:$A,0),MATCH(Index_Match!G$1,Sheet1!$A$1:$J$1,0)))</f>
        <v>Aeroplane Pilot</v>
      </c>
      <c r="H218" s="20" t="str">
        <f>IF(ISBLANK($E218),"",INDEX(Sheet1!$A:$J,MATCH(Index_Match!$E218,Sheet1!$A:$A,0),MATCH(Index_Match!H$1,Sheet1!$A$1:$J$1,0)))</f>
        <v>Married</v>
      </c>
      <c r="I218" s="23">
        <f>IF(ISBLANK($E218),"",INDEX(Sheet1!$A:$J,MATCH(Index_Match!$E218,Sheet1!$A:$A,0),MATCH(Index_Match!I$1,Sheet1!$A$1:$J$1,0)))</f>
        <v>4</v>
      </c>
      <c r="J218" s="20" t="str">
        <f>IF(ISBLANK($E218),"",INDEX(Sheet1!$A:$J,MATCH(Index_Match!$E218,Sheet1!$A:$A,0),MATCH(Index_Match!J$1,Sheet1!$A$1:$J$1,0)))</f>
        <v>Carina Williams</v>
      </c>
      <c r="K218" s="23">
        <f>IF(ISBLANK($E218),"",INDEX(Sheet1!$A:$J,MATCH(Index_Match!$E218,Sheet1!$A:$A,0),MATCH(Index_Match!K$1,Sheet1!$A$1:$J$1,0)))</f>
        <v>4</v>
      </c>
      <c r="L218" s="20" t="str">
        <f>IF(ISBLANK($E218),"",INDEX(Sheet1!$A:$J,MATCH(Index_Match!$E218,Sheet1!$A:$A,0),MATCH(Index_Match!L$1,Sheet1!$A$1:$J$1,0)))</f>
        <v>Williams</v>
      </c>
      <c r="M218" s="20" t="str">
        <f>IF(ISBLANK($E218),"",INDEX(Sheet1!$A:$J,MATCH(Index_Match!$E218,Sheet1!$A:$A,0),MATCH(Index_Match!M$1,Sheet1!$A$1:$J$1,0)))</f>
        <v>Young</v>
      </c>
    </row>
    <row r="219" spans="2:13" x14ac:dyDescent="0.25">
      <c r="B219" s="20"/>
      <c r="C219" s="20"/>
      <c r="D219" s="20"/>
      <c r="E219" s="20" t="str">
        <v>Kate</v>
      </c>
      <c r="F219" s="20" t="str">
        <f>IF(ISBLANK($E219),"",INDEX(Sheet1!$A:$J,MATCH(Index_Match!$E219,Sheet1!$A:$A,0),MATCH(Index_Match!F$1,Sheet1!$A$1:$J$1,0)))</f>
        <v>Female</v>
      </c>
      <c r="G219" s="20" t="str">
        <f>IF(ISBLANK($E219),"",INDEX(Sheet1!$A:$J,MATCH(Index_Match!$E219,Sheet1!$A:$A,0),MATCH(Index_Match!G$1,Sheet1!$A$1:$J$1,0)))</f>
        <v>Astronomer</v>
      </c>
      <c r="H219" s="20" t="str">
        <f>IF(ISBLANK($E219),"",INDEX(Sheet1!$A:$J,MATCH(Index_Match!$E219,Sheet1!$A:$A,0),MATCH(Index_Match!H$1,Sheet1!$A$1:$J$1,0)))</f>
        <v>Single</v>
      </c>
      <c r="I219" s="23">
        <f>IF(ISBLANK($E219),"",INDEX(Sheet1!$A:$J,MATCH(Index_Match!$E219,Sheet1!$A:$A,0),MATCH(Index_Match!I$1,Sheet1!$A$1:$J$1,0)))</f>
        <v>1</v>
      </c>
      <c r="J219" s="20" t="str">
        <f>IF(ISBLANK($E219),"",INDEX(Sheet1!$A:$J,MATCH(Index_Match!$E219,Sheet1!$A:$A,0),MATCH(Index_Match!J$1,Sheet1!$A$1:$J$1,0)))</f>
        <v>Kate Robinson</v>
      </c>
      <c r="K219" s="23">
        <f>IF(ISBLANK($E219),"",INDEX(Sheet1!$A:$J,MATCH(Index_Match!$E219,Sheet1!$A:$A,0),MATCH(Index_Match!K$1,Sheet1!$A$1:$J$1,0)))</f>
        <v>1</v>
      </c>
      <c r="L219" s="20" t="str">
        <f>IF(ISBLANK($E219),"",INDEX(Sheet1!$A:$J,MATCH(Index_Match!$E219,Sheet1!$A:$A,0),MATCH(Index_Match!L$1,Sheet1!$A$1:$J$1,0)))</f>
        <v>Robinson</v>
      </c>
      <c r="M219" s="20" t="str">
        <f>IF(ISBLANK($E219),"",INDEX(Sheet1!$A:$J,MATCH(Index_Match!$E219,Sheet1!$A:$A,0),MATCH(Index_Match!M$1,Sheet1!$A$1:$J$1,0)))</f>
        <v>Young</v>
      </c>
    </row>
    <row r="220" spans="2:13" x14ac:dyDescent="0.25">
      <c r="B220" s="20"/>
      <c r="C220" s="20"/>
      <c r="D220" s="20"/>
      <c r="E220" s="20" t="str">
        <v>Alina</v>
      </c>
      <c r="F220" s="20" t="str">
        <f>IF(ISBLANK($E220),"",INDEX(Sheet1!$A:$J,MATCH(Index_Match!$E220,Sheet1!$A:$A,0),MATCH(Index_Match!F$1,Sheet1!$A$1:$J$1,0)))</f>
        <v>Female</v>
      </c>
      <c r="G220" s="20" t="str">
        <f>IF(ISBLANK($E220),"",INDEX(Sheet1!$A:$J,MATCH(Index_Match!$E220,Sheet1!$A:$A,0),MATCH(Index_Match!G$1,Sheet1!$A$1:$J$1,0)))</f>
        <v>Engineer</v>
      </c>
      <c r="H220" s="20" t="str">
        <f>IF(ISBLANK($E220),"",INDEX(Sheet1!$A:$J,MATCH(Index_Match!$E220,Sheet1!$A:$A,0),MATCH(Index_Match!H$1,Sheet1!$A$1:$J$1,0)))</f>
        <v>Single</v>
      </c>
      <c r="I220" s="23">
        <f>IF(ISBLANK($E220),"",INDEX(Sheet1!$A:$J,MATCH(Index_Match!$E220,Sheet1!$A:$A,0),MATCH(Index_Match!I$1,Sheet1!$A$1:$J$1,0)))</f>
        <v>0</v>
      </c>
      <c r="J220" s="20" t="str">
        <f>IF(ISBLANK($E220),"",INDEX(Sheet1!$A:$J,MATCH(Index_Match!$E220,Sheet1!$A:$A,0),MATCH(Index_Match!J$1,Sheet1!$A$1:$J$1,0)))</f>
        <v>Alina Russell</v>
      </c>
      <c r="K220" s="23">
        <f>IF(ISBLANK($E220),"",INDEX(Sheet1!$A:$J,MATCH(Index_Match!$E220,Sheet1!$A:$A,0),MATCH(Index_Match!K$1,Sheet1!$A$1:$J$1,0)))</f>
        <v>0</v>
      </c>
      <c r="L220" s="20" t="str">
        <f>IF(ISBLANK($E220),"",INDEX(Sheet1!$A:$J,MATCH(Index_Match!$E220,Sheet1!$A:$A,0),MATCH(Index_Match!L$1,Sheet1!$A$1:$J$1,0)))</f>
        <v>Russell</v>
      </c>
      <c r="M220" s="20" t="str">
        <f>IF(ISBLANK($E220),"",INDEX(Sheet1!$A:$J,MATCH(Index_Match!$E220,Sheet1!$A:$A,0),MATCH(Index_Match!M$1,Sheet1!$A$1:$J$1,0)))</f>
        <v>Old</v>
      </c>
    </row>
    <row r="221" spans="2:13" x14ac:dyDescent="0.25">
      <c r="B221" s="20"/>
      <c r="C221" s="20"/>
      <c r="D221" s="20"/>
      <c r="E221" s="20" t="str">
        <v>Agata</v>
      </c>
      <c r="F221" s="20" t="str">
        <f>IF(ISBLANK($E221),"",INDEX(Sheet1!$A:$J,MATCH(Index_Match!$E221,Sheet1!$A:$A,0),MATCH(Index_Match!F$1,Sheet1!$A$1:$J$1,0)))</f>
        <v>Female</v>
      </c>
      <c r="G221" s="20" t="str">
        <f>IF(ISBLANK($E221),"",INDEX(Sheet1!$A:$J,MATCH(Index_Match!$E221,Sheet1!$A:$A,0),MATCH(Index_Match!G$1,Sheet1!$A$1:$J$1,0)))</f>
        <v>Meteorologist</v>
      </c>
      <c r="H221" s="20" t="str">
        <f>IF(ISBLANK($E221),"",INDEX(Sheet1!$A:$J,MATCH(Index_Match!$E221,Sheet1!$A:$A,0),MATCH(Index_Match!H$1,Sheet1!$A$1:$J$1,0)))</f>
        <v>Single</v>
      </c>
      <c r="I221" s="23">
        <f>IF(ISBLANK($E221),"",INDEX(Sheet1!$A:$J,MATCH(Index_Match!$E221,Sheet1!$A:$A,0),MATCH(Index_Match!I$1,Sheet1!$A$1:$J$1,0)))</f>
        <v>0</v>
      </c>
      <c r="J221" s="20" t="str">
        <f>IF(ISBLANK($E221),"",INDEX(Sheet1!$A:$J,MATCH(Index_Match!$E221,Sheet1!$A:$A,0),MATCH(Index_Match!J$1,Sheet1!$A$1:$J$1,0)))</f>
        <v>Agata Adams</v>
      </c>
      <c r="K221" s="23">
        <f>IF(ISBLANK($E221),"",INDEX(Sheet1!$A:$J,MATCH(Index_Match!$E221,Sheet1!$A:$A,0),MATCH(Index_Match!K$1,Sheet1!$A$1:$J$1,0)))</f>
        <v>0</v>
      </c>
      <c r="L221" s="20" t="str">
        <f>IF(ISBLANK($E221),"",INDEX(Sheet1!$A:$J,MATCH(Index_Match!$E221,Sheet1!$A:$A,0),MATCH(Index_Match!L$1,Sheet1!$A$1:$J$1,0)))</f>
        <v>Adams</v>
      </c>
      <c r="M221" s="20" t="str">
        <f>IF(ISBLANK($E221),"",INDEX(Sheet1!$A:$J,MATCH(Index_Match!$E221,Sheet1!$A:$A,0),MATCH(Index_Match!M$1,Sheet1!$A$1:$J$1,0)))</f>
        <v>Young</v>
      </c>
    </row>
    <row r="222" spans="2:13" x14ac:dyDescent="0.25">
      <c r="B222" s="20"/>
      <c r="C222" s="20"/>
      <c r="D222" s="20"/>
      <c r="E222" s="20" t="str">
        <v>Melissa</v>
      </c>
      <c r="F222" s="20" t="str">
        <f>IF(ISBLANK($E222),"",INDEX(Sheet1!$A:$J,MATCH(Index_Match!$E222,Sheet1!$A:$A,0),MATCH(Index_Match!F$1,Sheet1!$A$1:$J$1,0)))</f>
        <v>Female</v>
      </c>
      <c r="G222" s="20" t="str">
        <f>IF(ISBLANK($E222),"",INDEX(Sheet1!$A:$J,MATCH(Index_Match!$E222,Sheet1!$A:$A,0),MATCH(Index_Match!G$1,Sheet1!$A$1:$J$1,0)))</f>
        <v>Baker</v>
      </c>
      <c r="H222" s="20" t="str">
        <f>IF(ISBLANK($E222),"",INDEX(Sheet1!$A:$J,MATCH(Index_Match!$E222,Sheet1!$A:$A,0),MATCH(Index_Match!H$1,Sheet1!$A$1:$J$1,0)))</f>
        <v>Single</v>
      </c>
      <c r="I222" s="23">
        <f>IF(ISBLANK($E222),"",INDEX(Sheet1!$A:$J,MATCH(Index_Match!$E222,Sheet1!$A:$A,0),MATCH(Index_Match!I$1,Sheet1!$A$1:$J$1,0)))</f>
        <v>5</v>
      </c>
      <c r="J222" s="20" t="str">
        <f>IF(ISBLANK($E222),"",INDEX(Sheet1!$A:$J,MATCH(Index_Match!$E222,Sheet1!$A:$A,0),MATCH(Index_Match!J$1,Sheet1!$A$1:$J$1,0)))</f>
        <v>Melissa Howard</v>
      </c>
      <c r="K222" s="23">
        <f>IF(ISBLANK($E222),"",INDEX(Sheet1!$A:$J,MATCH(Index_Match!$E222,Sheet1!$A:$A,0),MATCH(Index_Match!K$1,Sheet1!$A$1:$J$1,0)))</f>
        <v>5</v>
      </c>
      <c r="L222" s="20" t="str">
        <f>IF(ISBLANK($E222),"",INDEX(Sheet1!$A:$J,MATCH(Index_Match!$E222,Sheet1!$A:$A,0),MATCH(Index_Match!L$1,Sheet1!$A$1:$J$1,0)))</f>
        <v>Howard</v>
      </c>
      <c r="M222" s="20" t="str">
        <f>IF(ISBLANK($E222),"",INDEX(Sheet1!$A:$J,MATCH(Index_Match!$E222,Sheet1!$A:$A,0),MATCH(Index_Match!M$1,Sheet1!$A$1:$J$1,0)))</f>
        <v>Young</v>
      </c>
    </row>
    <row r="223" spans="2:13" x14ac:dyDescent="0.25">
      <c r="B223" s="20"/>
      <c r="C223" s="20"/>
      <c r="D223" s="20"/>
      <c r="E223" s="20" t="str">
        <v>Ada</v>
      </c>
      <c r="F223" s="20" t="str">
        <f>IF(ISBLANK($E223),"",INDEX(Sheet1!$A:$J,MATCH(Index_Match!$E223,Sheet1!$A:$A,0),MATCH(Index_Match!F$1,Sheet1!$A$1:$J$1,0)))</f>
        <v>Female</v>
      </c>
      <c r="G223" s="20" t="str">
        <f>IF(ISBLANK($E223),"",INDEX(Sheet1!$A:$J,MATCH(Index_Match!$E223,Sheet1!$A:$A,0),MATCH(Index_Match!G$1,Sheet1!$A$1:$J$1,0)))</f>
        <v>Fashion Designer</v>
      </c>
      <c r="H223" s="20" t="str">
        <f>IF(ISBLANK($E223),"",INDEX(Sheet1!$A:$J,MATCH(Index_Match!$E223,Sheet1!$A:$A,0),MATCH(Index_Match!H$1,Sheet1!$A$1:$J$1,0)))</f>
        <v>Married</v>
      </c>
      <c r="I223" s="23">
        <f>IF(ISBLANK($E223),"",INDEX(Sheet1!$A:$J,MATCH(Index_Match!$E223,Sheet1!$A:$A,0),MATCH(Index_Match!I$1,Sheet1!$A$1:$J$1,0)))</f>
        <v>5</v>
      </c>
      <c r="J223" s="20" t="str">
        <f>IF(ISBLANK($E223),"",INDEX(Sheet1!$A:$J,MATCH(Index_Match!$E223,Sheet1!$A:$A,0),MATCH(Index_Match!J$1,Sheet1!$A$1:$J$1,0)))</f>
        <v>Ada Hall</v>
      </c>
      <c r="K223" s="23">
        <f>IF(ISBLANK($E223),"",INDEX(Sheet1!$A:$J,MATCH(Index_Match!$E223,Sheet1!$A:$A,0),MATCH(Index_Match!K$1,Sheet1!$A$1:$J$1,0)))</f>
        <v>5</v>
      </c>
      <c r="L223" s="20" t="str">
        <f>IF(ISBLANK($E223),"",INDEX(Sheet1!$A:$J,MATCH(Index_Match!$E223,Sheet1!$A:$A,0),MATCH(Index_Match!L$1,Sheet1!$A$1:$J$1,0)))</f>
        <v>Hall</v>
      </c>
      <c r="M223" s="20" t="str">
        <f>IF(ISBLANK($E223),"",INDEX(Sheet1!$A:$J,MATCH(Index_Match!$E223,Sheet1!$A:$A,0),MATCH(Index_Match!M$1,Sheet1!$A$1:$J$1,0)))</f>
        <v>Middle Age</v>
      </c>
    </row>
    <row r="224" spans="2:13" x14ac:dyDescent="0.25">
      <c r="B224" s="20"/>
      <c r="C224" s="20"/>
      <c r="D224" s="20"/>
      <c r="E224" s="20" t="str">
        <v>Abigail</v>
      </c>
      <c r="F224" s="20" t="str">
        <f>IF(ISBLANK($E224),"",INDEX(Sheet1!$A:$J,MATCH(Index_Match!$E224,Sheet1!$A:$A,0),MATCH(Index_Match!F$1,Sheet1!$A$1:$J$1,0)))</f>
        <v>Female</v>
      </c>
      <c r="G224" s="20" t="str">
        <f>IF(ISBLANK($E224),"",INDEX(Sheet1!$A:$J,MATCH(Index_Match!$E224,Sheet1!$A:$A,0),MATCH(Index_Match!G$1,Sheet1!$A$1:$J$1,0)))</f>
        <v>Fine Artist</v>
      </c>
      <c r="H224" s="20" t="str">
        <f>IF(ISBLANK($E224),"",INDEX(Sheet1!$A:$J,MATCH(Index_Match!$E224,Sheet1!$A:$A,0),MATCH(Index_Match!H$1,Sheet1!$A$1:$J$1,0)))</f>
        <v>Married</v>
      </c>
      <c r="I224" s="23">
        <f>IF(ISBLANK($E224),"",INDEX(Sheet1!$A:$J,MATCH(Index_Match!$E224,Sheet1!$A:$A,0),MATCH(Index_Match!I$1,Sheet1!$A$1:$J$1,0)))</f>
        <v>0</v>
      </c>
      <c r="J224" s="20" t="str">
        <f>IF(ISBLANK($E224),"",INDEX(Sheet1!$A:$J,MATCH(Index_Match!$E224,Sheet1!$A:$A,0),MATCH(Index_Match!J$1,Sheet1!$A$1:$J$1,0)))</f>
        <v>Abigail Ryan</v>
      </c>
      <c r="K224" s="23">
        <f>IF(ISBLANK($E224),"",INDEX(Sheet1!$A:$J,MATCH(Index_Match!$E224,Sheet1!$A:$A,0),MATCH(Index_Match!K$1,Sheet1!$A$1:$J$1,0)))</f>
        <v>0</v>
      </c>
      <c r="L224" s="20" t="str">
        <f>IF(ISBLANK($E224),"",INDEX(Sheet1!$A:$J,MATCH(Index_Match!$E224,Sheet1!$A:$A,0),MATCH(Index_Match!L$1,Sheet1!$A$1:$J$1,0)))</f>
        <v>Ryan</v>
      </c>
      <c r="M224" s="20" t="str">
        <f>IF(ISBLANK($E224),"",INDEX(Sheet1!$A:$J,MATCH(Index_Match!$E224,Sheet1!$A:$A,0),MATCH(Index_Match!M$1,Sheet1!$A$1:$J$1,0)))</f>
        <v>Old</v>
      </c>
    </row>
    <row r="225" spans="2:13" x14ac:dyDescent="0.25">
      <c r="B225" s="20"/>
      <c r="C225" s="20"/>
      <c r="D225" s="20"/>
      <c r="E225" s="20" t="str">
        <v>Rubie</v>
      </c>
      <c r="F225" s="20" t="str">
        <f>IF(ISBLANK($E225),"",INDEX(Sheet1!$A:$J,MATCH(Index_Match!$E225,Sheet1!$A:$A,0),MATCH(Index_Match!F$1,Sheet1!$A$1:$J$1,0)))</f>
        <v>Female</v>
      </c>
      <c r="G225" s="20" t="str">
        <f>IF(ISBLANK($E225),"",INDEX(Sheet1!$A:$J,MATCH(Index_Match!$E225,Sheet1!$A:$A,0),MATCH(Index_Match!G$1,Sheet1!$A$1:$J$1,0)))</f>
        <v>Auditor</v>
      </c>
      <c r="H225" s="20" t="str">
        <f>IF(ISBLANK($E225),"",INDEX(Sheet1!$A:$J,MATCH(Index_Match!$E225,Sheet1!$A:$A,0),MATCH(Index_Match!H$1,Sheet1!$A$1:$J$1,0)))</f>
        <v>Single</v>
      </c>
      <c r="I225" s="23">
        <f>IF(ISBLANK($E225),"",INDEX(Sheet1!$A:$J,MATCH(Index_Match!$E225,Sheet1!$A:$A,0),MATCH(Index_Match!I$1,Sheet1!$A$1:$J$1,0)))</f>
        <v>1</v>
      </c>
      <c r="J225" s="20" t="str">
        <f>IF(ISBLANK($E225),"",INDEX(Sheet1!$A:$J,MATCH(Index_Match!$E225,Sheet1!$A:$A,0),MATCH(Index_Match!J$1,Sheet1!$A$1:$J$1,0)))</f>
        <v>Rubie Clark</v>
      </c>
      <c r="K225" s="23">
        <f>IF(ISBLANK($E225),"",INDEX(Sheet1!$A:$J,MATCH(Index_Match!$E225,Sheet1!$A:$A,0),MATCH(Index_Match!K$1,Sheet1!$A$1:$J$1,0)))</f>
        <v>1</v>
      </c>
      <c r="L225" s="20" t="str">
        <f>IF(ISBLANK($E225),"",INDEX(Sheet1!$A:$J,MATCH(Index_Match!$E225,Sheet1!$A:$A,0),MATCH(Index_Match!L$1,Sheet1!$A$1:$J$1,0)))</f>
        <v>Clark</v>
      </c>
      <c r="M225" s="20" t="str">
        <f>IF(ISBLANK($E225),"",INDEX(Sheet1!$A:$J,MATCH(Index_Match!$E225,Sheet1!$A:$A,0),MATCH(Index_Match!M$1,Sheet1!$A$1:$J$1,0)))</f>
        <v>Young</v>
      </c>
    </row>
    <row r="226" spans="2:13" x14ac:dyDescent="0.25">
      <c r="B226" s="20"/>
      <c r="C226" s="20"/>
      <c r="D226" s="20"/>
      <c r="E226" s="20" t="str">
        <v>Elise</v>
      </c>
      <c r="F226" s="20" t="str">
        <f>IF(ISBLANK($E226),"",INDEX(Sheet1!$A:$J,MATCH(Index_Match!$E226,Sheet1!$A:$A,0),MATCH(Index_Match!F$1,Sheet1!$A$1:$J$1,0)))</f>
        <v>Female</v>
      </c>
      <c r="G226" s="20" t="str">
        <f>IF(ISBLANK($E226),"",INDEX(Sheet1!$A:$J,MATCH(Index_Match!$E226,Sheet1!$A:$A,0),MATCH(Index_Match!G$1,Sheet1!$A$1:$J$1,0)))</f>
        <v>Engineer</v>
      </c>
      <c r="H226" s="20" t="str">
        <f>IF(ISBLANK($E226),"",INDEX(Sheet1!$A:$J,MATCH(Index_Match!$E226,Sheet1!$A:$A,0),MATCH(Index_Match!H$1,Sheet1!$A$1:$J$1,0)))</f>
        <v>Married</v>
      </c>
      <c r="I226" s="23">
        <f>IF(ISBLANK($E226),"",INDEX(Sheet1!$A:$J,MATCH(Index_Match!$E226,Sheet1!$A:$A,0),MATCH(Index_Match!I$1,Sheet1!$A$1:$J$1,0)))</f>
        <v>5</v>
      </c>
      <c r="J226" s="20" t="str">
        <f>IF(ISBLANK($E226),"",INDEX(Sheet1!$A:$J,MATCH(Index_Match!$E226,Sheet1!$A:$A,0),MATCH(Index_Match!J$1,Sheet1!$A$1:$J$1,0)))</f>
        <v>Elise Tucker</v>
      </c>
      <c r="K226" s="23">
        <f>IF(ISBLANK($E226),"",INDEX(Sheet1!$A:$J,MATCH(Index_Match!$E226,Sheet1!$A:$A,0),MATCH(Index_Match!K$1,Sheet1!$A$1:$J$1,0)))</f>
        <v>5</v>
      </c>
      <c r="L226" s="20" t="str">
        <f>IF(ISBLANK($E226),"",INDEX(Sheet1!$A:$J,MATCH(Index_Match!$E226,Sheet1!$A:$A,0),MATCH(Index_Match!L$1,Sheet1!$A$1:$J$1,0)))</f>
        <v>Tucker</v>
      </c>
      <c r="M226" s="20" t="str">
        <f>IF(ISBLANK($E226),"",INDEX(Sheet1!$A:$J,MATCH(Index_Match!$E226,Sheet1!$A:$A,0),MATCH(Index_Match!M$1,Sheet1!$A$1:$J$1,0)))</f>
        <v>Young</v>
      </c>
    </row>
    <row r="227" spans="2:13" x14ac:dyDescent="0.25">
      <c r="B227" s="20"/>
      <c r="C227" s="20"/>
      <c r="D227" s="20"/>
      <c r="E227" s="20" t="str">
        <v>Penelope</v>
      </c>
      <c r="F227" s="20" t="str">
        <f>IF(ISBLANK($E227),"",INDEX(Sheet1!$A:$J,MATCH(Index_Match!$E227,Sheet1!$A:$A,0),MATCH(Index_Match!F$1,Sheet1!$A$1:$J$1,0)))</f>
        <v>Female</v>
      </c>
      <c r="G227" s="20" t="str">
        <f>IF(ISBLANK($E227),"",INDEX(Sheet1!$A:$J,MATCH(Index_Match!$E227,Sheet1!$A:$A,0),MATCH(Index_Match!G$1,Sheet1!$A$1:$J$1,0)))</f>
        <v>Singer</v>
      </c>
      <c r="H227" s="20" t="str">
        <f>IF(ISBLANK($E227),"",INDEX(Sheet1!$A:$J,MATCH(Index_Match!$E227,Sheet1!$A:$A,0),MATCH(Index_Match!H$1,Sheet1!$A$1:$J$1,0)))</f>
        <v>Single</v>
      </c>
      <c r="I227" s="23">
        <f>IF(ISBLANK($E227),"",INDEX(Sheet1!$A:$J,MATCH(Index_Match!$E227,Sheet1!$A:$A,0),MATCH(Index_Match!I$1,Sheet1!$A$1:$J$1,0)))</f>
        <v>5</v>
      </c>
      <c r="J227" s="20" t="str">
        <f>IF(ISBLANK($E227),"",INDEX(Sheet1!$A:$J,MATCH(Index_Match!$E227,Sheet1!$A:$A,0),MATCH(Index_Match!J$1,Sheet1!$A$1:$J$1,0)))</f>
        <v>Penelope Henderson</v>
      </c>
      <c r="K227" s="23">
        <f>IF(ISBLANK($E227),"",INDEX(Sheet1!$A:$J,MATCH(Index_Match!$E227,Sheet1!$A:$A,0),MATCH(Index_Match!K$1,Sheet1!$A$1:$J$1,0)))</f>
        <v>5</v>
      </c>
      <c r="L227" s="20" t="str">
        <f>IF(ISBLANK($E227),"",INDEX(Sheet1!$A:$J,MATCH(Index_Match!$E227,Sheet1!$A:$A,0),MATCH(Index_Match!L$1,Sheet1!$A$1:$J$1,0)))</f>
        <v>Henderson</v>
      </c>
      <c r="M227" s="20" t="str">
        <f>IF(ISBLANK($E227),"",INDEX(Sheet1!$A:$J,MATCH(Index_Match!$E227,Sheet1!$A:$A,0),MATCH(Index_Match!M$1,Sheet1!$A$1:$J$1,0)))</f>
        <v>Middle Age</v>
      </c>
    </row>
    <row r="228" spans="2:13" x14ac:dyDescent="0.25">
      <c r="B228" s="20"/>
      <c r="C228" s="20"/>
      <c r="D228" s="20"/>
      <c r="E228" s="20" t="str">
        <v>Annabella</v>
      </c>
      <c r="F228" s="20" t="str">
        <f>IF(ISBLANK($E228),"",INDEX(Sheet1!$A:$J,MATCH(Index_Match!$E228,Sheet1!$A:$A,0),MATCH(Index_Match!F$1,Sheet1!$A$1:$J$1,0)))</f>
        <v>Female</v>
      </c>
      <c r="G228" s="20" t="str">
        <f>IF(ISBLANK($E228),"",INDEX(Sheet1!$A:$J,MATCH(Index_Match!$E228,Sheet1!$A:$A,0),MATCH(Index_Match!G$1,Sheet1!$A$1:$J$1,0)))</f>
        <v>Composer</v>
      </c>
      <c r="H228" s="20" t="str">
        <f>IF(ISBLANK($E228),"",INDEX(Sheet1!$A:$J,MATCH(Index_Match!$E228,Sheet1!$A:$A,0),MATCH(Index_Match!H$1,Sheet1!$A$1:$J$1,0)))</f>
        <v>Married</v>
      </c>
      <c r="I228" s="23">
        <f>IF(ISBLANK($E228),"",INDEX(Sheet1!$A:$J,MATCH(Index_Match!$E228,Sheet1!$A:$A,0),MATCH(Index_Match!I$1,Sheet1!$A$1:$J$1,0)))</f>
        <v>5</v>
      </c>
      <c r="J228" s="20" t="str">
        <f>IF(ISBLANK($E228),"",INDEX(Sheet1!$A:$J,MATCH(Index_Match!$E228,Sheet1!$A:$A,0),MATCH(Index_Match!J$1,Sheet1!$A$1:$J$1,0)))</f>
        <v>Annabella Parker</v>
      </c>
      <c r="K228" s="23">
        <f>IF(ISBLANK($E228),"",INDEX(Sheet1!$A:$J,MATCH(Index_Match!$E228,Sheet1!$A:$A,0),MATCH(Index_Match!K$1,Sheet1!$A$1:$J$1,0)))</f>
        <v>5</v>
      </c>
      <c r="L228" s="20" t="str">
        <f>IF(ISBLANK($E228),"",INDEX(Sheet1!$A:$J,MATCH(Index_Match!$E228,Sheet1!$A:$A,0),MATCH(Index_Match!L$1,Sheet1!$A$1:$J$1,0)))</f>
        <v>Parker</v>
      </c>
      <c r="M228" s="20" t="str">
        <f>IF(ISBLANK($E228),"",INDEX(Sheet1!$A:$J,MATCH(Index_Match!$E228,Sheet1!$A:$A,0),MATCH(Index_Match!M$1,Sheet1!$A$1:$J$1,0)))</f>
        <v>Middle Age</v>
      </c>
    </row>
    <row r="229" spans="2:13" x14ac:dyDescent="0.25">
      <c r="B229" s="20"/>
      <c r="C229" s="20"/>
      <c r="D229" s="20"/>
      <c r="E229" s="20" t="str">
        <v>Eleanor</v>
      </c>
      <c r="F229" s="20" t="str">
        <f>IF(ISBLANK($E229),"",INDEX(Sheet1!$A:$J,MATCH(Index_Match!$E229,Sheet1!$A:$A,0),MATCH(Index_Match!F$1,Sheet1!$A$1:$J$1,0)))</f>
        <v>Female</v>
      </c>
      <c r="G229" s="20" t="str">
        <f>IF(ISBLANK($E229),"",INDEX(Sheet1!$A:$J,MATCH(Index_Match!$E229,Sheet1!$A:$A,0),MATCH(Index_Match!G$1,Sheet1!$A$1:$J$1,0)))</f>
        <v>Social Worker</v>
      </c>
      <c r="H229" s="20" t="str">
        <f>IF(ISBLANK($E229),"",INDEX(Sheet1!$A:$J,MATCH(Index_Match!$E229,Sheet1!$A:$A,0),MATCH(Index_Match!H$1,Sheet1!$A$1:$J$1,0)))</f>
        <v>Married</v>
      </c>
      <c r="I229" s="23">
        <f>IF(ISBLANK($E229),"",INDEX(Sheet1!$A:$J,MATCH(Index_Match!$E229,Sheet1!$A:$A,0),MATCH(Index_Match!I$1,Sheet1!$A$1:$J$1,0)))</f>
        <v>0</v>
      </c>
      <c r="J229" s="20" t="str">
        <f>IF(ISBLANK($E229),"",INDEX(Sheet1!$A:$J,MATCH(Index_Match!$E229,Sheet1!$A:$A,0),MATCH(Index_Match!J$1,Sheet1!$A$1:$J$1,0)))</f>
        <v>Eleanor Thomas</v>
      </c>
      <c r="K229" s="23">
        <f>IF(ISBLANK($E229),"",INDEX(Sheet1!$A:$J,MATCH(Index_Match!$E229,Sheet1!$A:$A,0),MATCH(Index_Match!K$1,Sheet1!$A$1:$J$1,0)))</f>
        <v>0</v>
      </c>
      <c r="L229" s="20" t="str">
        <f>IF(ISBLANK($E229),"",INDEX(Sheet1!$A:$J,MATCH(Index_Match!$E229,Sheet1!$A:$A,0),MATCH(Index_Match!L$1,Sheet1!$A$1:$J$1,0)))</f>
        <v>Thomas</v>
      </c>
      <c r="M229" s="20" t="str">
        <f>IF(ISBLANK($E229),"",INDEX(Sheet1!$A:$J,MATCH(Index_Match!$E229,Sheet1!$A:$A,0),MATCH(Index_Match!M$1,Sheet1!$A$1:$J$1,0)))</f>
        <v>Old</v>
      </c>
    </row>
    <row r="230" spans="2:13" x14ac:dyDescent="0.25">
      <c r="B230" s="20"/>
      <c r="C230" s="20"/>
      <c r="D230" s="20"/>
      <c r="E230" s="20" t="str">
        <v>Heather</v>
      </c>
      <c r="F230" s="20" t="str">
        <f>IF(ISBLANK($E230),"",INDEX(Sheet1!$A:$J,MATCH(Index_Match!$E230,Sheet1!$A:$A,0),MATCH(Index_Match!F$1,Sheet1!$A$1:$J$1,0)))</f>
        <v>Female</v>
      </c>
      <c r="G230" s="20" t="str">
        <f>IF(ISBLANK($E230),"",INDEX(Sheet1!$A:$J,MATCH(Index_Match!$E230,Sheet1!$A:$A,0),MATCH(Index_Match!G$1,Sheet1!$A$1:$J$1,0)))</f>
        <v>Carpenter</v>
      </c>
      <c r="H230" s="20" t="str">
        <f>IF(ISBLANK($E230),"",INDEX(Sheet1!$A:$J,MATCH(Index_Match!$E230,Sheet1!$A:$A,0),MATCH(Index_Match!H$1,Sheet1!$A$1:$J$1,0)))</f>
        <v>Single</v>
      </c>
      <c r="I230" s="23">
        <f>IF(ISBLANK($E230),"",INDEX(Sheet1!$A:$J,MATCH(Index_Match!$E230,Sheet1!$A:$A,0),MATCH(Index_Match!I$1,Sheet1!$A$1:$J$1,0)))</f>
        <v>5</v>
      </c>
      <c r="J230" s="20" t="str">
        <f>IF(ISBLANK($E230),"",INDEX(Sheet1!$A:$J,MATCH(Index_Match!$E230,Sheet1!$A:$A,0),MATCH(Index_Match!J$1,Sheet1!$A$1:$J$1,0)))</f>
        <v>Heather Perry</v>
      </c>
      <c r="K230" s="23">
        <f>IF(ISBLANK($E230),"",INDEX(Sheet1!$A:$J,MATCH(Index_Match!$E230,Sheet1!$A:$A,0),MATCH(Index_Match!K$1,Sheet1!$A$1:$J$1,0)))</f>
        <v>5</v>
      </c>
      <c r="L230" s="20" t="str">
        <f>IF(ISBLANK($E230),"",INDEX(Sheet1!$A:$J,MATCH(Index_Match!$E230,Sheet1!$A:$A,0),MATCH(Index_Match!L$1,Sheet1!$A$1:$J$1,0)))</f>
        <v>Perry</v>
      </c>
      <c r="M230" s="20" t="str">
        <f>IF(ISBLANK($E230),"",INDEX(Sheet1!$A:$J,MATCH(Index_Match!$E230,Sheet1!$A:$A,0),MATCH(Index_Match!M$1,Sheet1!$A$1:$J$1,0)))</f>
        <v>Middle Age</v>
      </c>
    </row>
    <row r="231" spans="2:13" x14ac:dyDescent="0.25">
      <c r="B231" s="20"/>
      <c r="C231" s="20"/>
      <c r="D231" s="20"/>
      <c r="E231" s="20" t="str">
        <v>Arianna</v>
      </c>
      <c r="F231" s="20" t="str">
        <f>IF(ISBLANK($E231),"",INDEX(Sheet1!$A:$J,MATCH(Index_Match!$E231,Sheet1!$A:$A,0),MATCH(Index_Match!F$1,Sheet1!$A$1:$J$1,0)))</f>
        <v>Female</v>
      </c>
      <c r="G231" s="20" t="str">
        <f>IF(ISBLANK($E231),"",INDEX(Sheet1!$A:$J,MATCH(Index_Match!$E231,Sheet1!$A:$A,0),MATCH(Index_Match!G$1,Sheet1!$A$1:$J$1,0)))</f>
        <v>Biochemist</v>
      </c>
      <c r="H231" s="20" t="str">
        <f>IF(ISBLANK($E231),"",INDEX(Sheet1!$A:$J,MATCH(Index_Match!$E231,Sheet1!$A:$A,0),MATCH(Index_Match!H$1,Sheet1!$A$1:$J$1,0)))</f>
        <v>Married</v>
      </c>
      <c r="I231" s="23">
        <f>IF(ISBLANK($E231),"",INDEX(Sheet1!$A:$J,MATCH(Index_Match!$E231,Sheet1!$A:$A,0),MATCH(Index_Match!I$1,Sheet1!$A$1:$J$1,0)))</f>
        <v>0</v>
      </c>
      <c r="J231" s="20" t="str">
        <f>IF(ISBLANK($E231),"",INDEX(Sheet1!$A:$J,MATCH(Index_Match!$E231,Sheet1!$A:$A,0),MATCH(Index_Match!J$1,Sheet1!$A$1:$J$1,0)))</f>
        <v>Arianna Hall</v>
      </c>
      <c r="K231" s="23">
        <f>IF(ISBLANK($E231),"",INDEX(Sheet1!$A:$J,MATCH(Index_Match!$E231,Sheet1!$A:$A,0),MATCH(Index_Match!K$1,Sheet1!$A$1:$J$1,0)))</f>
        <v>0</v>
      </c>
      <c r="L231" s="20" t="str">
        <f>IF(ISBLANK($E231),"",INDEX(Sheet1!$A:$J,MATCH(Index_Match!$E231,Sheet1!$A:$A,0),MATCH(Index_Match!L$1,Sheet1!$A$1:$J$1,0)))</f>
        <v>Hall</v>
      </c>
      <c r="M231" s="20" t="str">
        <f>IF(ISBLANK($E231),"",INDEX(Sheet1!$A:$J,MATCH(Index_Match!$E231,Sheet1!$A:$A,0),MATCH(Index_Match!M$1,Sheet1!$A$1:$J$1,0)))</f>
        <v>Old</v>
      </c>
    </row>
    <row r="232" spans="2:13" x14ac:dyDescent="0.25">
      <c r="B232" s="20"/>
      <c r="C232" s="20"/>
      <c r="D232" s="20"/>
      <c r="E232" s="20" t="str">
        <v>Sienna</v>
      </c>
      <c r="F232" s="20" t="str">
        <f>IF(ISBLANK($E232),"",INDEX(Sheet1!$A:$J,MATCH(Index_Match!$E232,Sheet1!$A:$A,0),MATCH(Index_Match!F$1,Sheet1!$A$1:$J$1,0)))</f>
        <v>Female</v>
      </c>
      <c r="G232" s="20" t="str">
        <f>IF(ISBLANK($E232),"",INDEX(Sheet1!$A:$J,MATCH(Index_Match!$E232,Sheet1!$A:$A,0),MATCH(Index_Match!G$1,Sheet1!$A$1:$J$1,0)))</f>
        <v>Biochemist</v>
      </c>
      <c r="H232" s="20" t="str">
        <f>IF(ISBLANK($E232),"",INDEX(Sheet1!$A:$J,MATCH(Index_Match!$E232,Sheet1!$A:$A,0),MATCH(Index_Match!H$1,Sheet1!$A$1:$J$1,0)))</f>
        <v>Single</v>
      </c>
      <c r="I232" s="23">
        <f>IF(ISBLANK($E232),"",INDEX(Sheet1!$A:$J,MATCH(Index_Match!$E232,Sheet1!$A:$A,0),MATCH(Index_Match!I$1,Sheet1!$A$1:$J$1,0)))</f>
        <v>1</v>
      </c>
      <c r="J232" s="20" t="str">
        <f>IF(ISBLANK($E232),"",INDEX(Sheet1!$A:$J,MATCH(Index_Match!$E232,Sheet1!$A:$A,0),MATCH(Index_Match!J$1,Sheet1!$A$1:$J$1,0)))</f>
        <v>Sienna Baker</v>
      </c>
      <c r="K232" s="23">
        <f>IF(ISBLANK($E232),"",INDEX(Sheet1!$A:$J,MATCH(Index_Match!$E232,Sheet1!$A:$A,0),MATCH(Index_Match!K$1,Sheet1!$A$1:$J$1,0)))</f>
        <v>1</v>
      </c>
      <c r="L232" s="20" t="str">
        <f>IF(ISBLANK($E232),"",INDEX(Sheet1!$A:$J,MATCH(Index_Match!$E232,Sheet1!$A:$A,0),MATCH(Index_Match!L$1,Sheet1!$A$1:$J$1,0)))</f>
        <v>Baker</v>
      </c>
      <c r="M232" s="20" t="str">
        <f>IF(ISBLANK($E232),"",INDEX(Sheet1!$A:$J,MATCH(Index_Match!$E232,Sheet1!$A:$A,0),MATCH(Index_Match!M$1,Sheet1!$A$1:$J$1,0)))</f>
        <v>Young</v>
      </c>
    </row>
    <row r="233" spans="2:13" x14ac:dyDescent="0.25">
      <c r="B233" s="20"/>
      <c r="C233" s="20"/>
      <c r="D233" s="20"/>
      <c r="E233" s="20" t="str">
        <v>Heather</v>
      </c>
      <c r="F233" s="20" t="str">
        <f>IF(ISBLANK($E233),"",INDEX(Sheet1!$A:$J,MATCH(Index_Match!$E233,Sheet1!$A:$A,0),MATCH(Index_Match!F$1,Sheet1!$A$1:$J$1,0)))</f>
        <v>Female</v>
      </c>
      <c r="G233" s="20" t="str">
        <f>IF(ISBLANK($E233),"",INDEX(Sheet1!$A:$J,MATCH(Index_Match!$E233,Sheet1!$A:$A,0),MATCH(Index_Match!G$1,Sheet1!$A$1:$J$1,0)))</f>
        <v>Carpenter</v>
      </c>
      <c r="H233" s="20" t="str">
        <f>IF(ISBLANK($E233),"",INDEX(Sheet1!$A:$J,MATCH(Index_Match!$E233,Sheet1!$A:$A,0),MATCH(Index_Match!H$1,Sheet1!$A$1:$J$1,0)))</f>
        <v>Single</v>
      </c>
      <c r="I233" s="23">
        <f>IF(ISBLANK($E233),"",INDEX(Sheet1!$A:$J,MATCH(Index_Match!$E233,Sheet1!$A:$A,0),MATCH(Index_Match!I$1,Sheet1!$A$1:$J$1,0)))</f>
        <v>5</v>
      </c>
      <c r="J233" s="20" t="str">
        <f>IF(ISBLANK($E233),"",INDEX(Sheet1!$A:$J,MATCH(Index_Match!$E233,Sheet1!$A:$A,0),MATCH(Index_Match!J$1,Sheet1!$A$1:$J$1,0)))</f>
        <v>Heather Perry</v>
      </c>
      <c r="K233" s="23">
        <f>IF(ISBLANK($E233),"",INDEX(Sheet1!$A:$J,MATCH(Index_Match!$E233,Sheet1!$A:$A,0),MATCH(Index_Match!K$1,Sheet1!$A$1:$J$1,0)))</f>
        <v>5</v>
      </c>
      <c r="L233" s="20" t="str">
        <f>IF(ISBLANK($E233),"",INDEX(Sheet1!$A:$J,MATCH(Index_Match!$E233,Sheet1!$A:$A,0),MATCH(Index_Match!L$1,Sheet1!$A$1:$J$1,0)))</f>
        <v>Perry</v>
      </c>
      <c r="M233" s="20" t="str">
        <f>IF(ISBLANK($E233),"",INDEX(Sheet1!$A:$J,MATCH(Index_Match!$E233,Sheet1!$A:$A,0),MATCH(Index_Match!M$1,Sheet1!$A$1:$J$1,0)))</f>
        <v>Middle Age</v>
      </c>
    </row>
    <row r="234" spans="2:13" x14ac:dyDescent="0.25">
      <c r="B234" s="20"/>
      <c r="C234" s="20"/>
      <c r="D234" s="20"/>
      <c r="E234" s="20" t="str">
        <v>Audrey</v>
      </c>
      <c r="F234" s="20" t="str">
        <f>IF(ISBLANK($E234),"",INDEX(Sheet1!$A:$J,MATCH(Index_Match!$E234,Sheet1!$A:$A,0),MATCH(Index_Match!F$1,Sheet1!$A$1:$J$1,0)))</f>
        <v>Female</v>
      </c>
      <c r="G234" s="20" t="str">
        <f>IF(ISBLANK($E234),"",INDEX(Sheet1!$A:$J,MATCH(Index_Match!$E234,Sheet1!$A:$A,0),MATCH(Index_Match!G$1,Sheet1!$A$1:$J$1,0)))</f>
        <v>Florist</v>
      </c>
      <c r="H234" s="20" t="str">
        <f>IF(ISBLANK($E234),"",INDEX(Sheet1!$A:$J,MATCH(Index_Match!$E234,Sheet1!$A:$A,0),MATCH(Index_Match!H$1,Sheet1!$A$1:$J$1,0)))</f>
        <v>Married</v>
      </c>
      <c r="I234" s="23">
        <f>IF(ISBLANK($E234),"",INDEX(Sheet1!$A:$J,MATCH(Index_Match!$E234,Sheet1!$A:$A,0),MATCH(Index_Match!I$1,Sheet1!$A$1:$J$1,0)))</f>
        <v>2</v>
      </c>
      <c r="J234" s="20" t="str">
        <f>IF(ISBLANK($E234),"",INDEX(Sheet1!$A:$J,MATCH(Index_Match!$E234,Sheet1!$A:$A,0),MATCH(Index_Match!J$1,Sheet1!$A$1:$J$1,0)))</f>
        <v>Audrey Watson</v>
      </c>
      <c r="K234" s="23">
        <f>IF(ISBLANK($E234),"",INDEX(Sheet1!$A:$J,MATCH(Index_Match!$E234,Sheet1!$A:$A,0),MATCH(Index_Match!K$1,Sheet1!$A$1:$J$1,0)))</f>
        <v>2</v>
      </c>
      <c r="L234" s="20" t="str">
        <f>IF(ISBLANK($E234),"",INDEX(Sheet1!$A:$J,MATCH(Index_Match!$E234,Sheet1!$A:$A,0),MATCH(Index_Match!L$1,Sheet1!$A$1:$J$1,0)))</f>
        <v>Watson</v>
      </c>
      <c r="M234" s="20" t="str">
        <f>IF(ISBLANK($E234),"",INDEX(Sheet1!$A:$J,MATCH(Index_Match!$E234,Sheet1!$A:$A,0),MATCH(Index_Match!M$1,Sheet1!$A$1:$J$1,0)))</f>
        <v>Old</v>
      </c>
    </row>
    <row r="235" spans="2:13" x14ac:dyDescent="0.25">
      <c r="B235" s="20"/>
      <c r="C235" s="20"/>
      <c r="D235" s="20"/>
      <c r="E235" s="20" t="str">
        <v>Annabella</v>
      </c>
      <c r="F235" s="20" t="str">
        <f>IF(ISBLANK($E235),"",INDEX(Sheet1!$A:$J,MATCH(Index_Match!$E235,Sheet1!$A:$A,0),MATCH(Index_Match!F$1,Sheet1!$A$1:$J$1,0)))</f>
        <v>Female</v>
      </c>
      <c r="G235" s="20" t="str">
        <f>IF(ISBLANK($E235),"",INDEX(Sheet1!$A:$J,MATCH(Index_Match!$E235,Sheet1!$A:$A,0),MATCH(Index_Match!G$1,Sheet1!$A$1:$J$1,0)))</f>
        <v>Composer</v>
      </c>
      <c r="H235" s="20" t="str">
        <f>IF(ISBLANK($E235),"",INDEX(Sheet1!$A:$J,MATCH(Index_Match!$E235,Sheet1!$A:$A,0),MATCH(Index_Match!H$1,Sheet1!$A$1:$J$1,0)))</f>
        <v>Married</v>
      </c>
      <c r="I235" s="23">
        <f>IF(ISBLANK($E235),"",INDEX(Sheet1!$A:$J,MATCH(Index_Match!$E235,Sheet1!$A:$A,0),MATCH(Index_Match!I$1,Sheet1!$A$1:$J$1,0)))</f>
        <v>5</v>
      </c>
      <c r="J235" s="20" t="str">
        <f>IF(ISBLANK($E235),"",INDEX(Sheet1!$A:$J,MATCH(Index_Match!$E235,Sheet1!$A:$A,0),MATCH(Index_Match!J$1,Sheet1!$A$1:$J$1,0)))</f>
        <v>Annabella Parker</v>
      </c>
      <c r="K235" s="23">
        <f>IF(ISBLANK($E235),"",INDEX(Sheet1!$A:$J,MATCH(Index_Match!$E235,Sheet1!$A:$A,0),MATCH(Index_Match!K$1,Sheet1!$A$1:$J$1,0)))</f>
        <v>5</v>
      </c>
      <c r="L235" s="20" t="str">
        <f>IF(ISBLANK($E235),"",INDEX(Sheet1!$A:$J,MATCH(Index_Match!$E235,Sheet1!$A:$A,0),MATCH(Index_Match!L$1,Sheet1!$A$1:$J$1,0)))</f>
        <v>Parker</v>
      </c>
      <c r="M235" s="20" t="str">
        <f>IF(ISBLANK($E235),"",INDEX(Sheet1!$A:$J,MATCH(Index_Match!$E235,Sheet1!$A:$A,0),MATCH(Index_Match!M$1,Sheet1!$A$1:$J$1,0)))</f>
        <v>Middle Age</v>
      </c>
    </row>
    <row r="236" spans="2:13" x14ac:dyDescent="0.25">
      <c r="B236" s="20"/>
      <c r="C236" s="20"/>
      <c r="D236" s="20"/>
      <c r="E236" s="20" t="str">
        <v>Victoria</v>
      </c>
      <c r="F236" s="20" t="str">
        <f>IF(ISBLANK($E236),"",INDEX(Sheet1!$A:$J,MATCH(Index_Match!$E236,Sheet1!$A:$A,0),MATCH(Index_Match!F$1,Sheet1!$A$1:$J$1,0)))</f>
        <v>Female</v>
      </c>
      <c r="G236" s="20" t="str">
        <f>IF(ISBLANK($E236),"",INDEX(Sheet1!$A:$J,MATCH(Index_Match!$E236,Sheet1!$A:$A,0),MATCH(Index_Match!G$1,Sheet1!$A$1:$J$1,0)))</f>
        <v>Salesman</v>
      </c>
      <c r="H236" s="20" t="str">
        <f>IF(ISBLANK($E236),"",INDEX(Sheet1!$A:$J,MATCH(Index_Match!$E236,Sheet1!$A:$A,0),MATCH(Index_Match!H$1,Sheet1!$A$1:$J$1,0)))</f>
        <v>Married</v>
      </c>
      <c r="I236" s="23">
        <f>IF(ISBLANK($E236),"",INDEX(Sheet1!$A:$J,MATCH(Index_Match!$E236,Sheet1!$A:$A,0),MATCH(Index_Match!I$1,Sheet1!$A$1:$J$1,0)))</f>
        <v>3</v>
      </c>
      <c r="J236" s="20" t="str">
        <f>IF(ISBLANK($E236),"",INDEX(Sheet1!$A:$J,MATCH(Index_Match!$E236,Sheet1!$A:$A,0),MATCH(Index_Match!J$1,Sheet1!$A$1:$J$1,0)))</f>
        <v>Victoria Foster</v>
      </c>
      <c r="K236" s="23">
        <f>IF(ISBLANK($E236),"",INDEX(Sheet1!$A:$J,MATCH(Index_Match!$E236,Sheet1!$A:$A,0),MATCH(Index_Match!K$1,Sheet1!$A$1:$J$1,0)))</f>
        <v>3</v>
      </c>
      <c r="L236" s="20" t="str">
        <f>IF(ISBLANK($E236),"",INDEX(Sheet1!$A:$J,MATCH(Index_Match!$E236,Sheet1!$A:$A,0),MATCH(Index_Match!L$1,Sheet1!$A$1:$J$1,0)))</f>
        <v>Foster</v>
      </c>
      <c r="M236" s="20" t="str">
        <f>IF(ISBLANK($E236),"",INDEX(Sheet1!$A:$J,MATCH(Index_Match!$E236,Sheet1!$A:$A,0),MATCH(Index_Match!M$1,Sheet1!$A$1:$J$1,0)))</f>
        <v>Young</v>
      </c>
    </row>
    <row r="237" spans="2:13" x14ac:dyDescent="0.25">
      <c r="B237" s="20"/>
      <c r="C237" s="20"/>
      <c r="D237" s="20"/>
      <c r="E237" s="20" t="str">
        <v>Carina</v>
      </c>
      <c r="F237" s="20" t="str">
        <f>IF(ISBLANK($E237),"",INDEX(Sheet1!$A:$J,MATCH(Index_Match!$E237,Sheet1!$A:$A,0),MATCH(Index_Match!F$1,Sheet1!$A$1:$J$1,0)))</f>
        <v>Female</v>
      </c>
      <c r="G237" s="20" t="str">
        <f>IF(ISBLANK($E237),"",INDEX(Sheet1!$A:$J,MATCH(Index_Match!$E237,Sheet1!$A:$A,0),MATCH(Index_Match!G$1,Sheet1!$A$1:$J$1,0)))</f>
        <v>Aeroplane Pilot</v>
      </c>
      <c r="H237" s="20" t="str">
        <f>IF(ISBLANK($E237),"",INDEX(Sheet1!$A:$J,MATCH(Index_Match!$E237,Sheet1!$A:$A,0),MATCH(Index_Match!H$1,Sheet1!$A$1:$J$1,0)))</f>
        <v>Married</v>
      </c>
      <c r="I237" s="23">
        <f>IF(ISBLANK($E237),"",INDEX(Sheet1!$A:$J,MATCH(Index_Match!$E237,Sheet1!$A:$A,0),MATCH(Index_Match!I$1,Sheet1!$A$1:$J$1,0)))</f>
        <v>4</v>
      </c>
      <c r="J237" s="20" t="str">
        <f>IF(ISBLANK($E237),"",INDEX(Sheet1!$A:$J,MATCH(Index_Match!$E237,Sheet1!$A:$A,0),MATCH(Index_Match!J$1,Sheet1!$A$1:$J$1,0)))</f>
        <v>Carina Williams</v>
      </c>
      <c r="K237" s="23">
        <f>IF(ISBLANK($E237),"",INDEX(Sheet1!$A:$J,MATCH(Index_Match!$E237,Sheet1!$A:$A,0),MATCH(Index_Match!K$1,Sheet1!$A$1:$J$1,0)))</f>
        <v>4</v>
      </c>
      <c r="L237" s="20" t="str">
        <f>IF(ISBLANK($E237),"",INDEX(Sheet1!$A:$J,MATCH(Index_Match!$E237,Sheet1!$A:$A,0),MATCH(Index_Match!L$1,Sheet1!$A$1:$J$1,0)))</f>
        <v>Williams</v>
      </c>
      <c r="M237" s="20" t="str">
        <f>IF(ISBLANK($E237),"",INDEX(Sheet1!$A:$J,MATCH(Index_Match!$E237,Sheet1!$A:$A,0),MATCH(Index_Match!M$1,Sheet1!$A$1:$J$1,0)))</f>
        <v>Young</v>
      </c>
    </row>
    <row r="238" spans="2:13" x14ac:dyDescent="0.25">
      <c r="B238" s="20"/>
      <c r="C238" s="20"/>
      <c r="D238" s="20"/>
      <c r="E238" s="20" t="str">
        <v>Honey</v>
      </c>
      <c r="F238" s="20" t="str">
        <f>IF(ISBLANK($E238),"",INDEX(Sheet1!$A:$J,MATCH(Index_Match!$E238,Sheet1!$A:$A,0),MATCH(Index_Match!F$1,Sheet1!$A$1:$J$1,0)))</f>
        <v>Female</v>
      </c>
      <c r="G238" s="20" t="str">
        <f>IF(ISBLANK($E238),"",INDEX(Sheet1!$A:$J,MATCH(Index_Match!$E238,Sheet1!$A:$A,0),MATCH(Index_Match!G$1,Sheet1!$A$1:$J$1,0)))</f>
        <v>Photographer</v>
      </c>
      <c r="H238" s="20" t="str">
        <f>IF(ISBLANK($E238),"",INDEX(Sheet1!$A:$J,MATCH(Index_Match!$E238,Sheet1!$A:$A,0),MATCH(Index_Match!H$1,Sheet1!$A$1:$J$1,0)))</f>
        <v>Single</v>
      </c>
      <c r="I238" s="23">
        <f>IF(ISBLANK($E238),"",INDEX(Sheet1!$A:$J,MATCH(Index_Match!$E238,Sheet1!$A:$A,0),MATCH(Index_Match!I$1,Sheet1!$A$1:$J$1,0)))</f>
        <v>5</v>
      </c>
      <c r="J238" s="20" t="str">
        <f>IF(ISBLANK($E238),"",INDEX(Sheet1!$A:$J,MATCH(Index_Match!$E238,Sheet1!$A:$A,0),MATCH(Index_Match!J$1,Sheet1!$A$1:$J$1,0)))</f>
        <v>Honey Turner</v>
      </c>
      <c r="K238" s="23">
        <f>IF(ISBLANK($E238),"",INDEX(Sheet1!$A:$J,MATCH(Index_Match!$E238,Sheet1!$A:$A,0),MATCH(Index_Match!K$1,Sheet1!$A$1:$J$1,0)))</f>
        <v>5</v>
      </c>
      <c r="L238" s="20" t="str">
        <f>IF(ISBLANK($E238),"",INDEX(Sheet1!$A:$J,MATCH(Index_Match!$E238,Sheet1!$A:$A,0),MATCH(Index_Match!L$1,Sheet1!$A$1:$J$1,0)))</f>
        <v>Turner</v>
      </c>
      <c r="M238" s="20" t="str">
        <f>IF(ISBLANK($E238),"",INDEX(Sheet1!$A:$J,MATCH(Index_Match!$E238,Sheet1!$A:$A,0),MATCH(Index_Match!M$1,Sheet1!$A$1:$J$1,0)))</f>
        <v>Old</v>
      </c>
    </row>
    <row r="239" spans="2:13" x14ac:dyDescent="0.25">
      <c r="B239" s="20"/>
      <c r="C239" s="20"/>
      <c r="D239" s="20"/>
      <c r="E239" s="20" t="str">
        <v>Amelia</v>
      </c>
      <c r="F239" s="20" t="str">
        <f>IF(ISBLANK($E239),"",INDEX(Sheet1!$A:$J,MATCH(Index_Match!$E239,Sheet1!$A:$A,0),MATCH(Index_Match!F$1,Sheet1!$A$1:$J$1,0)))</f>
        <v>Female</v>
      </c>
      <c r="G239" s="20" t="str">
        <f>IF(ISBLANK($E239),"",INDEX(Sheet1!$A:$J,MATCH(Index_Match!$E239,Sheet1!$A:$A,0),MATCH(Index_Match!G$1,Sheet1!$A$1:$J$1,0)))</f>
        <v>Scientist</v>
      </c>
      <c r="H239" s="20" t="str">
        <f>IF(ISBLANK($E239),"",INDEX(Sheet1!$A:$J,MATCH(Index_Match!$E239,Sheet1!$A:$A,0),MATCH(Index_Match!H$1,Sheet1!$A$1:$J$1,0)))</f>
        <v>Single</v>
      </c>
      <c r="I239" s="23">
        <f>IF(ISBLANK($E239),"",INDEX(Sheet1!$A:$J,MATCH(Index_Match!$E239,Sheet1!$A:$A,0),MATCH(Index_Match!I$1,Sheet1!$A$1:$J$1,0)))</f>
        <v>2</v>
      </c>
      <c r="J239" s="20" t="str">
        <f>IF(ISBLANK($E239),"",INDEX(Sheet1!$A:$J,MATCH(Index_Match!$E239,Sheet1!$A:$A,0),MATCH(Index_Match!J$1,Sheet1!$A$1:$J$1,0)))</f>
        <v>Amelia Craig</v>
      </c>
      <c r="K239" s="23">
        <f>IF(ISBLANK($E239),"",INDEX(Sheet1!$A:$J,MATCH(Index_Match!$E239,Sheet1!$A:$A,0),MATCH(Index_Match!K$1,Sheet1!$A$1:$J$1,0)))</f>
        <v>2</v>
      </c>
      <c r="L239" s="20" t="str">
        <f>IF(ISBLANK($E239),"",INDEX(Sheet1!$A:$J,MATCH(Index_Match!$E239,Sheet1!$A:$A,0),MATCH(Index_Match!L$1,Sheet1!$A$1:$J$1,0)))</f>
        <v>Craig</v>
      </c>
      <c r="M239" s="20" t="str">
        <f>IF(ISBLANK($E239),"",INDEX(Sheet1!$A:$J,MATCH(Index_Match!$E239,Sheet1!$A:$A,0),MATCH(Index_Match!M$1,Sheet1!$A$1:$J$1,0)))</f>
        <v>Old</v>
      </c>
    </row>
    <row r="240" spans="2:13" x14ac:dyDescent="0.25">
      <c r="B240" s="20"/>
      <c r="C240" s="20"/>
      <c r="D240" s="20"/>
      <c r="E240" s="20" t="str">
        <v>Rosie</v>
      </c>
      <c r="F240" s="20" t="str">
        <f>IF(ISBLANK($E240),"",INDEX(Sheet1!$A:$J,MATCH(Index_Match!$E240,Sheet1!$A:$A,0),MATCH(Index_Match!F$1,Sheet1!$A$1:$J$1,0)))</f>
        <v>Female</v>
      </c>
      <c r="G240" s="20" t="str">
        <f>IF(ISBLANK($E240),"",INDEX(Sheet1!$A:$J,MATCH(Index_Match!$E240,Sheet1!$A:$A,0),MATCH(Index_Match!G$1,Sheet1!$A$1:$J$1,0)))</f>
        <v>Baker</v>
      </c>
      <c r="H240" s="20" t="str">
        <f>IF(ISBLANK($E240),"",INDEX(Sheet1!$A:$J,MATCH(Index_Match!$E240,Sheet1!$A:$A,0),MATCH(Index_Match!H$1,Sheet1!$A$1:$J$1,0)))</f>
        <v>Single</v>
      </c>
      <c r="I240" s="23">
        <f>IF(ISBLANK($E240),"",INDEX(Sheet1!$A:$J,MATCH(Index_Match!$E240,Sheet1!$A:$A,0),MATCH(Index_Match!I$1,Sheet1!$A$1:$J$1,0)))</f>
        <v>2</v>
      </c>
      <c r="J240" s="20" t="str">
        <f>IF(ISBLANK($E240),"",INDEX(Sheet1!$A:$J,MATCH(Index_Match!$E240,Sheet1!$A:$A,0),MATCH(Index_Match!J$1,Sheet1!$A$1:$J$1,0)))</f>
        <v>Rosie Moore</v>
      </c>
      <c r="K240" s="23">
        <f>IF(ISBLANK($E240),"",INDEX(Sheet1!$A:$J,MATCH(Index_Match!$E240,Sheet1!$A:$A,0),MATCH(Index_Match!K$1,Sheet1!$A$1:$J$1,0)))</f>
        <v>2</v>
      </c>
      <c r="L240" s="20" t="str">
        <f>IF(ISBLANK($E240),"",INDEX(Sheet1!$A:$J,MATCH(Index_Match!$E240,Sheet1!$A:$A,0),MATCH(Index_Match!L$1,Sheet1!$A$1:$J$1,0)))</f>
        <v>Moore</v>
      </c>
      <c r="M240" s="20" t="str">
        <f>IF(ISBLANK($E240),"",INDEX(Sheet1!$A:$J,MATCH(Index_Match!$E240,Sheet1!$A:$A,0),MATCH(Index_Match!M$1,Sheet1!$A$1:$J$1,0)))</f>
        <v>Old</v>
      </c>
    </row>
    <row r="241" spans="2:13" x14ac:dyDescent="0.25">
      <c r="B241" s="20"/>
      <c r="C241" s="20"/>
      <c r="D241" s="20"/>
      <c r="E241" s="20" t="str">
        <v>Victoria</v>
      </c>
      <c r="F241" s="20" t="str">
        <f>IF(ISBLANK($E241),"",INDEX(Sheet1!$A:$J,MATCH(Index_Match!$E241,Sheet1!$A:$A,0),MATCH(Index_Match!F$1,Sheet1!$A$1:$J$1,0)))</f>
        <v>Female</v>
      </c>
      <c r="G241" s="20" t="str">
        <f>IF(ISBLANK($E241),"",INDEX(Sheet1!$A:$J,MATCH(Index_Match!$E241,Sheet1!$A:$A,0),MATCH(Index_Match!G$1,Sheet1!$A$1:$J$1,0)))</f>
        <v>Salesman</v>
      </c>
      <c r="H241" s="20" t="str">
        <f>IF(ISBLANK($E241),"",INDEX(Sheet1!$A:$J,MATCH(Index_Match!$E241,Sheet1!$A:$A,0),MATCH(Index_Match!H$1,Sheet1!$A$1:$J$1,0)))</f>
        <v>Married</v>
      </c>
      <c r="I241" s="23">
        <f>IF(ISBLANK($E241),"",INDEX(Sheet1!$A:$J,MATCH(Index_Match!$E241,Sheet1!$A:$A,0),MATCH(Index_Match!I$1,Sheet1!$A$1:$J$1,0)))</f>
        <v>3</v>
      </c>
      <c r="J241" s="20" t="str">
        <f>IF(ISBLANK($E241),"",INDEX(Sheet1!$A:$J,MATCH(Index_Match!$E241,Sheet1!$A:$A,0),MATCH(Index_Match!J$1,Sheet1!$A$1:$J$1,0)))</f>
        <v>Victoria Foster</v>
      </c>
      <c r="K241" s="23">
        <f>IF(ISBLANK($E241),"",INDEX(Sheet1!$A:$J,MATCH(Index_Match!$E241,Sheet1!$A:$A,0),MATCH(Index_Match!K$1,Sheet1!$A$1:$J$1,0)))</f>
        <v>3</v>
      </c>
      <c r="L241" s="20" t="str">
        <f>IF(ISBLANK($E241),"",INDEX(Sheet1!$A:$J,MATCH(Index_Match!$E241,Sheet1!$A:$A,0),MATCH(Index_Match!L$1,Sheet1!$A$1:$J$1,0)))</f>
        <v>Foster</v>
      </c>
      <c r="M241" s="20" t="str">
        <f>IF(ISBLANK($E241),"",INDEX(Sheet1!$A:$J,MATCH(Index_Match!$E241,Sheet1!$A:$A,0),MATCH(Index_Match!M$1,Sheet1!$A$1:$J$1,0)))</f>
        <v>Young</v>
      </c>
    </row>
    <row r="242" spans="2:13" x14ac:dyDescent="0.25">
      <c r="B242" s="20"/>
      <c r="C242" s="20"/>
      <c r="D242" s="20"/>
      <c r="E242" s="20" t="str">
        <v>Amelia</v>
      </c>
      <c r="F242" s="20" t="str">
        <f>IF(ISBLANK($E242),"",INDEX(Sheet1!$A:$J,MATCH(Index_Match!$E242,Sheet1!$A:$A,0),MATCH(Index_Match!F$1,Sheet1!$A$1:$J$1,0)))</f>
        <v>Female</v>
      </c>
      <c r="G242" s="20" t="str">
        <f>IF(ISBLANK($E242),"",INDEX(Sheet1!$A:$J,MATCH(Index_Match!$E242,Sheet1!$A:$A,0),MATCH(Index_Match!G$1,Sheet1!$A$1:$J$1,0)))</f>
        <v>Scientist</v>
      </c>
      <c r="H242" s="20" t="str">
        <f>IF(ISBLANK($E242),"",INDEX(Sheet1!$A:$J,MATCH(Index_Match!$E242,Sheet1!$A:$A,0),MATCH(Index_Match!H$1,Sheet1!$A$1:$J$1,0)))</f>
        <v>Single</v>
      </c>
      <c r="I242" s="23">
        <f>IF(ISBLANK($E242),"",INDEX(Sheet1!$A:$J,MATCH(Index_Match!$E242,Sheet1!$A:$A,0),MATCH(Index_Match!I$1,Sheet1!$A$1:$J$1,0)))</f>
        <v>2</v>
      </c>
      <c r="J242" s="20" t="str">
        <f>IF(ISBLANK($E242),"",INDEX(Sheet1!$A:$J,MATCH(Index_Match!$E242,Sheet1!$A:$A,0),MATCH(Index_Match!J$1,Sheet1!$A$1:$J$1,0)))</f>
        <v>Amelia Craig</v>
      </c>
      <c r="K242" s="23">
        <f>IF(ISBLANK($E242),"",INDEX(Sheet1!$A:$J,MATCH(Index_Match!$E242,Sheet1!$A:$A,0),MATCH(Index_Match!K$1,Sheet1!$A$1:$J$1,0)))</f>
        <v>2</v>
      </c>
      <c r="L242" s="20" t="str">
        <f>IF(ISBLANK($E242),"",INDEX(Sheet1!$A:$J,MATCH(Index_Match!$E242,Sheet1!$A:$A,0),MATCH(Index_Match!L$1,Sheet1!$A$1:$J$1,0)))</f>
        <v>Craig</v>
      </c>
      <c r="M242" s="20" t="str">
        <f>IF(ISBLANK($E242),"",INDEX(Sheet1!$A:$J,MATCH(Index_Match!$E242,Sheet1!$A:$A,0),MATCH(Index_Match!M$1,Sheet1!$A$1:$J$1,0)))</f>
        <v>Old</v>
      </c>
    </row>
    <row r="243" spans="2:13" x14ac:dyDescent="0.25">
      <c r="B243" s="20"/>
      <c r="C243" s="20"/>
      <c r="D243" s="20"/>
      <c r="E243" s="20" t="str">
        <v>Amelia</v>
      </c>
      <c r="F243" s="20" t="str">
        <f>IF(ISBLANK($E243),"",INDEX(Sheet1!$A:$J,MATCH(Index_Match!$E243,Sheet1!$A:$A,0),MATCH(Index_Match!F$1,Sheet1!$A$1:$J$1,0)))</f>
        <v>Female</v>
      </c>
      <c r="G243" s="20" t="str">
        <f>IF(ISBLANK($E243),"",INDEX(Sheet1!$A:$J,MATCH(Index_Match!$E243,Sheet1!$A:$A,0),MATCH(Index_Match!G$1,Sheet1!$A$1:$J$1,0)))</f>
        <v>Scientist</v>
      </c>
      <c r="H243" s="20" t="str">
        <f>IF(ISBLANK($E243),"",INDEX(Sheet1!$A:$J,MATCH(Index_Match!$E243,Sheet1!$A:$A,0),MATCH(Index_Match!H$1,Sheet1!$A$1:$J$1,0)))</f>
        <v>Single</v>
      </c>
      <c r="I243" s="23">
        <f>IF(ISBLANK($E243),"",INDEX(Sheet1!$A:$J,MATCH(Index_Match!$E243,Sheet1!$A:$A,0),MATCH(Index_Match!I$1,Sheet1!$A$1:$J$1,0)))</f>
        <v>2</v>
      </c>
      <c r="J243" s="20" t="str">
        <f>IF(ISBLANK($E243),"",INDEX(Sheet1!$A:$J,MATCH(Index_Match!$E243,Sheet1!$A:$A,0),MATCH(Index_Match!J$1,Sheet1!$A$1:$J$1,0)))</f>
        <v>Amelia Craig</v>
      </c>
      <c r="K243" s="23">
        <f>IF(ISBLANK($E243),"",INDEX(Sheet1!$A:$J,MATCH(Index_Match!$E243,Sheet1!$A:$A,0),MATCH(Index_Match!K$1,Sheet1!$A$1:$J$1,0)))</f>
        <v>2</v>
      </c>
      <c r="L243" s="20" t="str">
        <f>IF(ISBLANK($E243),"",INDEX(Sheet1!$A:$J,MATCH(Index_Match!$E243,Sheet1!$A:$A,0),MATCH(Index_Match!L$1,Sheet1!$A$1:$J$1,0)))</f>
        <v>Craig</v>
      </c>
      <c r="M243" s="20" t="str">
        <f>IF(ISBLANK($E243),"",INDEX(Sheet1!$A:$J,MATCH(Index_Match!$E243,Sheet1!$A:$A,0),MATCH(Index_Match!M$1,Sheet1!$A$1:$J$1,0)))</f>
        <v>Old</v>
      </c>
    </row>
    <row r="244" spans="2:13" x14ac:dyDescent="0.25">
      <c r="B244" s="20"/>
      <c r="C244" s="20"/>
      <c r="D244" s="20"/>
      <c r="E244" s="20" t="str">
        <v>Alina</v>
      </c>
      <c r="F244" s="20" t="str">
        <f>IF(ISBLANK($E244),"",INDEX(Sheet1!$A:$J,MATCH(Index_Match!$E244,Sheet1!$A:$A,0),MATCH(Index_Match!F$1,Sheet1!$A$1:$J$1,0)))</f>
        <v>Female</v>
      </c>
      <c r="G244" s="20" t="str">
        <f>IF(ISBLANK($E244),"",INDEX(Sheet1!$A:$J,MATCH(Index_Match!$E244,Sheet1!$A:$A,0),MATCH(Index_Match!G$1,Sheet1!$A$1:$J$1,0)))</f>
        <v>Engineer</v>
      </c>
      <c r="H244" s="20" t="str">
        <f>IF(ISBLANK($E244),"",INDEX(Sheet1!$A:$J,MATCH(Index_Match!$E244,Sheet1!$A:$A,0),MATCH(Index_Match!H$1,Sheet1!$A$1:$J$1,0)))</f>
        <v>Single</v>
      </c>
      <c r="I244" s="23">
        <f>IF(ISBLANK($E244),"",INDEX(Sheet1!$A:$J,MATCH(Index_Match!$E244,Sheet1!$A:$A,0),MATCH(Index_Match!I$1,Sheet1!$A$1:$J$1,0)))</f>
        <v>0</v>
      </c>
      <c r="J244" s="20" t="str">
        <f>IF(ISBLANK($E244),"",INDEX(Sheet1!$A:$J,MATCH(Index_Match!$E244,Sheet1!$A:$A,0),MATCH(Index_Match!J$1,Sheet1!$A$1:$J$1,0)))</f>
        <v>Alina Russell</v>
      </c>
      <c r="K244" s="23">
        <f>IF(ISBLANK($E244),"",INDEX(Sheet1!$A:$J,MATCH(Index_Match!$E244,Sheet1!$A:$A,0),MATCH(Index_Match!K$1,Sheet1!$A$1:$J$1,0)))</f>
        <v>0</v>
      </c>
      <c r="L244" s="20" t="str">
        <f>IF(ISBLANK($E244),"",INDEX(Sheet1!$A:$J,MATCH(Index_Match!$E244,Sheet1!$A:$A,0),MATCH(Index_Match!L$1,Sheet1!$A$1:$J$1,0)))</f>
        <v>Russell</v>
      </c>
      <c r="M244" s="20" t="str">
        <f>IF(ISBLANK($E244),"",INDEX(Sheet1!$A:$J,MATCH(Index_Match!$E244,Sheet1!$A:$A,0),MATCH(Index_Match!M$1,Sheet1!$A$1:$J$1,0)))</f>
        <v>Old</v>
      </c>
    </row>
    <row r="245" spans="2:13" x14ac:dyDescent="0.25">
      <c r="B245" s="20"/>
      <c r="C245" s="20"/>
      <c r="D245" s="20"/>
      <c r="E245" s="20" t="str">
        <v>Maya</v>
      </c>
      <c r="F245" s="20" t="str">
        <f>IF(ISBLANK($E245),"",INDEX(Sheet1!$A:$J,MATCH(Index_Match!$E245,Sheet1!$A:$A,0),MATCH(Index_Match!F$1,Sheet1!$A$1:$J$1,0)))</f>
        <v>Female</v>
      </c>
      <c r="G245" s="20" t="str">
        <f>IF(ISBLANK($E245),"",INDEX(Sheet1!$A:$J,MATCH(Index_Match!$E245,Sheet1!$A:$A,0),MATCH(Index_Match!G$1,Sheet1!$A$1:$J$1,0)))</f>
        <v>Architect</v>
      </c>
      <c r="H245" s="20" t="str">
        <f>IF(ISBLANK($E245),"",INDEX(Sheet1!$A:$J,MATCH(Index_Match!$E245,Sheet1!$A:$A,0),MATCH(Index_Match!H$1,Sheet1!$A$1:$J$1,0)))</f>
        <v>Married</v>
      </c>
      <c r="I245" s="23">
        <f>IF(ISBLANK($E245),"",INDEX(Sheet1!$A:$J,MATCH(Index_Match!$E245,Sheet1!$A:$A,0),MATCH(Index_Match!I$1,Sheet1!$A$1:$J$1,0)))</f>
        <v>3</v>
      </c>
      <c r="J245" s="20" t="str">
        <f>IF(ISBLANK($E245),"",INDEX(Sheet1!$A:$J,MATCH(Index_Match!$E245,Sheet1!$A:$A,0),MATCH(Index_Match!J$1,Sheet1!$A$1:$J$1,0)))</f>
        <v>Maya Mitchell</v>
      </c>
      <c r="K245" s="23">
        <f>IF(ISBLANK($E245),"",INDEX(Sheet1!$A:$J,MATCH(Index_Match!$E245,Sheet1!$A:$A,0),MATCH(Index_Match!K$1,Sheet1!$A$1:$J$1,0)))</f>
        <v>3</v>
      </c>
      <c r="L245" s="20" t="str">
        <f>IF(ISBLANK($E245),"",INDEX(Sheet1!$A:$J,MATCH(Index_Match!$E245,Sheet1!$A:$A,0),MATCH(Index_Match!L$1,Sheet1!$A$1:$J$1,0)))</f>
        <v>Mitchell</v>
      </c>
      <c r="M245" s="20" t="str">
        <f>IF(ISBLANK($E245),"",INDEX(Sheet1!$A:$J,MATCH(Index_Match!$E245,Sheet1!$A:$A,0),MATCH(Index_Match!M$1,Sheet1!$A$1:$J$1,0)))</f>
        <v>Middle Age</v>
      </c>
    </row>
    <row r="246" spans="2:13" x14ac:dyDescent="0.25">
      <c r="B246" s="20"/>
      <c r="C246" s="20"/>
      <c r="D246" s="20"/>
      <c r="E246" s="20" t="str">
        <v>Julia</v>
      </c>
      <c r="F246" s="20" t="str">
        <f>IF(ISBLANK($E246),"",INDEX(Sheet1!$A:$J,MATCH(Index_Match!$E246,Sheet1!$A:$A,0),MATCH(Index_Match!F$1,Sheet1!$A$1:$J$1,0)))</f>
        <v>Female</v>
      </c>
      <c r="G246" s="20" t="str">
        <f>IF(ISBLANK($E246),"",INDEX(Sheet1!$A:$J,MATCH(Index_Match!$E246,Sheet1!$A:$A,0),MATCH(Index_Match!G$1,Sheet1!$A$1:$J$1,0)))</f>
        <v>Interpreter</v>
      </c>
      <c r="H246" s="20" t="str">
        <f>IF(ISBLANK($E246),"",INDEX(Sheet1!$A:$J,MATCH(Index_Match!$E246,Sheet1!$A:$A,0),MATCH(Index_Match!H$1,Sheet1!$A$1:$J$1,0)))</f>
        <v>Single</v>
      </c>
      <c r="I246" s="23">
        <f>IF(ISBLANK($E246),"",INDEX(Sheet1!$A:$J,MATCH(Index_Match!$E246,Sheet1!$A:$A,0),MATCH(Index_Match!I$1,Sheet1!$A$1:$J$1,0)))</f>
        <v>5</v>
      </c>
      <c r="J246" s="20" t="str">
        <f>IF(ISBLANK($E246),"",INDEX(Sheet1!$A:$J,MATCH(Index_Match!$E246,Sheet1!$A:$A,0),MATCH(Index_Match!J$1,Sheet1!$A$1:$J$1,0)))</f>
        <v>Julia Harrison</v>
      </c>
      <c r="K246" s="23">
        <f>IF(ISBLANK($E246),"",INDEX(Sheet1!$A:$J,MATCH(Index_Match!$E246,Sheet1!$A:$A,0),MATCH(Index_Match!K$1,Sheet1!$A$1:$J$1,0)))</f>
        <v>5</v>
      </c>
      <c r="L246" s="20" t="str">
        <f>IF(ISBLANK($E246),"",INDEX(Sheet1!$A:$J,MATCH(Index_Match!$E246,Sheet1!$A:$A,0),MATCH(Index_Match!L$1,Sheet1!$A$1:$J$1,0)))</f>
        <v>Harrison</v>
      </c>
      <c r="M246" s="20" t="str">
        <f>IF(ISBLANK($E246),"",INDEX(Sheet1!$A:$J,MATCH(Index_Match!$E246,Sheet1!$A:$A,0),MATCH(Index_Match!M$1,Sheet1!$A$1:$J$1,0)))</f>
        <v>Young</v>
      </c>
    </row>
    <row r="247" spans="2:13" x14ac:dyDescent="0.25">
      <c r="B247" s="20"/>
      <c r="C247" s="20"/>
      <c r="D247" s="20"/>
      <c r="E247" s="20" t="str">
        <v>Madaline</v>
      </c>
      <c r="F247" s="20" t="str">
        <f>IF(ISBLANK($E247),"",INDEX(Sheet1!$A:$J,MATCH(Index_Match!$E247,Sheet1!$A:$A,0),MATCH(Index_Match!F$1,Sheet1!$A$1:$J$1,0)))</f>
        <v>Female</v>
      </c>
      <c r="G247" s="20" t="str">
        <f>IF(ISBLANK($E247),"",INDEX(Sheet1!$A:$J,MATCH(Index_Match!$E247,Sheet1!$A:$A,0),MATCH(Index_Match!G$1,Sheet1!$A$1:$J$1,0)))</f>
        <v>Medic</v>
      </c>
      <c r="H247" s="20" t="str">
        <f>IF(ISBLANK($E247),"",INDEX(Sheet1!$A:$J,MATCH(Index_Match!$E247,Sheet1!$A:$A,0),MATCH(Index_Match!H$1,Sheet1!$A$1:$J$1,0)))</f>
        <v>Married</v>
      </c>
      <c r="I247" s="23">
        <f>IF(ISBLANK($E247),"",INDEX(Sheet1!$A:$J,MATCH(Index_Match!$E247,Sheet1!$A:$A,0),MATCH(Index_Match!I$1,Sheet1!$A$1:$J$1,0)))</f>
        <v>2</v>
      </c>
      <c r="J247" s="20" t="str">
        <f>IF(ISBLANK($E247),"",INDEX(Sheet1!$A:$J,MATCH(Index_Match!$E247,Sheet1!$A:$A,0),MATCH(Index_Match!J$1,Sheet1!$A$1:$J$1,0)))</f>
        <v>Madaline Grant</v>
      </c>
      <c r="K247" s="23">
        <f>IF(ISBLANK($E247),"",INDEX(Sheet1!$A:$J,MATCH(Index_Match!$E247,Sheet1!$A:$A,0),MATCH(Index_Match!K$1,Sheet1!$A$1:$J$1,0)))</f>
        <v>2</v>
      </c>
      <c r="L247" s="20" t="str">
        <f>IF(ISBLANK($E247),"",INDEX(Sheet1!$A:$J,MATCH(Index_Match!$E247,Sheet1!$A:$A,0),MATCH(Index_Match!L$1,Sheet1!$A$1:$J$1,0)))</f>
        <v>Grant</v>
      </c>
      <c r="M247" s="20" t="str">
        <f>IF(ISBLANK($E247),"",INDEX(Sheet1!$A:$J,MATCH(Index_Match!$E247,Sheet1!$A:$A,0),MATCH(Index_Match!M$1,Sheet1!$A$1:$J$1,0)))</f>
        <v>Young</v>
      </c>
    </row>
    <row r="248" spans="2:13" x14ac:dyDescent="0.25">
      <c r="B248" s="20"/>
      <c r="C248" s="20"/>
      <c r="D248" s="20"/>
      <c r="E248" s="20" t="str">
        <v>Emily</v>
      </c>
      <c r="F248" s="20" t="str">
        <f>IF(ISBLANK($E248),"",INDEX(Sheet1!$A:$J,MATCH(Index_Match!$E248,Sheet1!$A:$A,0),MATCH(Index_Match!F$1,Sheet1!$A$1:$J$1,0)))</f>
        <v>Female</v>
      </c>
      <c r="G248" s="20" t="str">
        <f>IF(ISBLANK($E248),"",INDEX(Sheet1!$A:$J,MATCH(Index_Match!$E248,Sheet1!$A:$A,0),MATCH(Index_Match!G$1,Sheet1!$A$1:$J$1,0)))</f>
        <v>Lawyer</v>
      </c>
      <c r="H248" s="20" t="str">
        <f>IF(ISBLANK($E248),"",INDEX(Sheet1!$A:$J,MATCH(Index_Match!$E248,Sheet1!$A:$A,0),MATCH(Index_Match!H$1,Sheet1!$A$1:$J$1,0)))</f>
        <v>Single</v>
      </c>
      <c r="I248" s="23">
        <f>IF(ISBLANK($E248),"",INDEX(Sheet1!$A:$J,MATCH(Index_Match!$E248,Sheet1!$A:$A,0),MATCH(Index_Match!I$1,Sheet1!$A$1:$J$1,0)))</f>
        <v>0</v>
      </c>
      <c r="J248" s="20" t="str">
        <f>IF(ISBLANK($E248),"",INDEX(Sheet1!$A:$J,MATCH(Index_Match!$E248,Sheet1!$A:$A,0),MATCH(Index_Match!J$1,Sheet1!$A$1:$J$1,0)))</f>
        <v>Emily Chapman</v>
      </c>
      <c r="K248" s="23">
        <f>IF(ISBLANK($E248),"",INDEX(Sheet1!$A:$J,MATCH(Index_Match!$E248,Sheet1!$A:$A,0),MATCH(Index_Match!K$1,Sheet1!$A$1:$J$1,0)))</f>
        <v>0</v>
      </c>
      <c r="L248" s="20" t="str">
        <f>IF(ISBLANK($E248),"",INDEX(Sheet1!$A:$J,MATCH(Index_Match!$E248,Sheet1!$A:$A,0),MATCH(Index_Match!L$1,Sheet1!$A$1:$J$1,0)))</f>
        <v>Chapman</v>
      </c>
      <c r="M248" s="20" t="str">
        <f>IF(ISBLANK($E248),"",INDEX(Sheet1!$A:$J,MATCH(Index_Match!$E248,Sheet1!$A:$A,0),MATCH(Index_Match!M$1,Sheet1!$A$1:$J$1,0)))</f>
        <v>Middle Age</v>
      </c>
    </row>
    <row r="249" spans="2:13" x14ac:dyDescent="0.25">
      <c r="B249" s="20"/>
      <c r="C249" s="20"/>
      <c r="D249" s="20"/>
      <c r="E249" s="20" t="str">
        <v>Gianna</v>
      </c>
      <c r="F249" s="20" t="str">
        <f>IF(ISBLANK($E249),"",INDEX(Sheet1!$A:$J,MATCH(Index_Match!$E249,Sheet1!$A:$A,0),MATCH(Index_Match!F$1,Sheet1!$A$1:$J$1,0)))</f>
        <v>Female</v>
      </c>
      <c r="G249" s="20" t="str">
        <f>IF(ISBLANK($E249),"",INDEX(Sheet1!$A:$J,MATCH(Index_Match!$E249,Sheet1!$A:$A,0),MATCH(Index_Match!G$1,Sheet1!$A$1:$J$1,0)))</f>
        <v>Teacher</v>
      </c>
      <c r="H249" s="20" t="str">
        <f>IF(ISBLANK($E249),"",INDEX(Sheet1!$A:$J,MATCH(Index_Match!$E249,Sheet1!$A:$A,0),MATCH(Index_Match!H$1,Sheet1!$A$1:$J$1,0)))</f>
        <v>Single</v>
      </c>
      <c r="I249" s="23">
        <f>IF(ISBLANK($E249),"",INDEX(Sheet1!$A:$J,MATCH(Index_Match!$E249,Sheet1!$A:$A,0),MATCH(Index_Match!I$1,Sheet1!$A$1:$J$1,0)))</f>
        <v>2</v>
      </c>
      <c r="J249" s="20" t="str">
        <f>IF(ISBLANK($E249),"",INDEX(Sheet1!$A:$J,MATCH(Index_Match!$E249,Sheet1!$A:$A,0),MATCH(Index_Match!J$1,Sheet1!$A$1:$J$1,0)))</f>
        <v>Gianna West</v>
      </c>
      <c r="K249" s="23">
        <f>IF(ISBLANK($E249),"",INDEX(Sheet1!$A:$J,MATCH(Index_Match!$E249,Sheet1!$A:$A,0),MATCH(Index_Match!K$1,Sheet1!$A$1:$J$1,0)))</f>
        <v>2</v>
      </c>
      <c r="L249" s="20" t="str">
        <f>IF(ISBLANK($E249),"",INDEX(Sheet1!$A:$J,MATCH(Index_Match!$E249,Sheet1!$A:$A,0),MATCH(Index_Match!L$1,Sheet1!$A$1:$J$1,0)))</f>
        <v>West</v>
      </c>
      <c r="M249" s="20" t="str">
        <f>IF(ISBLANK($E249),"",INDEX(Sheet1!$A:$J,MATCH(Index_Match!$E249,Sheet1!$A:$A,0),MATCH(Index_Match!M$1,Sheet1!$A$1:$J$1,0)))</f>
        <v>Young</v>
      </c>
    </row>
    <row r="250" spans="2:13" x14ac:dyDescent="0.25">
      <c r="B250" s="20"/>
      <c r="C250" s="20"/>
      <c r="D250" s="20"/>
      <c r="E250" s="20" t="str">
        <v>Sienna</v>
      </c>
      <c r="F250" s="20" t="str">
        <f>IF(ISBLANK($E250),"",INDEX(Sheet1!$A:$J,MATCH(Index_Match!$E250,Sheet1!$A:$A,0),MATCH(Index_Match!F$1,Sheet1!$A$1:$J$1,0)))</f>
        <v>Female</v>
      </c>
      <c r="G250" s="20" t="str">
        <f>IF(ISBLANK($E250),"",INDEX(Sheet1!$A:$J,MATCH(Index_Match!$E250,Sheet1!$A:$A,0),MATCH(Index_Match!G$1,Sheet1!$A$1:$J$1,0)))</f>
        <v>Biochemist</v>
      </c>
      <c r="H250" s="20" t="str">
        <f>IF(ISBLANK($E250),"",INDEX(Sheet1!$A:$J,MATCH(Index_Match!$E250,Sheet1!$A:$A,0),MATCH(Index_Match!H$1,Sheet1!$A$1:$J$1,0)))</f>
        <v>Single</v>
      </c>
      <c r="I250" s="23">
        <f>IF(ISBLANK($E250),"",INDEX(Sheet1!$A:$J,MATCH(Index_Match!$E250,Sheet1!$A:$A,0),MATCH(Index_Match!I$1,Sheet1!$A$1:$J$1,0)))</f>
        <v>1</v>
      </c>
      <c r="J250" s="20" t="str">
        <f>IF(ISBLANK($E250),"",INDEX(Sheet1!$A:$J,MATCH(Index_Match!$E250,Sheet1!$A:$A,0),MATCH(Index_Match!J$1,Sheet1!$A$1:$J$1,0)))</f>
        <v>Sienna Baker</v>
      </c>
      <c r="K250" s="23">
        <f>IF(ISBLANK($E250),"",INDEX(Sheet1!$A:$J,MATCH(Index_Match!$E250,Sheet1!$A:$A,0),MATCH(Index_Match!K$1,Sheet1!$A$1:$J$1,0)))</f>
        <v>1</v>
      </c>
      <c r="L250" s="20" t="str">
        <f>IF(ISBLANK($E250),"",INDEX(Sheet1!$A:$J,MATCH(Index_Match!$E250,Sheet1!$A:$A,0),MATCH(Index_Match!L$1,Sheet1!$A$1:$J$1,0)))</f>
        <v>Baker</v>
      </c>
      <c r="M250" s="20" t="str">
        <f>IF(ISBLANK($E250),"",INDEX(Sheet1!$A:$J,MATCH(Index_Match!$E250,Sheet1!$A:$A,0),MATCH(Index_Match!M$1,Sheet1!$A$1:$J$1,0)))</f>
        <v>Young</v>
      </c>
    </row>
    <row r="251" spans="2:13" x14ac:dyDescent="0.25">
      <c r="B251" s="20"/>
      <c r="C251" s="20"/>
      <c r="D251" s="20"/>
      <c r="E251" s="20" t="str">
        <v>Tara</v>
      </c>
      <c r="F251" s="20" t="str">
        <f>IF(ISBLANK($E251),"",INDEX(Sheet1!$A:$J,MATCH(Index_Match!$E251,Sheet1!$A:$A,0),MATCH(Index_Match!F$1,Sheet1!$A$1:$J$1,0)))</f>
        <v>Female</v>
      </c>
      <c r="G251" s="20" t="str">
        <f>IF(ISBLANK($E251),"",INDEX(Sheet1!$A:$J,MATCH(Index_Match!$E251,Sheet1!$A:$A,0),MATCH(Index_Match!G$1,Sheet1!$A$1:$J$1,0)))</f>
        <v>Jeweller</v>
      </c>
      <c r="H251" s="20" t="str">
        <f>IF(ISBLANK($E251),"",INDEX(Sheet1!$A:$J,MATCH(Index_Match!$E251,Sheet1!$A:$A,0),MATCH(Index_Match!H$1,Sheet1!$A$1:$J$1,0)))</f>
        <v>Married</v>
      </c>
      <c r="I251" s="23">
        <f>IF(ISBLANK($E251),"",INDEX(Sheet1!$A:$J,MATCH(Index_Match!$E251,Sheet1!$A:$A,0),MATCH(Index_Match!I$1,Sheet1!$A$1:$J$1,0)))</f>
        <v>4</v>
      </c>
      <c r="J251" s="20" t="str">
        <f>IF(ISBLANK($E251),"",INDEX(Sheet1!$A:$J,MATCH(Index_Match!$E251,Sheet1!$A:$A,0),MATCH(Index_Match!J$1,Sheet1!$A$1:$J$1,0)))</f>
        <v>Tara Brown</v>
      </c>
      <c r="K251" s="23">
        <f>IF(ISBLANK($E251),"",INDEX(Sheet1!$A:$J,MATCH(Index_Match!$E251,Sheet1!$A:$A,0),MATCH(Index_Match!K$1,Sheet1!$A$1:$J$1,0)))</f>
        <v>4</v>
      </c>
      <c r="L251" s="20" t="str">
        <f>IF(ISBLANK($E251),"",INDEX(Sheet1!$A:$J,MATCH(Index_Match!$E251,Sheet1!$A:$A,0),MATCH(Index_Match!L$1,Sheet1!$A$1:$J$1,0)))</f>
        <v>Brown</v>
      </c>
      <c r="M251" s="20" t="str">
        <f>IF(ISBLANK($E251),"",INDEX(Sheet1!$A:$J,MATCH(Index_Match!$E251,Sheet1!$A:$A,0),MATCH(Index_Match!M$1,Sheet1!$A$1:$J$1,0)))</f>
        <v>Young</v>
      </c>
    </row>
    <row r="252" spans="2:13" x14ac:dyDescent="0.25">
      <c r="B252" s="20"/>
      <c r="C252" s="20"/>
      <c r="D252" s="20"/>
      <c r="E252" s="20" t="str">
        <v>Lily</v>
      </c>
      <c r="F252" s="20" t="str">
        <f>IF(ISBLANK($E252),"",INDEX(Sheet1!$A:$J,MATCH(Index_Match!$E252,Sheet1!$A:$A,0),MATCH(Index_Match!F$1,Sheet1!$A$1:$J$1,0)))</f>
        <v>Female</v>
      </c>
      <c r="G252" s="20" t="str">
        <f>IF(ISBLANK($E252),"",INDEX(Sheet1!$A:$J,MATCH(Index_Match!$E252,Sheet1!$A:$A,0),MATCH(Index_Match!G$1,Sheet1!$A$1:$J$1,0)))</f>
        <v>Actor</v>
      </c>
      <c r="H252" s="20" t="str">
        <f>IF(ISBLANK($E252),"",INDEX(Sheet1!$A:$J,MATCH(Index_Match!$E252,Sheet1!$A:$A,0),MATCH(Index_Match!H$1,Sheet1!$A$1:$J$1,0)))</f>
        <v>Single</v>
      </c>
      <c r="I252" s="23">
        <f>IF(ISBLANK($E252),"",INDEX(Sheet1!$A:$J,MATCH(Index_Match!$E252,Sheet1!$A:$A,0),MATCH(Index_Match!I$1,Sheet1!$A$1:$J$1,0)))</f>
        <v>5</v>
      </c>
      <c r="J252" s="20" t="str">
        <f>IF(ISBLANK($E252),"",INDEX(Sheet1!$A:$J,MATCH(Index_Match!$E252,Sheet1!$A:$A,0),MATCH(Index_Match!J$1,Sheet1!$A$1:$J$1,0)))</f>
        <v>Lily Henderson</v>
      </c>
      <c r="K252" s="23">
        <f>IF(ISBLANK($E252),"",INDEX(Sheet1!$A:$J,MATCH(Index_Match!$E252,Sheet1!$A:$A,0),MATCH(Index_Match!K$1,Sheet1!$A$1:$J$1,0)))</f>
        <v>5</v>
      </c>
      <c r="L252" s="20" t="str">
        <f>IF(ISBLANK($E252),"",INDEX(Sheet1!$A:$J,MATCH(Index_Match!$E252,Sheet1!$A:$A,0),MATCH(Index_Match!L$1,Sheet1!$A$1:$J$1,0)))</f>
        <v>Henderson</v>
      </c>
      <c r="M252" s="20" t="str">
        <f>IF(ISBLANK($E252),"",INDEX(Sheet1!$A:$J,MATCH(Index_Match!$E252,Sheet1!$A:$A,0),MATCH(Index_Match!M$1,Sheet1!$A$1:$J$1,0)))</f>
        <v>Middle Age</v>
      </c>
    </row>
    <row r="253" spans="2:13" x14ac:dyDescent="0.25">
      <c r="B253" s="20"/>
      <c r="C253" s="20"/>
      <c r="D253" s="20"/>
      <c r="E253" s="20" t="str">
        <v>Heather</v>
      </c>
      <c r="F253" s="20" t="str">
        <f>IF(ISBLANK($E253),"",INDEX(Sheet1!$A:$J,MATCH(Index_Match!$E253,Sheet1!$A:$A,0),MATCH(Index_Match!F$1,Sheet1!$A$1:$J$1,0)))</f>
        <v>Female</v>
      </c>
      <c r="G253" s="20" t="str">
        <f>IF(ISBLANK($E253),"",INDEX(Sheet1!$A:$J,MATCH(Index_Match!$E253,Sheet1!$A:$A,0),MATCH(Index_Match!G$1,Sheet1!$A$1:$J$1,0)))</f>
        <v>Carpenter</v>
      </c>
      <c r="H253" s="20" t="str">
        <f>IF(ISBLANK($E253),"",INDEX(Sheet1!$A:$J,MATCH(Index_Match!$E253,Sheet1!$A:$A,0),MATCH(Index_Match!H$1,Sheet1!$A$1:$J$1,0)))</f>
        <v>Single</v>
      </c>
      <c r="I253" s="23">
        <f>IF(ISBLANK($E253),"",INDEX(Sheet1!$A:$J,MATCH(Index_Match!$E253,Sheet1!$A:$A,0),MATCH(Index_Match!I$1,Sheet1!$A$1:$J$1,0)))</f>
        <v>5</v>
      </c>
      <c r="J253" s="20" t="str">
        <f>IF(ISBLANK($E253),"",INDEX(Sheet1!$A:$J,MATCH(Index_Match!$E253,Sheet1!$A:$A,0),MATCH(Index_Match!J$1,Sheet1!$A$1:$J$1,0)))</f>
        <v>Heather Perry</v>
      </c>
      <c r="K253" s="23">
        <f>IF(ISBLANK($E253),"",INDEX(Sheet1!$A:$J,MATCH(Index_Match!$E253,Sheet1!$A:$A,0),MATCH(Index_Match!K$1,Sheet1!$A$1:$J$1,0)))</f>
        <v>5</v>
      </c>
      <c r="L253" s="20" t="str">
        <f>IF(ISBLANK($E253),"",INDEX(Sheet1!$A:$J,MATCH(Index_Match!$E253,Sheet1!$A:$A,0),MATCH(Index_Match!L$1,Sheet1!$A$1:$J$1,0)))</f>
        <v>Perry</v>
      </c>
      <c r="M253" s="20" t="str">
        <f>IF(ISBLANK($E253),"",INDEX(Sheet1!$A:$J,MATCH(Index_Match!$E253,Sheet1!$A:$A,0),MATCH(Index_Match!M$1,Sheet1!$A$1:$J$1,0)))</f>
        <v>Middle Age</v>
      </c>
    </row>
    <row r="254" spans="2:13" x14ac:dyDescent="0.25">
      <c r="B254" s="20"/>
      <c r="C254" s="20"/>
      <c r="D254" s="20"/>
      <c r="E254" s="20" t="str">
        <v>Emily</v>
      </c>
      <c r="F254" s="20" t="str">
        <f>IF(ISBLANK($E254),"",INDEX(Sheet1!$A:$J,MATCH(Index_Match!$E254,Sheet1!$A:$A,0),MATCH(Index_Match!F$1,Sheet1!$A$1:$J$1,0)))</f>
        <v>Female</v>
      </c>
      <c r="G254" s="20" t="str">
        <f>IF(ISBLANK($E254),"",INDEX(Sheet1!$A:$J,MATCH(Index_Match!$E254,Sheet1!$A:$A,0),MATCH(Index_Match!G$1,Sheet1!$A$1:$J$1,0)))</f>
        <v>Lawyer</v>
      </c>
      <c r="H254" s="20" t="str">
        <f>IF(ISBLANK($E254),"",INDEX(Sheet1!$A:$J,MATCH(Index_Match!$E254,Sheet1!$A:$A,0),MATCH(Index_Match!H$1,Sheet1!$A$1:$J$1,0)))</f>
        <v>Single</v>
      </c>
      <c r="I254" s="23">
        <f>IF(ISBLANK($E254),"",INDEX(Sheet1!$A:$J,MATCH(Index_Match!$E254,Sheet1!$A:$A,0),MATCH(Index_Match!I$1,Sheet1!$A$1:$J$1,0)))</f>
        <v>0</v>
      </c>
      <c r="J254" s="20" t="str">
        <f>IF(ISBLANK($E254),"",INDEX(Sheet1!$A:$J,MATCH(Index_Match!$E254,Sheet1!$A:$A,0),MATCH(Index_Match!J$1,Sheet1!$A$1:$J$1,0)))</f>
        <v>Emily Chapman</v>
      </c>
      <c r="K254" s="23">
        <f>IF(ISBLANK($E254),"",INDEX(Sheet1!$A:$J,MATCH(Index_Match!$E254,Sheet1!$A:$A,0),MATCH(Index_Match!K$1,Sheet1!$A$1:$J$1,0)))</f>
        <v>0</v>
      </c>
      <c r="L254" s="20" t="str">
        <f>IF(ISBLANK($E254),"",INDEX(Sheet1!$A:$J,MATCH(Index_Match!$E254,Sheet1!$A:$A,0),MATCH(Index_Match!L$1,Sheet1!$A$1:$J$1,0)))</f>
        <v>Chapman</v>
      </c>
      <c r="M254" s="20" t="str">
        <f>IF(ISBLANK($E254),"",INDEX(Sheet1!$A:$J,MATCH(Index_Match!$E254,Sheet1!$A:$A,0),MATCH(Index_Match!M$1,Sheet1!$A$1:$J$1,0)))</f>
        <v>Middle Age</v>
      </c>
    </row>
    <row r="255" spans="2:13" x14ac:dyDescent="0.25">
      <c r="B255" s="20"/>
      <c r="C255" s="20"/>
      <c r="D255" s="20"/>
      <c r="E255" s="20" t="str">
        <v>Emily</v>
      </c>
      <c r="F255" s="20" t="str">
        <f>IF(ISBLANK($E255),"",INDEX(Sheet1!$A:$J,MATCH(Index_Match!$E255,Sheet1!$A:$A,0),MATCH(Index_Match!F$1,Sheet1!$A$1:$J$1,0)))</f>
        <v>Female</v>
      </c>
      <c r="G255" s="20" t="str">
        <f>IF(ISBLANK($E255),"",INDEX(Sheet1!$A:$J,MATCH(Index_Match!$E255,Sheet1!$A:$A,0),MATCH(Index_Match!G$1,Sheet1!$A$1:$J$1,0)))</f>
        <v>Lawyer</v>
      </c>
      <c r="H255" s="20" t="str">
        <f>IF(ISBLANK($E255),"",INDEX(Sheet1!$A:$J,MATCH(Index_Match!$E255,Sheet1!$A:$A,0),MATCH(Index_Match!H$1,Sheet1!$A$1:$J$1,0)))</f>
        <v>Single</v>
      </c>
      <c r="I255" s="23">
        <f>IF(ISBLANK($E255),"",INDEX(Sheet1!$A:$J,MATCH(Index_Match!$E255,Sheet1!$A:$A,0),MATCH(Index_Match!I$1,Sheet1!$A$1:$J$1,0)))</f>
        <v>0</v>
      </c>
      <c r="J255" s="20" t="str">
        <f>IF(ISBLANK($E255),"",INDEX(Sheet1!$A:$J,MATCH(Index_Match!$E255,Sheet1!$A:$A,0),MATCH(Index_Match!J$1,Sheet1!$A$1:$J$1,0)))</f>
        <v>Emily Chapman</v>
      </c>
      <c r="K255" s="23">
        <f>IF(ISBLANK($E255),"",INDEX(Sheet1!$A:$J,MATCH(Index_Match!$E255,Sheet1!$A:$A,0),MATCH(Index_Match!K$1,Sheet1!$A$1:$J$1,0)))</f>
        <v>0</v>
      </c>
      <c r="L255" s="20" t="str">
        <f>IF(ISBLANK($E255),"",INDEX(Sheet1!$A:$J,MATCH(Index_Match!$E255,Sheet1!$A:$A,0),MATCH(Index_Match!L$1,Sheet1!$A$1:$J$1,0)))</f>
        <v>Chapman</v>
      </c>
      <c r="M255" s="20" t="str">
        <f>IF(ISBLANK($E255),"",INDEX(Sheet1!$A:$J,MATCH(Index_Match!$E255,Sheet1!$A:$A,0),MATCH(Index_Match!M$1,Sheet1!$A$1:$J$1,0)))</f>
        <v>Middle Age</v>
      </c>
    </row>
    <row r="256" spans="2:13" x14ac:dyDescent="0.25">
      <c r="B256" s="20"/>
      <c r="C256" s="20"/>
      <c r="D256" s="20"/>
      <c r="E256" s="20" t="str">
        <v>Kate</v>
      </c>
      <c r="F256" s="20" t="str">
        <f>IF(ISBLANK($E256),"",INDEX(Sheet1!$A:$J,MATCH(Index_Match!$E256,Sheet1!$A:$A,0),MATCH(Index_Match!F$1,Sheet1!$A$1:$J$1,0)))</f>
        <v>Female</v>
      </c>
      <c r="G256" s="20" t="str">
        <f>IF(ISBLANK($E256),"",INDEX(Sheet1!$A:$J,MATCH(Index_Match!$E256,Sheet1!$A:$A,0),MATCH(Index_Match!G$1,Sheet1!$A$1:$J$1,0)))</f>
        <v>Astronomer</v>
      </c>
      <c r="H256" s="20" t="str">
        <f>IF(ISBLANK($E256),"",INDEX(Sheet1!$A:$J,MATCH(Index_Match!$E256,Sheet1!$A:$A,0),MATCH(Index_Match!H$1,Sheet1!$A$1:$J$1,0)))</f>
        <v>Single</v>
      </c>
      <c r="I256" s="23">
        <f>IF(ISBLANK($E256),"",INDEX(Sheet1!$A:$J,MATCH(Index_Match!$E256,Sheet1!$A:$A,0),MATCH(Index_Match!I$1,Sheet1!$A$1:$J$1,0)))</f>
        <v>1</v>
      </c>
      <c r="J256" s="20" t="str">
        <f>IF(ISBLANK($E256),"",INDEX(Sheet1!$A:$J,MATCH(Index_Match!$E256,Sheet1!$A:$A,0),MATCH(Index_Match!J$1,Sheet1!$A$1:$J$1,0)))</f>
        <v>Kate Robinson</v>
      </c>
      <c r="K256" s="23">
        <f>IF(ISBLANK($E256),"",INDEX(Sheet1!$A:$J,MATCH(Index_Match!$E256,Sheet1!$A:$A,0),MATCH(Index_Match!K$1,Sheet1!$A$1:$J$1,0)))</f>
        <v>1</v>
      </c>
      <c r="L256" s="20" t="str">
        <f>IF(ISBLANK($E256),"",INDEX(Sheet1!$A:$J,MATCH(Index_Match!$E256,Sheet1!$A:$A,0),MATCH(Index_Match!L$1,Sheet1!$A$1:$J$1,0)))</f>
        <v>Robinson</v>
      </c>
      <c r="M256" s="20" t="str">
        <f>IF(ISBLANK($E256),"",INDEX(Sheet1!$A:$J,MATCH(Index_Match!$E256,Sheet1!$A:$A,0),MATCH(Index_Match!M$1,Sheet1!$A$1:$J$1,0)))</f>
        <v>Young</v>
      </c>
    </row>
    <row r="257" spans="2:13" x14ac:dyDescent="0.25">
      <c r="B257" s="20"/>
      <c r="C257" s="20"/>
      <c r="D257" s="20"/>
      <c r="E257" s="20" t="str">
        <v>Cherry</v>
      </c>
      <c r="F257" s="20" t="str">
        <f>IF(ISBLANK($E257),"",INDEX(Sheet1!$A:$J,MATCH(Index_Match!$E257,Sheet1!$A:$A,0),MATCH(Index_Match!F$1,Sheet1!$A$1:$J$1,0)))</f>
        <v>Female</v>
      </c>
      <c r="G257" s="20" t="str">
        <f>IF(ISBLANK($E257),"",INDEX(Sheet1!$A:$J,MATCH(Index_Match!$E257,Sheet1!$A:$A,0),MATCH(Index_Match!G$1,Sheet1!$A$1:$J$1,0)))</f>
        <v>Singer</v>
      </c>
      <c r="H257" s="20" t="str">
        <f>IF(ISBLANK($E257),"",INDEX(Sheet1!$A:$J,MATCH(Index_Match!$E257,Sheet1!$A:$A,0),MATCH(Index_Match!H$1,Sheet1!$A$1:$J$1,0)))</f>
        <v>Married</v>
      </c>
      <c r="I257" s="23">
        <f>IF(ISBLANK($E257),"",INDEX(Sheet1!$A:$J,MATCH(Index_Match!$E257,Sheet1!$A:$A,0),MATCH(Index_Match!I$1,Sheet1!$A$1:$J$1,0)))</f>
        <v>5</v>
      </c>
      <c r="J257" s="20" t="str">
        <f>IF(ISBLANK($E257),"",INDEX(Sheet1!$A:$J,MATCH(Index_Match!$E257,Sheet1!$A:$A,0),MATCH(Index_Match!J$1,Sheet1!$A$1:$J$1,0)))</f>
        <v>Cherry Anderson</v>
      </c>
      <c r="K257" s="23">
        <f>IF(ISBLANK($E257),"",INDEX(Sheet1!$A:$J,MATCH(Index_Match!$E257,Sheet1!$A:$A,0),MATCH(Index_Match!K$1,Sheet1!$A$1:$J$1,0)))</f>
        <v>5</v>
      </c>
      <c r="L257" s="20" t="str">
        <f>IF(ISBLANK($E257),"",INDEX(Sheet1!$A:$J,MATCH(Index_Match!$E257,Sheet1!$A:$A,0),MATCH(Index_Match!L$1,Sheet1!$A$1:$J$1,0)))</f>
        <v>Anderson</v>
      </c>
      <c r="M257" s="20" t="str">
        <f>IF(ISBLANK($E257),"",INDEX(Sheet1!$A:$J,MATCH(Index_Match!$E257,Sheet1!$A:$A,0),MATCH(Index_Match!M$1,Sheet1!$A$1:$J$1,0)))</f>
        <v>Middle Age</v>
      </c>
    </row>
    <row r="258" spans="2:13" x14ac:dyDescent="0.25">
      <c r="B258" s="20"/>
      <c r="C258" s="20"/>
      <c r="D258" s="20"/>
      <c r="E258" s="20" t="str">
        <v>Edith</v>
      </c>
      <c r="F258" s="20" t="str">
        <f>IF(ISBLANK($E258),"",INDEX(Sheet1!$A:$J,MATCH(Index_Match!$E258,Sheet1!$A:$A,0),MATCH(Index_Match!F$1,Sheet1!$A$1:$J$1,0)))</f>
        <v>Female</v>
      </c>
      <c r="G258" s="20" t="str">
        <f>IF(ISBLANK($E258),"",INDEX(Sheet1!$A:$J,MATCH(Index_Match!$E258,Sheet1!$A:$A,0),MATCH(Index_Match!G$1,Sheet1!$A$1:$J$1,0)))</f>
        <v>Programmer</v>
      </c>
      <c r="H258" s="20" t="str">
        <f>IF(ISBLANK($E258),"",INDEX(Sheet1!$A:$J,MATCH(Index_Match!$E258,Sheet1!$A:$A,0),MATCH(Index_Match!H$1,Sheet1!$A$1:$J$1,0)))</f>
        <v>Single</v>
      </c>
      <c r="I258" s="23">
        <f>IF(ISBLANK($E258),"",INDEX(Sheet1!$A:$J,MATCH(Index_Match!$E258,Sheet1!$A:$A,0),MATCH(Index_Match!I$1,Sheet1!$A$1:$J$1,0)))</f>
        <v>3</v>
      </c>
      <c r="J258" s="20" t="str">
        <f>IF(ISBLANK($E258),"",INDEX(Sheet1!$A:$J,MATCH(Index_Match!$E258,Sheet1!$A:$A,0),MATCH(Index_Match!J$1,Sheet1!$A$1:$J$1,0)))</f>
        <v>Edith Hall</v>
      </c>
      <c r="K258" s="23">
        <f>IF(ISBLANK($E258),"",INDEX(Sheet1!$A:$J,MATCH(Index_Match!$E258,Sheet1!$A:$A,0),MATCH(Index_Match!K$1,Sheet1!$A$1:$J$1,0)))</f>
        <v>3</v>
      </c>
      <c r="L258" s="20" t="str">
        <f>IF(ISBLANK($E258),"",INDEX(Sheet1!$A:$J,MATCH(Index_Match!$E258,Sheet1!$A:$A,0),MATCH(Index_Match!L$1,Sheet1!$A$1:$J$1,0)))</f>
        <v>Hall</v>
      </c>
      <c r="M258" s="20" t="str">
        <f>IF(ISBLANK($E258),"",INDEX(Sheet1!$A:$J,MATCH(Index_Match!$E258,Sheet1!$A:$A,0),MATCH(Index_Match!M$1,Sheet1!$A$1:$J$1,0)))</f>
        <v>Young</v>
      </c>
    </row>
    <row r="259" spans="2:13" x14ac:dyDescent="0.25">
      <c r="B259" s="20"/>
      <c r="C259" s="20"/>
      <c r="D259" s="20"/>
      <c r="E259" s="20" t="str">
        <v>Deanna</v>
      </c>
      <c r="F259" s="20" t="str">
        <f>IF(ISBLANK($E259),"",INDEX(Sheet1!$A:$J,MATCH(Index_Match!$E259,Sheet1!$A:$A,0),MATCH(Index_Match!F$1,Sheet1!$A$1:$J$1,0)))</f>
        <v>Female</v>
      </c>
      <c r="G259" s="20" t="str">
        <f>IF(ISBLANK($E259),"",INDEX(Sheet1!$A:$J,MATCH(Index_Match!$E259,Sheet1!$A:$A,0),MATCH(Index_Match!G$1,Sheet1!$A$1:$J$1,0)))</f>
        <v>Actor</v>
      </c>
      <c r="H259" s="20" t="str">
        <f>IF(ISBLANK($E259),"",INDEX(Sheet1!$A:$J,MATCH(Index_Match!$E259,Sheet1!$A:$A,0),MATCH(Index_Match!H$1,Sheet1!$A$1:$J$1,0)))</f>
        <v>Single</v>
      </c>
      <c r="I259" s="23">
        <f>IF(ISBLANK($E259),"",INDEX(Sheet1!$A:$J,MATCH(Index_Match!$E259,Sheet1!$A:$A,0),MATCH(Index_Match!I$1,Sheet1!$A$1:$J$1,0)))</f>
        <v>5</v>
      </c>
      <c r="J259" s="20" t="str">
        <f>IF(ISBLANK($E259),"",INDEX(Sheet1!$A:$J,MATCH(Index_Match!$E259,Sheet1!$A:$A,0),MATCH(Index_Match!J$1,Sheet1!$A$1:$J$1,0)))</f>
        <v>Deanna Spencer</v>
      </c>
      <c r="K259" s="23">
        <f>IF(ISBLANK($E259),"",INDEX(Sheet1!$A:$J,MATCH(Index_Match!$E259,Sheet1!$A:$A,0),MATCH(Index_Match!K$1,Sheet1!$A$1:$J$1,0)))</f>
        <v>5</v>
      </c>
      <c r="L259" s="20" t="str">
        <f>IF(ISBLANK($E259),"",INDEX(Sheet1!$A:$J,MATCH(Index_Match!$E259,Sheet1!$A:$A,0),MATCH(Index_Match!L$1,Sheet1!$A$1:$J$1,0)))</f>
        <v>Spencer</v>
      </c>
      <c r="M259" s="20" t="str">
        <f>IF(ISBLANK($E259),"",INDEX(Sheet1!$A:$J,MATCH(Index_Match!$E259,Sheet1!$A:$A,0),MATCH(Index_Match!M$1,Sheet1!$A$1:$J$1,0)))</f>
        <v>Old</v>
      </c>
    </row>
    <row r="260" spans="2:13" x14ac:dyDescent="0.25">
      <c r="B260" s="20"/>
      <c r="C260" s="20"/>
      <c r="D260" s="20"/>
      <c r="E260" s="20" t="str">
        <v>Hailey</v>
      </c>
      <c r="F260" s="20" t="str">
        <f>IF(ISBLANK($E260),"",INDEX(Sheet1!$A:$J,MATCH(Index_Match!$E260,Sheet1!$A:$A,0),MATCH(Index_Match!F$1,Sheet1!$A$1:$J$1,0)))</f>
        <v>Female</v>
      </c>
      <c r="G260" s="20" t="str">
        <f>IF(ISBLANK($E260),"",INDEX(Sheet1!$A:$J,MATCH(Index_Match!$E260,Sheet1!$A:$A,0),MATCH(Index_Match!G$1,Sheet1!$A$1:$J$1,0)))</f>
        <v>Insurer</v>
      </c>
      <c r="H260" s="20" t="str">
        <f>IF(ISBLANK($E260),"",INDEX(Sheet1!$A:$J,MATCH(Index_Match!$E260,Sheet1!$A:$A,0),MATCH(Index_Match!H$1,Sheet1!$A$1:$J$1,0)))</f>
        <v>Married</v>
      </c>
      <c r="I260" s="23">
        <f>IF(ISBLANK($E260),"",INDEX(Sheet1!$A:$J,MATCH(Index_Match!$E260,Sheet1!$A:$A,0),MATCH(Index_Match!I$1,Sheet1!$A$1:$J$1,0)))</f>
        <v>1</v>
      </c>
      <c r="J260" s="20" t="str">
        <f>IF(ISBLANK($E260),"",INDEX(Sheet1!$A:$J,MATCH(Index_Match!$E260,Sheet1!$A:$A,0),MATCH(Index_Match!J$1,Sheet1!$A$1:$J$1,0)))</f>
        <v>Hailey Cooper</v>
      </c>
      <c r="K260" s="23">
        <f>IF(ISBLANK($E260),"",INDEX(Sheet1!$A:$J,MATCH(Index_Match!$E260,Sheet1!$A:$A,0),MATCH(Index_Match!K$1,Sheet1!$A$1:$J$1,0)))</f>
        <v>1</v>
      </c>
      <c r="L260" s="20" t="str">
        <f>IF(ISBLANK($E260),"",INDEX(Sheet1!$A:$J,MATCH(Index_Match!$E260,Sheet1!$A:$A,0),MATCH(Index_Match!L$1,Sheet1!$A$1:$J$1,0)))</f>
        <v>Cooper</v>
      </c>
      <c r="M260" s="20" t="str">
        <f>IF(ISBLANK($E260),"",INDEX(Sheet1!$A:$J,MATCH(Index_Match!$E260,Sheet1!$A:$A,0),MATCH(Index_Match!M$1,Sheet1!$A$1:$J$1,0)))</f>
        <v>Old</v>
      </c>
    </row>
    <row r="261" spans="2:13" x14ac:dyDescent="0.25">
      <c r="B261" s="20"/>
      <c r="C261" s="20"/>
      <c r="D261" s="20"/>
      <c r="E261" s="20" t="str">
        <v>Cherry</v>
      </c>
      <c r="F261" s="20" t="str">
        <f>IF(ISBLANK($E261),"",INDEX(Sheet1!$A:$J,MATCH(Index_Match!$E261,Sheet1!$A:$A,0),MATCH(Index_Match!F$1,Sheet1!$A$1:$J$1,0)))</f>
        <v>Female</v>
      </c>
      <c r="G261" s="20" t="str">
        <f>IF(ISBLANK($E261),"",INDEX(Sheet1!$A:$J,MATCH(Index_Match!$E261,Sheet1!$A:$A,0),MATCH(Index_Match!G$1,Sheet1!$A$1:$J$1,0)))</f>
        <v>Singer</v>
      </c>
      <c r="H261" s="20" t="str">
        <f>IF(ISBLANK($E261),"",INDEX(Sheet1!$A:$J,MATCH(Index_Match!$E261,Sheet1!$A:$A,0),MATCH(Index_Match!H$1,Sheet1!$A$1:$J$1,0)))</f>
        <v>Married</v>
      </c>
      <c r="I261" s="23">
        <f>IF(ISBLANK($E261),"",INDEX(Sheet1!$A:$J,MATCH(Index_Match!$E261,Sheet1!$A:$A,0),MATCH(Index_Match!I$1,Sheet1!$A$1:$J$1,0)))</f>
        <v>5</v>
      </c>
      <c r="J261" s="20" t="str">
        <f>IF(ISBLANK($E261),"",INDEX(Sheet1!$A:$J,MATCH(Index_Match!$E261,Sheet1!$A:$A,0),MATCH(Index_Match!J$1,Sheet1!$A$1:$J$1,0)))</f>
        <v>Cherry Anderson</v>
      </c>
      <c r="K261" s="23">
        <f>IF(ISBLANK($E261),"",INDEX(Sheet1!$A:$J,MATCH(Index_Match!$E261,Sheet1!$A:$A,0),MATCH(Index_Match!K$1,Sheet1!$A$1:$J$1,0)))</f>
        <v>5</v>
      </c>
      <c r="L261" s="20" t="str">
        <f>IF(ISBLANK($E261),"",INDEX(Sheet1!$A:$J,MATCH(Index_Match!$E261,Sheet1!$A:$A,0),MATCH(Index_Match!L$1,Sheet1!$A$1:$J$1,0)))</f>
        <v>Anderson</v>
      </c>
      <c r="M261" s="20" t="str">
        <f>IF(ISBLANK($E261),"",INDEX(Sheet1!$A:$J,MATCH(Index_Match!$E261,Sheet1!$A:$A,0),MATCH(Index_Match!M$1,Sheet1!$A$1:$J$1,0)))</f>
        <v>Middle Age</v>
      </c>
    </row>
    <row r="262" spans="2:13" x14ac:dyDescent="0.25">
      <c r="B262" s="20"/>
      <c r="C262" s="20"/>
      <c r="D262" s="20"/>
      <c r="E262" s="20" t="str">
        <v>Edith</v>
      </c>
      <c r="F262" s="20" t="str">
        <f>IF(ISBLANK($E262),"",INDEX(Sheet1!$A:$J,MATCH(Index_Match!$E262,Sheet1!$A:$A,0),MATCH(Index_Match!F$1,Sheet1!$A$1:$J$1,0)))</f>
        <v>Female</v>
      </c>
      <c r="G262" s="20" t="str">
        <f>IF(ISBLANK($E262),"",INDEX(Sheet1!$A:$J,MATCH(Index_Match!$E262,Sheet1!$A:$A,0),MATCH(Index_Match!G$1,Sheet1!$A$1:$J$1,0)))</f>
        <v>Programmer</v>
      </c>
      <c r="H262" s="20" t="str">
        <f>IF(ISBLANK($E262),"",INDEX(Sheet1!$A:$J,MATCH(Index_Match!$E262,Sheet1!$A:$A,0),MATCH(Index_Match!H$1,Sheet1!$A$1:$J$1,0)))</f>
        <v>Single</v>
      </c>
      <c r="I262" s="23">
        <f>IF(ISBLANK($E262),"",INDEX(Sheet1!$A:$J,MATCH(Index_Match!$E262,Sheet1!$A:$A,0),MATCH(Index_Match!I$1,Sheet1!$A$1:$J$1,0)))</f>
        <v>3</v>
      </c>
      <c r="J262" s="20" t="str">
        <f>IF(ISBLANK($E262),"",INDEX(Sheet1!$A:$J,MATCH(Index_Match!$E262,Sheet1!$A:$A,0),MATCH(Index_Match!J$1,Sheet1!$A$1:$J$1,0)))</f>
        <v>Edith Hall</v>
      </c>
      <c r="K262" s="23">
        <f>IF(ISBLANK($E262),"",INDEX(Sheet1!$A:$J,MATCH(Index_Match!$E262,Sheet1!$A:$A,0),MATCH(Index_Match!K$1,Sheet1!$A$1:$J$1,0)))</f>
        <v>3</v>
      </c>
      <c r="L262" s="20" t="str">
        <f>IF(ISBLANK($E262),"",INDEX(Sheet1!$A:$J,MATCH(Index_Match!$E262,Sheet1!$A:$A,0),MATCH(Index_Match!L$1,Sheet1!$A$1:$J$1,0)))</f>
        <v>Hall</v>
      </c>
      <c r="M262" s="20" t="str">
        <f>IF(ISBLANK($E262),"",INDEX(Sheet1!$A:$J,MATCH(Index_Match!$E262,Sheet1!$A:$A,0),MATCH(Index_Match!M$1,Sheet1!$A$1:$J$1,0)))</f>
        <v>Young</v>
      </c>
    </row>
    <row r="263" spans="2:13" x14ac:dyDescent="0.25">
      <c r="B263" s="20"/>
      <c r="C263" s="20"/>
      <c r="D263" s="20"/>
      <c r="E263" s="20" t="str">
        <v>Amanda</v>
      </c>
      <c r="F263" s="20" t="str">
        <f>IF(ISBLANK($E263),"",INDEX(Sheet1!$A:$J,MATCH(Index_Match!$E263,Sheet1!$A:$A,0),MATCH(Index_Match!F$1,Sheet1!$A$1:$J$1,0)))</f>
        <v>Female</v>
      </c>
      <c r="G263" s="20" t="str">
        <f>IF(ISBLANK($E263),"",INDEX(Sheet1!$A:$J,MATCH(Index_Match!$E263,Sheet1!$A:$A,0),MATCH(Index_Match!G$1,Sheet1!$A$1:$J$1,0)))</f>
        <v>Carpenter</v>
      </c>
      <c r="H263" s="20" t="str">
        <f>IF(ISBLANK($E263),"",INDEX(Sheet1!$A:$J,MATCH(Index_Match!$E263,Sheet1!$A:$A,0),MATCH(Index_Match!H$1,Sheet1!$A$1:$J$1,0)))</f>
        <v>Married</v>
      </c>
      <c r="I263" s="23">
        <f>IF(ISBLANK($E263),"",INDEX(Sheet1!$A:$J,MATCH(Index_Match!$E263,Sheet1!$A:$A,0),MATCH(Index_Match!I$1,Sheet1!$A$1:$J$1,0)))</f>
        <v>4</v>
      </c>
      <c r="J263" s="20" t="str">
        <f>IF(ISBLANK($E263),"",INDEX(Sheet1!$A:$J,MATCH(Index_Match!$E263,Sheet1!$A:$A,0),MATCH(Index_Match!J$1,Sheet1!$A$1:$J$1,0)))</f>
        <v>Amanda Brown</v>
      </c>
      <c r="K263" s="23">
        <f>IF(ISBLANK($E263),"",INDEX(Sheet1!$A:$J,MATCH(Index_Match!$E263,Sheet1!$A:$A,0),MATCH(Index_Match!K$1,Sheet1!$A$1:$J$1,0)))</f>
        <v>4</v>
      </c>
      <c r="L263" s="20" t="str">
        <f>IF(ISBLANK($E263),"",INDEX(Sheet1!$A:$J,MATCH(Index_Match!$E263,Sheet1!$A:$A,0),MATCH(Index_Match!L$1,Sheet1!$A$1:$J$1,0)))</f>
        <v>Brown</v>
      </c>
      <c r="M263" s="20" t="str">
        <f>IF(ISBLANK($E263),"",INDEX(Sheet1!$A:$J,MATCH(Index_Match!$E263,Sheet1!$A:$A,0),MATCH(Index_Match!M$1,Sheet1!$A$1:$J$1,0)))</f>
        <v>Old</v>
      </c>
    </row>
    <row r="264" spans="2:13" x14ac:dyDescent="0.25">
      <c r="B264" s="20"/>
      <c r="C264" s="20"/>
      <c r="D264" s="20"/>
      <c r="E264" s="20" t="str">
        <v>Arianna</v>
      </c>
      <c r="F264" s="20" t="str">
        <f>IF(ISBLANK($E264),"",INDEX(Sheet1!$A:$J,MATCH(Index_Match!$E264,Sheet1!$A:$A,0),MATCH(Index_Match!F$1,Sheet1!$A$1:$J$1,0)))</f>
        <v>Female</v>
      </c>
      <c r="G264" s="20" t="str">
        <f>IF(ISBLANK($E264),"",INDEX(Sheet1!$A:$J,MATCH(Index_Match!$E264,Sheet1!$A:$A,0),MATCH(Index_Match!G$1,Sheet1!$A$1:$J$1,0)))</f>
        <v>Biochemist</v>
      </c>
      <c r="H264" s="20" t="str">
        <f>IF(ISBLANK($E264),"",INDEX(Sheet1!$A:$J,MATCH(Index_Match!$E264,Sheet1!$A:$A,0),MATCH(Index_Match!H$1,Sheet1!$A$1:$J$1,0)))</f>
        <v>Married</v>
      </c>
      <c r="I264" s="23">
        <f>IF(ISBLANK($E264),"",INDEX(Sheet1!$A:$J,MATCH(Index_Match!$E264,Sheet1!$A:$A,0),MATCH(Index_Match!I$1,Sheet1!$A$1:$J$1,0)))</f>
        <v>0</v>
      </c>
      <c r="J264" s="20" t="str">
        <f>IF(ISBLANK($E264),"",INDEX(Sheet1!$A:$J,MATCH(Index_Match!$E264,Sheet1!$A:$A,0),MATCH(Index_Match!J$1,Sheet1!$A$1:$J$1,0)))</f>
        <v>Arianna Hall</v>
      </c>
      <c r="K264" s="23">
        <f>IF(ISBLANK($E264),"",INDEX(Sheet1!$A:$J,MATCH(Index_Match!$E264,Sheet1!$A:$A,0),MATCH(Index_Match!K$1,Sheet1!$A$1:$J$1,0)))</f>
        <v>0</v>
      </c>
      <c r="L264" s="20" t="str">
        <f>IF(ISBLANK($E264),"",INDEX(Sheet1!$A:$J,MATCH(Index_Match!$E264,Sheet1!$A:$A,0),MATCH(Index_Match!L$1,Sheet1!$A$1:$J$1,0)))</f>
        <v>Hall</v>
      </c>
      <c r="M264" s="20" t="str">
        <f>IF(ISBLANK($E264),"",INDEX(Sheet1!$A:$J,MATCH(Index_Match!$E264,Sheet1!$A:$A,0),MATCH(Index_Match!M$1,Sheet1!$A$1:$J$1,0)))</f>
        <v>Old</v>
      </c>
    </row>
    <row r="265" spans="2:13" x14ac:dyDescent="0.25">
      <c r="B265" s="20"/>
      <c r="C265" s="20"/>
      <c r="D265" s="20"/>
      <c r="E265" s="20" t="str">
        <v>Nicole</v>
      </c>
      <c r="F265" s="20" t="str">
        <f>IF(ISBLANK($E265),"",INDEX(Sheet1!$A:$J,MATCH(Index_Match!$E265,Sheet1!$A:$A,0),MATCH(Index_Match!F$1,Sheet1!$A$1:$J$1,0)))</f>
        <v>Female</v>
      </c>
      <c r="G265" s="20" t="str">
        <f>IF(ISBLANK($E265),"",INDEX(Sheet1!$A:$J,MATCH(Index_Match!$E265,Sheet1!$A:$A,0),MATCH(Index_Match!G$1,Sheet1!$A$1:$J$1,0)))</f>
        <v>Aeroplane Pilot</v>
      </c>
      <c r="H265" s="20" t="str">
        <f>IF(ISBLANK($E265),"",INDEX(Sheet1!$A:$J,MATCH(Index_Match!$E265,Sheet1!$A:$A,0),MATCH(Index_Match!H$1,Sheet1!$A$1:$J$1,0)))</f>
        <v>Married</v>
      </c>
      <c r="I265" s="23">
        <f>IF(ISBLANK($E265),"",INDEX(Sheet1!$A:$J,MATCH(Index_Match!$E265,Sheet1!$A:$A,0),MATCH(Index_Match!I$1,Sheet1!$A$1:$J$1,0)))</f>
        <v>0</v>
      </c>
      <c r="J265" s="20" t="str">
        <f>IF(ISBLANK($E265),"",INDEX(Sheet1!$A:$J,MATCH(Index_Match!$E265,Sheet1!$A:$A,0),MATCH(Index_Match!J$1,Sheet1!$A$1:$J$1,0)))</f>
        <v>Nicole Morgan</v>
      </c>
      <c r="K265" s="23">
        <f>IF(ISBLANK($E265),"",INDEX(Sheet1!$A:$J,MATCH(Index_Match!$E265,Sheet1!$A:$A,0),MATCH(Index_Match!K$1,Sheet1!$A$1:$J$1,0)))</f>
        <v>0</v>
      </c>
      <c r="L265" s="20" t="str">
        <f>IF(ISBLANK($E265),"",INDEX(Sheet1!$A:$J,MATCH(Index_Match!$E265,Sheet1!$A:$A,0),MATCH(Index_Match!L$1,Sheet1!$A$1:$J$1,0)))</f>
        <v>Morgan</v>
      </c>
      <c r="M265" s="20" t="str">
        <f>IF(ISBLANK($E265),"",INDEX(Sheet1!$A:$J,MATCH(Index_Match!$E265,Sheet1!$A:$A,0),MATCH(Index_Match!M$1,Sheet1!$A$1:$J$1,0)))</f>
        <v>Middle Age</v>
      </c>
    </row>
    <row r="266" spans="2:13" x14ac:dyDescent="0.25">
      <c r="B266" s="20"/>
      <c r="C266" s="20"/>
      <c r="D266" s="20"/>
      <c r="E266" s="20" t="str">
        <v>Mary</v>
      </c>
      <c r="F266" s="20" t="str">
        <f>IF(ISBLANK($E266),"",INDEX(Sheet1!$A:$J,MATCH(Index_Match!$E266,Sheet1!$A:$A,0),MATCH(Index_Match!F$1,Sheet1!$A$1:$J$1,0)))</f>
        <v>Female</v>
      </c>
      <c r="G266" s="20" t="str">
        <f>IF(ISBLANK($E266),"",INDEX(Sheet1!$A:$J,MATCH(Index_Match!$E266,Sheet1!$A:$A,0),MATCH(Index_Match!G$1,Sheet1!$A$1:$J$1,0)))</f>
        <v>Meteorologist</v>
      </c>
      <c r="H266" s="20" t="str">
        <f>IF(ISBLANK($E266),"",INDEX(Sheet1!$A:$J,MATCH(Index_Match!$E266,Sheet1!$A:$A,0),MATCH(Index_Match!H$1,Sheet1!$A$1:$J$1,0)))</f>
        <v>Married</v>
      </c>
      <c r="I266" s="23">
        <f>IF(ISBLANK($E266),"",INDEX(Sheet1!$A:$J,MATCH(Index_Match!$E266,Sheet1!$A:$A,0),MATCH(Index_Match!I$1,Sheet1!$A$1:$J$1,0)))</f>
        <v>4</v>
      </c>
      <c r="J266" s="20" t="str">
        <f>IF(ISBLANK($E266),"",INDEX(Sheet1!$A:$J,MATCH(Index_Match!$E266,Sheet1!$A:$A,0),MATCH(Index_Match!J$1,Sheet1!$A$1:$J$1,0)))</f>
        <v>Mary Stevens</v>
      </c>
      <c r="K266" s="23">
        <f>IF(ISBLANK($E266),"",INDEX(Sheet1!$A:$J,MATCH(Index_Match!$E266,Sheet1!$A:$A,0),MATCH(Index_Match!K$1,Sheet1!$A$1:$J$1,0)))</f>
        <v>4</v>
      </c>
      <c r="L266" s="20" t="str">
        <f>IF(ISBLANK($E266),"",INDEX(Sheet1!$A:$J,MATCH(Index_Match!$E266,Sheet1!$A:$A,0),MATCH(Index_Match!L$1,Sheet1!$A$1:$J$1,0)))</f>
        <v>Stevens</v>
      </c>
      <c r="M266" s="20" t="str">
        <f>IF(ISBLANK($E266),"",INDEX(Sheet1!$A:$J,MATCH(Index_Match!$E266,Sheet1!$A:$A,0),MATCH(Index_Match!M$1,Sheet1!$A$1:$J$1,0)))</f>
        <v>Young</v>
      </c>
    </row>
    <row r="267" spans="2:13" x14ac:dyDescent="0.25">
      <c r="B267" s="20"/>
      <c r="C267" s="20"/>
      <c r="D267" s="20"/>
      <c r="E267" s="20" t="str">
        <v>Kimberly</v>
      </c>
      <c r="F267" s="20" t="str">
        <f>IF(ISBLANK($E267),"",INDEX(Sheet1!$A:$J,MATCH(Index_Match!$E267,Sheet1!$A:$A,0),MATCH(Index_Match!F$1,Sheet1!$A$1:$J$1,0)))</f>
        <v>Female</v>
      </c>
      <c r="G267" s="20" t="str">
        <f>IF(ISBLANK($E267),"",INDEX(Sheet1!$A:$J,MATCH(Index_Match!$E267,Sheet1!$A:$A,0),MATCH(Index_Match!G$1,Sheet1!$A$1:$J$1,0)))</f>
        <v>Geologist</v>
      </c>
      <c r="H267" s="20" t="str">
        <f>IF(ISBLANK($E267),"",INDEX(Sheet1!$A:$J,MATCH(Index_Match!$E267,Sheet1!$A:$A,0),MATCH(Index_Match!H$1,Sheet1!$A$1:$J$1,0)))</f>
        <v>Single</v>
      </c>
      <c r="I267" s="23">
        <f>IF(ISBLANK($E267),"",INDEX(Sheet1!$A:$J,MATCH(Index_Match!$E267,Sheet1!$A:$A,0),MATCH(Index_Match!I$1,Sheet1!$A$1:$J$1,0)))</f>
        <v>2</v>
      </c>
      <c r="J267" s="20" t="str">
        <f>IF(ISBLANK($E267),"",INDEX(Sheet1!$A:$J,MATCH(Index_Match!$E267,Sheet1!$A:$A,0),MATCH(Index_Match!J$1,Sheet1!$A$1:$J$1,0)))</f>
        <v>Kimberly Rogers</v>
      </c>
      <c r="K267" s="23">
        <f>IF(ISBLANK($E267),"",INDEX(Sheet1!$A:$J,MATCH(Index_Match!$E267,Sheet1!$A:$A,0),MATCH(Index_Match!K$1,Sheet1!$A$1:$J$1,0)))</f>
        <v>2</v>
      </c>
      <c r="L267" s="20" t="str">
        <f>IF(ISBLANK($E267),"",INDEX(Sheet1!$A:$J,MATCH(Index_Match!$E267,Sheet1!$A:$A,0),MATCH(Index_Match!L$1,Sheet1!$A$1:$J$1,0)))</f>
        <v>Rogers</v>
      </c>
      <c r="M267" s="20" t="str">
        <f>IF(ISBLANK($E267),"",INDEX(Sheet1!$A:$J,MATCH(Index_Match!$E267,Sheet1!$A:$A,0),MATCH(Index_Match!M$1,Sheet1!$A$1:$J$1,0)))</f>
        <v>Old</v>
      </c>
    </row>
    <row r="268" spans="2:13" x14ac:dyDescent="0.25">
      <c r="B268" s="20"/>
      <c r="C268" s="20"/>
      <c r="D268" s="20"/>
      <c r="E268" s="20" t="str">
        <v>Lydia</v>
      </c>
      <c r="F268" s="20" t="str">
        <f>IF(ISBLANK($E268),"",INDEX(Sheet1!$A:$J,MATCH(Index_Match!$E268,Sheet1!$A:$A,0),MATCH(Index_Match!F$1,Sheet1!$A$1:$J$1,0)))</f>
        <v>Female</v>
      </c>
      <c r="G268" s="20" t="str">
        <f>IF(ISBLANK($E268),"",INDEX(Sheet1!$A:$J,MATCH(Index_Match!$E268,Sheet1!$A:$A,0),MATCH(Index_Match!G$1,Sheet1!$A$1:$J$1,0)))</f>
        <v>Agronomist</v>
      </c>
      <c r="H268" s="20" t="str">
        <f>IF(ISBLANK($E268),"",INDEX(Sheet1!$A:$J,MATCH(Index_Match!$E268,Sheet1!$A:$A,0),MATCH(Index_Match!H$1,Sheet1!$A$1:$J$1,0)))</f>
        <v>Single</v>
      </c>
      <c r="I268" s="23">
        <f>IF(ISBLANK($E268),"",INDEX(Sheet1!$A:$J,MATCH(Index_Match!$E268,Sheet1!$A:$A,0),MATCH(Index_Match!I$1,Sheet1!$A$1:$J$1,0)))</f>
        <v>0</v>
      </c>
      <c r="J268" s="20" t="str">
        <f>IF(ISBLANK($E268),"",INDEX(Sheet1!$A:$J,MATCH(Index_Match!$E268,Sheet1!$A:$A,0),MATCH(Index_Match!J$1,Sheet1!$A$1:$J$1,0)))</f>
        <v>Lydia Roberts</v>
      </c>
      <c r="K268" s="23">
        <f>IF(ISBLANK($E268),"",INDEX(Sheet1!$A:$J,MATCH(Index_Match!$E268,Sheet1!$A:$A,0),MATCH(Index_Match!K$1,Sheet1!$A$1:$J$1,0)))</f>
        <v>0</v>
      </c>
      <c r="L268" s="20" t="str">
        <f>IF(ISBLANK($E268),"",INDEX(Sheet1!$A:$J,MATCH(Index_Match!$E268,Sheet1!$A:$A,0),MATCH(Index_Match!L$1,Sheet1!$A$1:$J$1,0)))</f>
        <v>Roberts</v>
      </c>
      <c r="M268" s="20" t="str">
        <f>IF(ISBLANK($E268),"",INDEX(Sheet1!$A:$J,MATCH(Index_Match!$E268,Sheet1!$A:$A,0),MATCH(Index_Match!M$1,Sheet1!$A$1:$J$1,0)))</f>
        <v>Young</v>
      </c>
    </row>
    <row r="269" spans="2:13" x14ac:dyDescent="0.25">
      <c r="B269" s="20"/>
      <c r="C269" s="20"/>
      <c r="D269" s="20"/>
      <c r="E269" s="20" t="str">
        <v>Heather</v>
      </c>
      <c r="F269" s="20" t="str">
        <f>IF(ISBLANK($E269),"",INDEX(Sheet1!$A:$J,MATCH(Index_Match!$E269,Sheet1!$A:$A,0),MATCH(Index_Match!F$1,Sheet1!$A$1:$J$1,0)))</f>
        <v>Female</v>
      </c>
      <c r="G269" s="20" t="str">
        <f>IF(ISBLANK($E269),"",INDEX(Sheet1!$A:$J,MATCH(Index_Match!$E269,Sheet1!$A:$A,0),MATCH(Index_Match!G$1,Sheet1!$A$1:$J$1,0)))</f>
        <v>Carpenter</v>
      </c>
      <c r="H269" s="20" t="str">
        <f>IF(ISBLANK($E269),"",INDEX(Sheet1!$A:$J,MATCH(Index_Match!$E269,Sheet1!$A:$A,0),MATCH(Index_Match!H$1,Sheet1!$A$1:$J$1,0)))</f>
        <v>Single</v>
      </c>
      <c r="I269" s="23">
        <f>IF(ISBLANK($E269),"",INDEX(Sheet1!$A:$J,MATCH(Index_Match!$E269,Sheet1!$A:$A,0),MATCH(Index_Match!I$1,Sheet1!$A$1:$J$1,0)))</f>
        <v>5</v>
      </c>
      <c r="J269" s="20" t="str">
        <f>IF(ISBLANK($E269),"",INDEX(Sheet1!$A:$J,MATCH(Index_Match!$E269,Sheet1!$A:$A,0),MATCH(Index_Match!J$1,Sheet1!$A$1:$J$1,0)))</f>
        <v>Heather Perry</v>
      </c>
      <c r="K269" s="23">
        <f>IF(ISBLANK($E269),"",INDEX(Sheet1!$A:$J,MATCH(Index_Match!$E269,Sheet1!$A:$A,0),MATCH(Index_Match!K$1,Sheet1!$A$1:$J$1,0)))</f>
        <v>5</v>
      </c>
      <c r="L269" s="20" t="str">
        <f>IF(ISBLANK($E269),"",INDEX(Sheet1!$A:$J,MATCH(Index_Match!$E269,Sheet1!$A:$A,0),MATCH(Index_Match!L$1,Sheet1!$A$1:$J$1,0)))</f>
        <v>Perry</v>
      </c>
      <c r="M269" s="20" t="str">
        <f>IF(ISBLANK($E269),"",INDEX(Sheet1!$A:$J,MATCH(Index_Match!$E269,Sheet1!$A:$A,0),MATCH(Index_Match!M$1,Sheet1!$A$1:$J$1,0)))</f>
        <v>Middle Age</v>
      </c>
    </row>
    <row r="270" spans="2:13" x14ac:dyDescent="0.25">
      <c r="B270" s="20"/>
      <c r="C270" s="20"/>
      <c r="D270" s="20"/>
      <c r="E270" s="20" t="str">
        <v>Olivia</v>
      </c>
      <c r="F270" s="20" t="str">
        <f>IF(ISBLANK($E270),"",INDEX(Sheet1!$A:$J,MATCH(Index_Match!$E270,Sheet1!$A:$A,0),MATCH(Index_Match!F$1,Sheet1!$A$1:$J$1,0)))</f>
        <v>Female</v>
      </c>
      <c r="G270" s="20" t="str">
        <f>IF(ISBLANK($E270),"",INDEX(Sheet1!$A:$J,MATCH(Index_Match!$E270,Sheet1!$A:$A,0),MATCH(Index_Match!G$1,Sheet1!$A$1:$J$1,0)))</f>
        <v>Firefighter</v>
      </c>
      <c r="H270" s="20" t="str">
        <f>IF(ISBLANK($E270),"",INDEX(Sheet1!$A:$J,MATCH(Index_Match!$E270,Sheet1!$A:$A,0),MATCH(Index_Match!H$1,Sheet1!$A$1:$J$1,0)))</f>
        <v>Single</v>
      </c>
      <c r="I270" s="23">
        <f>IF(ISBLANK($E270),"",INDEX(Sheet1!$A:$J,MATCH(Index_Match!$E270,Sheet1!$A:$A,0),MATCH(Index_Match!I$1,Sheet1!$A$1:$J$1,0)))</f>
        <v>3</v>
      </c>
      <c r="J270" s="20" t="str">
        <f>IF(ISBLANK($E270),"",INDEX(Sheet1!$A:$J,MATCH(Index_Match!$E270,Sheet1!$A:$A,0),MATCH(Index_Match!J$1,Sheet1!$A$1:$J$1,0)))</f>
        <v>Olivia Taylor</v>
      </c>
      <c r="K270" s="23">
        <f>IF(ISBLANK($E270),"",INDEX(Sheet1!$A:$J,MATCH(Index_Match!$E270,Sheet1!$A:$A,0),MATCH(Index_Match!K$1,Sheet1!$A$1:$J$1,0)))</f>
        <v>3</v>
      </c>
      <c r="L270" s="20" t="str">
        <f>IF(ISBLANK($E270),"",INDEX(Sheet1!$A:$J,MATCH(Index_Match!$E270,Sheet1!$A:$A,0),MATCH(Index_Match!L$1,Sheet1!$A$1:$J$1,0)))</f>
        <v>Taylor</v>
      </c>
      <c r="M270" s="20" t="str">
        <f>IF(ISBLANK($E270),"",INDEX(Sheet1!$A:$J,MATCH(Index_Match!$E270,Sheet1!$A:$A,0),MATCH(Index_Match!M$1,Sheet1!$A$1:$J$1,0)))</f>
        <v>Young</v>
      </c>
    </row>
    <row r="271" spans="2:13" x14ac:dyDescent="0.25">
      <c r="B271" s="20"/>
      <c r="C271" s="20"/>
      <c r="D271" s="20"/>
      <c r="E271" s="20" t="str">
        <v>Sarah</v>
      </c>
      <c r="F271" s="20" t="str">
        <f>IF(ISBLANK($E271),"",INDEX(Sheet1!$A:$J,MATCH(Index_Match!$E271,Sheet1!$A:$A,0),MATCH(Index_Match!F$1,Sheet1!$A$1:$J$1,0)))</f>
        <v>Female</v>
      </c>
      <c r="G271" s="20" t="str">
        <f>IF(ISBLANK($E271),"",INDEX(Sheet1!$A:$J,MATCH(Index_Match!$E271,Sheet1!$A:$A,0),MATCH(Index_Match!G$1,Sheet1!$A$1:$J$1,0)))</f>
        <v>Lecturer</v>
      </c>
      <c r="H271" s="20" t="str">
        <f>IF(ISBLANK($E271),"",INDEX(Sheet1!$A:$J,MATCH(Index_Match!$E271,Sheet1!$A:$A,0),MATCH(Index_Match!H$1,Sheet1!$A$1:$J$1,0)))</f>
        <v>Single</v>
      </c>
      <c r="I271" s="23">
        <f>IF(ISBLANK($E271),"",INDEX(Sheet1!$A:$J,MATCH(Index_Match!$E271,Sheet1!$A:$A,0),MATCH(Index_Match!I$1,Sheet1!$A$1:$J$1,0)))</f>
        <v>4</v>
      </c>
      <c r="J271" s="20" t="str">
        <f>IF(ISBLANK($E271),"",INDEX(Sheet1!$A:$J,MATCH(Index_Match!$E271,Sheet1!$A:$A,0),MATCH(Index_Match!J$1,Sheet1!$A$1:$J$1,0)))</f>
        <v>Sarah Stevens</v>
      </c>
      <c r="K271" s="23">
        <f>IF(ISBLANK($E271),"",INDEX(Sheet1!$A:$J,MATCH(Index_Match!$E271,Sheet1!$A:$A,0),MATCH(Index_Match!K$1,Sheet1!$A$1:$J$1,0)))</f>
        <v>4</v>
      </c>
      <c r="L271" s="20" t="str">
        <f>IF(ISBLANK($E271),"",INDEX(Sheet1!$A:$J,MATCH(Index_Match!$E271,Sheet1!$A:$A,0),MATCH(Index_Match!L$1,Sheet1!$A$1:$J$1,0)))</f>
        <v>Stevens</v>
      </c>
      <c r="M271" s="20" t="str">
        <f>IF(ISBLANK($E271),"",INDEX(Sheet1!$A:$J,MATCH(Index_Match!$E271,Sheet1!$A:$A,0),MATCH(Index_Match!M$1,Sheet1!$A$1:$J$1,0)))</f>
        <v>Middle Age</v>
      </c>
    </row>
    <row r="272" spans="2:13" x14ac:dyDescent="0.25">
      <c r="B272" s="20"/>
      <c r="C272" s="20"/>
      <c r="D272" s="20"/>
      <c r="E272" s="20" t="str">
        <v>Anna</v>
      </c>
      <c r="F272" s="20" t="str">
        <f>IF(ISBLANK($E272),"",INDEX(Sheet1!$A:$J,MATCH(Index_Match!$E272,Sheet1!$A:$A,0),MATCH(Index_Match!F$1,Sheet1!$A$1:$J$1,0)))</f>
        <v>Female</v>
      </c>
      <c r="G272" s="20" t="str">
        <f>IF(ISBLANK($E272),"",INDEX(Sheet1!$A:$J,MATCH(Index_Match!$E272,Sheet1!$A:$A,0),MATCH(Index_Match!G$1,Sheet1!$A$1:$J$1,0)))</f>
        <v>Fine Artist</v>
      </c>
      <c r="H272" s="20" t="str">
        <f>IF(ISBLANK($E272),"",INDEX(Sheet1!$A:$J,MATCH(Index_Match!$E272,Sheet1!$A:$A,0),MATCH(Index_Match!H$1,Sheet1!$A$1:$J$1,0)))</f>
        <v>Single</v>
      </c>
      <c r="I272" s="23">
        <f>IF(ISBLANK($E272),"",INDEX(Sheet1!$A:$J,MATCH(Index_Match!$E272,Sheet1!$A:$A,0),MATCH(Index_Match!I$1,Sheet1!$A$1:$J$1,0)))</f>
        <v>2</v>
      </c>
      <c r="J272" s="20" t="str">
        <f>IF(ISBLANK($E272),"",INDEX(Sheet1!$A:$J,MATCH(Index_Match!$E272,Sheet1!$A:$A,0),MATCH(Index_Match!J$1,Sheet1!$A$1:$J$1,0)))</f>
        <v>Anna Smith</v>
      </c>
      <c r="K272" s="23">
        <f>IF(ISBLANK($E272),"",INDEX(Sheet1!$A:$J,MATCH(Index_Match!$E272,Sheet1!$A:$A,0),MATCH(Index_Match!K$1,Sheet1!$A$1:$J$1,0)))</f>
        <v>2</v>
      </c>
      <c r="L272" s="20" t="str">
        <f>IF(ISBLANK($E272),"",INDEX(Sheet1!$A:$J,MATCH(Index_Match!$E272,Sheet1!$A:$A,0),MATCH(Index_Match!L$1,Sheet1!$A$1:$J$1,0)))</f>
        <v>Smith</v>
      </c>
      <c r="M272" s="20" t="str">
        <f>IF(ISBLANK($E272),"",INDEX(Sheet1!$A:$J,MATCH(Index_Match!$E272,Sheet1!$A:$A,0),MATCH(Index_Match!M$1,Sheet1!$A$1:$J$1,0)))</f>
        <v>Old</v>
      </c>
    </row>
    <row r="273" spans="2:13" x14ac:dyDescent="0.25">
      <c r="B273" s="20"/>
      <c r="C273" s="20"/>
      <c r="D273" s="20"/>
      <c r="E273" s="20" t="str">
        <v>Deanna</v>
      </c>
      <c r="F273" s="20" t="str">
        <f>IF(ISBLANK($E273),"",INDEX(Sheet1!$A:$J,MATCH(Index_Match!$E273,Sheet1!$A:$A,0),MATCH(Index_Match!F$1,Sheet1!$A$1:$J$1,0)))</f>
        <v>Female</v>
      </c>
      <c r="G273" s="20" t="str">
        <f>IF(ISBLANK($E273),"",INDEX(Sheet1!$A:$J,MATCH(Index_Match!$E273,Sheet1!$A:$A,0),MATCH(Index_Match!G$1,Sheet1!$A$1:$J$1,0)))</f>
        <v>Actor</v>
      </c>
      <c r="H273" s="20" t="str">
        <f>IF(ISBLANK($E273),"",INDEX(Sheet1!$A:$J,MATCH(Index_Match!$E273,Sheet1!$A:$A,0),MATCH(Index_Match!H$1,Sheet1!$A$1:$J$1,0)))</f>
        <v>Single</v>
      </c>
      <c r="I273" s="23">
        <f>IF(ISBLANK($E273),"",INDEX(Sheet1!$A:$J,MATCH(Index_Match!$E273,Sheet1!$A:$A,0),MATCH(Index_Match!I$1,Sheet1!$A$1:$J$1,0)))</f>
        <v>5</v>
      </c>
      <c r="J273" s="20" t="str">
        <f>IF(ISBLANK($E273),"",INDEX(Sheet1!$A:$J,MATCH(Index_Match!$E273,Sheet1!$A:$A,0),MATCH(Index_Match!J$1,Sheet1!$A$1:$J$1,0)))</f>
        <v>Deanna Spencer</v>
      </c>
      <c r="K273" s="23">
        <f>IF(ISBLANK($E273),"",INDEX(Sheet1!$A:$J,MATCH(Index_Match!$E273,Sheet1!$A:$A,0),MATCH(Index_Match!K$1,Sheet1!$A$1:$J$1,0)))</f>
        <v>5</v>
      </c>
      <c r="L273" s="20" t="str">
        <f>IF(ISBLANK($E273),"",INDEX(Sheet1!$A:$J,MATCH(Index_Match!$E273,Sheet1!$A:$A,0),MATCH(Index_Match!L$1,Sheet1!$A$1:$J$1,0)))</f>
        <v>Spencer</v>
      </c>
      <c r="M273" s="20" t="str">
        <f>IF(ISBLANK($E273),"",INDEX(Sheet1!$A:$J,MATCH(Index_Match!$E273,Sheet1!$A:$A,0),MATCH(Index_Match!M$1,Sheet1!$A$1:$J$1,0)))</f>
        <v>Old</v>
      </c>
    </row>
    <row r="274" spans="2:13" x14ac:dyDescent="0.25">
      <c r="B274" s="20"/>
      <c r="C274" s="20"/>
      <c r="D274" s="20"/>
      <c r="E274" s="20" t="str">
        <v>Chelsea</v>
      </c>
      <c r="F274" s="20" t="str">
        <f>IF(ISBLANK($E274),"",INDEX(Sheet1!$A:$J,MATCH(Index_Match!$E274,Sheet1!$A:$A,0),MATCH(Index_Match!F$1,Sheet1!$A$1:$J$1,0)))</f>
        <v>Female</v>
      </c>
      <c r="G274" s="20" t="str">
        <f>IF(ISBLANK($E274),"",INDEX(Sheet1!$A:$J,MATCH(Index_Match!$E274,Sheet1!$A:$A,0),MATCH(Index_Match!G$1,Sheet1!$A$1:$J$1,0)))</f>
        <v>Meteorologist</v>
      </c>
      <c r="H274" s="20" t="str">
        <f>IF(ISBLANK($E274),"",INDEX(Sheet1!$A:$J,MATCH(Index_Match!$E274,Sheet1!$A:$A,0),MATCH(Index_Match!H$1,Sheet1!$A$1:$J$1,0)))</f>
        <v>Married</v>
      </c>
      <c r="I274" s="23">
        <f>IF(ISBLANK($E274),"",INDEX(Sheet1!$A:$J,MATCH(Index_Match!$E274,Sheet1!$A:$A,0),MATCH(Index_Match!I$1,Sheet1!$A$1:$J$1,0)))</f>
        <v>2</v>
      </c>
      <c r="J274" s="20" t="str">
        <f>IF(ISBLANK($E274),"",INDEX(Sheet1!$A:$J,MATCH(Index_Match!$E274,Sheet1!$A:$A,0),MATCH(Index_Match!J$1,Sheet1!$A$1:$J$1,0)))</f>
        <v>Chelsea Perkins</v>
      </c>
      <c r="K274" s="23">
        <f>IF(ISBLANK($E274),"",INDEX(Sheet1!$A:$J,MATCH(Index_Match!$E274,Sheet1!$A:$A,0),MATCH(Index_Match!K$1,Sheet1!$A$1:$J$1,0)))</f>
        <v>2</v>
      </c>
      <c r="L274" s="20" t="str">
        <f>IF(ISBLANK($E274),"",INDEX(Sheet1!$A:$J,MATCH(Index_Match!$E274,Sheet1!$A:$A,0),MATCH(Index_Match!L$1,Sheet1!$A$1:$J$1,0)))</f>
        <v>Perkins</v>
      </c>
      <c r="M274" s="20" t="str">
        <f>IF(ISBLANK($E274),"",INDEX(Sheet1!$A:$J,MATCH(Index_Match!$E274,Sheet1!$A:$A,0),MATCH(Index_Match!M$1,Sheet1!$A$1:$J$1,0)))</f>
        <v>Young</v>
      </c>
    </row>
    <row r="275" spans="2:13" x14ac:dyDescent="0.25">
      <c r="B275" s="20"/>
      <c r="C275" s="20"/>
      <c r="D275" s="20"/>
      <c r="E275" s="20" t="str">
        <v>Rubie</v>
      </c>
      <c r="F275" s="20" t="str">
        <f>IF(ISBLANK($E275),"",INDEX(Sheet1!$A:$J,MATCH(Index_Match!$E275,Sheet1!$A:$A,0),MATCH(Index_Match!F$1,Sheet1!$A$1:$J$1,0)))</f>
        <v>Female</v>
      </c>
      <c r="G275" s="20" t="str">
        <f>IF(ISBLANK($E275),"",INDEX(Sheet1!$A:$J,MATCH(Index_Match!$E275,Sheet1!$A:$A,0),MATCH(Index_Match!G$1,Sheet1!$A$1:$J$1,0)))</f>
        <v>Auditor</v>
      </c>
      <c r="H275" s="20" t="str">
        <f>IF(ISBLANK($E275),"",INDEX(Sheet1!$A:$J,MATCH(Index_Match!$E275,Sheet1!$A:$A,0),MATCH(Index_Match!H$1,Sheet1!$A$1:$J$1,0)))</f>
        <v>Single</v>
      </c>
      <c r="I275" s="23">
        <f>IF(ISBLANK($E275),"",INDEX(Sheet1!$A:$J,MATCH(Index_Match!$E275,Sheet1!$A:$A,0),MATCH(Index_Match!I$1,Sheet1!$A$1:$J$1,0)))</f>
        <v>1</v>
      </c>
      <c r="J275" s="20" t="str">
        <f>IF(ISBLANK($E275),"",INDEX(Sheet1!$A:$J,MATCH(Index_Match!$E275,Sheet1!$A:$A,0),MATCH(Index_Match!J$1,Sheet1!$A$1:$J$1,0)))</f>
        <v>Rubie Clark</v>
      </c>
      <c r="K275" s="23">
        <f>IF(ISBLANK($E275),"",INDEX(Sheet1!$A:$J,MATCH(Index_Match!$E275,Sheet1!$A:$A,0),MATCH(Index_Match!K$1,Sheet1!$A$1:$J$1,0)))</f>
        <v>1</v>
      </c>
      <c r="L275" s="20" t="str">
        <f>IF(ISBLANK($E275),"",INDEX(Sheet1!$A:$J,MATCH(Index_Match!$E275,Sheet1!$A:$A,0),MATCH(Index_Match!L$1,Sheet1!$A$1:$J$1,0)))</f>
        <v>Clark</v>
      </c>
      <c r="M275" s="20" t="str">
        <f>IF(ISBLANK($E275),"",INDEX(Sheet1!$A:$J,MATCH(Index_Match!$E275,Sheet1!$A:$A,0),MATCH(Index_Match!M$1,Sheet1!$A$1:$J$1,0)))</f>
        <v>Young</v>
      </c>
    </row>
    <row r="276" spans="2:13" x14ac:dyDescent="0.25">
      <c r="B276" s="20"/>
      <c r="C276" s="20"/>
      <c r="D276" s="20"/>
      <c r="E276" s="20" t="str">
        <v>Alissa</v>
      </c>
      <c r="F276" s="20" t="str">
        <f>IF(ISBLANK($E276),"",INDEX(Sheet1!$A:$J,MATCH(Index_Match!$E276,Sheet1!$A:$A,0),MATCH(Index_Match!F$1,Sheet1!$A$1:$J$1,0)))</f>
        <v>Female</v>
      </c>
      <c r="G276" s="20" t="str">
        <f>IF(ISBLANK($E276),"",INDEX(Sheet1!$A:$J,MATCH(Index_Match!$E276,Sheet1!$A:$A,0),MATCH(Index_Match!G$1,Sheet1!$A$1:$J$1,0)))</f>
        <v>Hairdresser</v>
      </c>
      <c r="H276" s="20" t="str">
        <f>IF(ISBLANK($E276),"",INDEX(Sheet1!$A:$J,MATCH(Index_Match!$E276,Sheet1!$A:$A,0),MATCH(Index_Match!H$1,Sheet1!$A$1:$J$1,0)))</f>
        <v>Single</v>
      </c>
      <c r="I276" s="23">
        <f>IF(ISBLANK($E276),"",INDEX(Sheet1!$A:$J,MATCH(Index_Match!$E276,Sheet1!$A:$A,0),MATCH(Index_Match!I$1,Sheet1!$A$1:$J$1,0)))</f>
        <v>0</v>
      </c>
      <c r="J276" s="20" t="str">
        <f>IF(ISBLANK($E276),"",INDEX(Sheet1!$A:$J,MATCH(Index_Match!$E276,Sheet1!$A:$A,0),MATCH(Index_Match!J$1,Sheet1!$A$1:$J$1,0)))</f>
        <v>Alissa Ferguson</v>
      </c>
      <c r="K276" s="23">
        <f>IF(ISBLANK($E276),"",INDEX(Sheet1!$A:$J,MATCH(Index_Match!$E276,Sheet1!$A:$A,0),MATCH(Index_Match!K$1,Sheet1!$A$1:$J$1,0)))</f>
        <v>0</v>
      </c>
      <c r="L276" s="20" t="str">
        <f>IF(ISBLANK($E276),"",INDEX(Sheet1!$A:$J,MATCH(Index_Match!$E276,Sheet1!$A:$A,0),MATCH(Index_Match!L$1,Sheet1!$A$1:$J$1,0)))</f>
        <v>Ferguson</v>
      </c>
      <c r="M276" s="20" t="str">
        <f>IF(ISBLANK($E276),"",INDEX(Sheet1!$A:$J,MATCH(Index_Match!$E276,Sheet1!$A:$A,0),MATCH(Index_Match!M$1,Sheet1!$A$1:$J$1,0)))</f>
        <v>Middle Age</v>
      </c>
    </row>
    <row r="277" spans="2:13" x14ac:dyDescent="0.25">
      <c r="B277" s="20"/>
      <c r="C277" s="20"/>
      <c r="D277" s="20"/>
      <c r="E277" s="20" t="str">
        <v>Jenna</v>
      </c>
      <c r="F277" s="20" t="str">
        <f>IF(ISBLANK($E277),"",INDEX(Sheet1!$A:$J,MATCH(Index_Match!$E277,Sheet1!$A:$A,0),MATCH(Index_Match!F$1,Sheet1!$A$1:$J$1,0)))</f>
        <v>Female</v>
      </c>
      <c r="G277" s="20" t="str">
        <f>IF(ISBLANK($E277),"",INDEX(Sheet1!$A:$J,MATCH(Index_Match!$E277,Sheet1!$A:$A,0),MATCH(Index_Match!G$1,Sheet1!$A$1:$J$1,0)))</f>
        <v>Baker</v>
      </c>
      <c r="H277" s="20" t="str">
        <f>IF(ISBLANK($E277),"",INDEX(Sheet1!$A:$J,MATCH(Index_Match!$E277,Sheet1!$A:$A,0),MATCH(Index_Match!H$1,Sheet1!$A$1:$J$1,0)))</f>
        <v>Single</v>
      </c>
      <c r="I277" s="23">
        <f>IF(ISBLANK($E277),"",INDEX(Sheet1!$A:$J,MATCH(Index_Match!$E277,Sheet1!$A:$A,0),MATCH(Index_Match!I$1,Sheet1!$A$1:$J$1,0)))</f>
        <v>1</v>
      </c>
      <c r="J277" s="20" t="str">
        <f>IF(ISBLANK($E277),"",INDEX(Sheet1!$A:$J,MATCH(Index_Match!$E277,Sheet1!$A:$A,0),MATCH(Index_Match!J$1,Sheet1!$A$1:$J$1,0)))</f>
        <v>Jenna Ellis</v>
      </c>
      <c r="K277" s="23">
        <f>IF(ISBLANK($E277),"",INDEX(Sheet1!$A:$J,MATCH(Index_Match!$E277,Sheet1!$A:$A,0),MATCH(Index_Match!K$1,Sheet1!$A$1:$J$1,0)))</f>
        <v>1</v>
      </c>
      <c r="L277" s="20" t="str">
        <f>IF(ISBLANK($E277),"",INDEX(Sheet1!$A:$J,MATCH(Index_Match!$E277,Sheet1!$A:$A,0),MATCH(Index_Match!L$1,Sheet1!$A$1:$J$1,0)))</f>
        <v>Ellis</v>
      </c>
      <c r="M277" s="20" t="str">
        <f>IF(ISBLANK($E277),"",INDEX(Sheet1!$A:$J,MATCH(Index_Match!$E277,Sheet1!$A:$A,0),MATCH(Index_Match!M$1,Sheet1!$A$1:$J$1,0)))</f>
        <v>Old</v>
      </c>
    </row>
    <row r="278" spans="2:13" x14ac:dyDescent="0.25">
      <c r="B278" s="20"/>
      <c r="C278" s="20"/>
      <c r="D278" s="20"/>
      <c r="E278" s="20" t="str">
        <v>Evelyn</v>
      </c>
      <c r="F278" s="20" t="str">
        <f>IF(ISBLANK($E278),"",INDEX(Sheet1!$A:$J,MATCH(Index_Match!$E278,Sheet1!$A:$A,0),MATCH(Index_Match!F$1,Sheet1!$A$1:$J$1,0)))</f>
        <v>Female</v>
      </c>
      <c r="G278" s="20" t="str">
        <f>IF(ISBLANK($E278),"",INDEX(Sheet1!$A:$J,MATCH(Index_Match!$E278,Sheet1!$A:$A,0),MATCH(Index_Match!G$1,Sheet1!$A$1:$J$1,0)))</f>
        <v>Teacher</v>
      </c>
      <c r="H278" s="20" t="str">
        <f>IF(ISBLANK($E278),"",INDEX(Sheet1!$A:$J,MATCH(Index_Match!$E278,Sheet1!$A:$A,0),MATCH(Index_Match!H$1,Sheet1!$A$1:$J$1,0)))</f>
        <v>Married</v>
      </c>
      <c r="I278" s="23">
        <f>IF(ISBLANK($E278),"",INDEX(Sheet1!$A:$J,MATCH(Index_Match!$E278,Sheet1!$A:$A,0),MATCH(Index_Match!I$1,Sheet1!$A$1:$J$1,0)))</f>
        <v>3</v>
      </c>
      <c r="J278" s="20" t="str">
        <f>IF(ISBLANK($E278),"",INDEX(Sheet1!$A:$J,MATCH(Index_Match!$E278,Sheet1!$A:$A,0),MATCH(Index_Match!J$1,Sheet1!$A$1:$J$1,0)))</f>
        <v>Evelyn Watson</v>
      </c>
      <c r="K278" s="23">
        <f>IF(ISBLANK($E278),"",INDEX(Sheet1!$A:$J,MATCH(Index_Match!$E278,Sheet1!$A:$A,0),MATCH(Index_Match!K$1,Sheet1!$A$1:$J$1,0)))</f>
        <v>3</v>
      </c>
      <c r="L278" s="20" t="str">
        <f>IF(ISBLANK($E278),"",INDEX(Sheet1!$A:$J,MATCH(Index_Match!$E278,Sheet1!$A:$A,0),MATCH(Index_Match!L$1,Sheet1!$A$1:$J$1,0)))</f>
        <v>Watson</v>
      </c>
      <c r="M278" s="20" t="str">
        <f>IF(ISBLANK($E278),"",INDEX(Sheet1!$A:$J,MATCH(Index_Match!$E278,Sheet1!$A:$A,0),MATCH(Index_Match!M$1,Sheet1!$A$1:$J$1,0)))</f>
        <v>Middle Age</v>
      </c>
    </row>
    <row r="279" spans="2:13" x14ac:dyDescent="0.25">
      <c r="B279" s="20"/>
      <c r="C279" s="20"/>
      <c r="D279" s="20"/>
      <c r="E279" s="20" t="str">
        <v>Maria</v>
      </c>
      <c r="F279" s="20" t="str">
        <f>IF(ISBLANK($E279),"",INDEX(Sheet1!$A:$J,MATCH(Index_Match!$E279,Sheet1!$A:$A,0),MATCH(Index_Match!F$1,Sheet1!$A$1:$J$1,0)))</f>
        <v>Female</v>
      </c>
      <c r="G279" s="20" t="str">
        <f>IF(ISBLANK($E279),"",INDEX(Sheet1!$A:$J,MATCH(Index_Match!$E279,Sheet1!$A:$A,0),MATCH(Index_Match!G$1,Sheet1!$A$1:$J$1,0)))</f>
        <v>Engineer</v>
      </c>
      <c r="H279" s="20" t="str">
        <f>IF(ISBLANK($E279),"",INDEX(Sheet1!$A:$J,MATCH(Index_Match!$E279,Sheet1!$A:$A,0),MATCH(Index_Match!H$1,Sheet1!$A$1:$J$1,0)))</f>
        <v>Married</v>
      </c>
      <c r="I279" s="23">
        <f>IF(ISBLANK($E279),"",INDEX(Sheet1!$A:$J,MATCH(Index_Match!$E279,Sheet1!$A:$A,0),MATCH(Index_Match!I$1,Sheet1!$A$1:$J$1,0)))</f>
        <v>3</v>
      </c>
      <c r="J279" s="20" t="str">
        <f>IF(ISBLANK($E279),"",INDEX(Sheet1!$A:$J,MATCH(Index_Match!$E279,Sheet1!$A:$A,0),MATCH(Index_Match!J$1,Sheet1!$A$1:$J$1,0)))</f>
        <v>Maria Andrews</v>
      </c>
      <c r="K279" s="23">
        <f>IF(ISBLANK($E279),"",INDEX(Sheet1!$A:$J,MATCH(Index_Match!$E279,Sheet1!$A:$A,0),MATCH(Index_Match!K$1,Sheet1!$A$1:$J$1,0)))</f>
        <v>3</v>
      </c>
      <c r="L279" s="20" t="str">
        <f>IF(ISBLANK($E279),"",INDEX(Sheet1!$A:$J,MATCH(Index_Match!$E279,Sheet1!$A:$A,0),MATCH(Index_Match!L$1,Sheet1!$A$1:$J$1,0)))</f>
        <v>Andrews</v>
      </c>
      <c r="M279" s="20" t="str">
        <f>IF(ISBLANK($E279),"",INDEX(Sheet1!$A:$J,MATCH(Index_Match!$E279,Sheet1!$A:$A,0),MATCH(Index_Match!M$1,Sheet1!$A$1:$J$1,0)))</f>
        <v>Middle Age</v>
      </c>
    </row>
    <row r="280" spans="2:13" x14ac:dyDescent="0.25">
      <c r="B280" s="20"/>
      <c r="C280" s="20"/>
      <c r="D280" s="20"/>
      <c r="E280" s="20" t="str">
        <v>Arianna</v>
      </c>
      <c r="F280" s="20" t="str">
        <f>IF(ISBLANK($E280),"",INDEX(Sheet1!$A:$J,MATCH(Index_Match!$E280,Sheet1!$A:$A,0),MATCH(Index_Match!F$1,Sheet1!$A$1:$J$1,0)))</f>
        <v>Female</v>
      </c>
      <c r="G280" s="20" t="str">
        <f>IF(ISBLANK($E280),"",INDEX(Sheet1!$A:$J,MATCH(Index_Match!$E280,Sheet1!$A:$A,0),MATCH(Index_Match!G$1,Sheet1!$A$1:$J$1,0)))</f>
        <v>Biochemist</v>
      </c>
      <c r="H280" s="20" t="str">
        <f>IF(ISBLANK($E280),"",INDEX(Sheet1!$A:$J,MATCH(Index_Match!$E280,Sheet1!$A:$A,0),MATCH(Index_Match!H$1,Sheet1!$A$1:$J$1,0)))</f>
        <v>Married</v>
      </c>
      <c r="I280" s="23">
        <f>IF(ISBLANK($E280),"",INDEX(Sheet1!$A:$J,MATCH(Index_Match!$E280,Sheet1!$A:$A,0),MATCH(Index_Match!I$1,Sheet1!$A$1:$J$1,0)))</f>
        <v>0</v>
      </c>
      <c r="J280" s="20" t="str">
        <f>IF(ISBLANK($E280),"",INDEX(Sheet1!$A:$J,MATCH(Index_Match!$E280,Sheet1!$A:$A,0),MATCH(Index_Match!J$1,Sheet1!$A$1:$J$1,0)))</f>
        <v>Arianna Hall</v>
      </c>
      <c r="K280" s="23">
        <f>IF(ISBLANK($E280),"",INDEX(Sheet1!$A:$J,MATCH(Index_Match!$E280,Sheet1!$A:$A,0),MATCH(Index_Match!K$1,Sheet1!$A$1:$J$1,0)))</f>
        <v>0</v>
      </c>
      <c r="L280" s="20" t="str">
        <f>IF(ISBLANK($E280),"",INDEX(Sheet1!$A:$J,MATCH(Index_Match!$E280,Sheet1!$A:$A,0),MATCH(Index_Match!L$1,Sheet1!$A$1:$J$1,0)))</f>
        <v>Hall</v>
      </c>
      <c r="M280" s="20" t="str">
        <f>IF(ISBLANK($E280),"",INDEX(Sheet1!$A:$J,MATCH(Index_Match!$E280,Sheet1!$A:$A,0),MATCH(Index_Match!M$1,Sheet1!$A$1:$J$1,0)))</f>
        <v>Old</v>
      </c>
    </row>
    <row r="281" spans="2:13" x14ac:dyDescent="0.25">
      <c r="B281" s="20"/>
      <c r="C281" s="20"/>
      <c r="D281" s="20"/>
      <c r="E281" s="20" t="str">
        <v>Nicole</v>
      </c>
      <c r="F281" s="20" t="str">
        <f>IF(ISBLANK($E281),"",INDEX(Sheet1!$A:$J,MATCH(Index_Match!$E281,Sheet1!$A:$A,0),MATCH(Index_Match!F$1,Sheet1!$A$1:$J$1,0)))</f>
        <v>Female</v>
      </c>
      <c r="G281" s="20" t="str">
        <f>IF(ISBLANK($E281),"",INDEX(Sheet1!$A:$J,MATCH(Index_Match!$E281,Sheet1!$A:$A,0),MATCH(Index_Match!G$1,Sheet1!$A$1:$J$1,0)))</f>
        <v>Aeroplane Pilot</v>
      </c>
      <c r="H281" s="20" t="str">
        <f>IF(ISBLANK($E281),"",INDEX(Sheet1!$A:$J,MATCH(Index_Match!$E281,Sheet1!$A:$A,0),MATCH(Index_Match!H$1,Sheet1!$A$1:$J$1,0)))</f>
        <v>Married</v>
      </c>
      <c r="I281" s="23">
        <f>IF(ISBLANK($E281),"",INDEX(Sheet1!$A:$J,MATCH(Index_Match!$E281,Sheet1!$A:$A,0),MATCH(Index_Match!I$1,Sheet1!$A$1:$J$1,0)))</f>
        <v>0</v>
      </c>
      <c r="J281" s="20" t="str">
        <f>IF(ISBLANK($E281),"",INDEX(Sheet1!$A:$J,MATCH(Index_Match!$E281,Sheet1!$A:$A,0),MATCH(Index_Match!J$1,Sheet1!$A$1:$J$1,0)))</f>
        <v>Nicole Morgan</v>
      </c>
      <c r="K281" s="23">
        <f>IF(ISBLANK($E281),"",INDEX(Sheet1!$A:$J,MATCH(Index_Match!$E281,Sheet1!$A:$A,0),MATCH(Index_Match!K$1,Sheet1!$A$1:$J$1,0)))</f>
        <v>0</v>
      </c>
      <c r="L281" s="20" t="str">
        <f>IF(ISBLANK($E281),"",INDEX(Sheet1!$A:$J,MATCH(Index_Match!$E281,Sheet1!$A:$A,0),MATCH(Index_Match!L$1,Sheet1!$A$1:$J$1,0)))</f>
        <v>Morgan</v>
      </c>
      <c r="M281" s="20" t="str">
        <f>IF(ISBLANK($E281),"",INDEX(Sheet1!$A:$J,MATCH(Index_Match!$E281,Sheet1!$A:$A,0),MATCH(Index_Match!M$1,Sheet1!$A$1:$J$1,0)))</f>
        <v>Middle Age</v>
      </c>
    </row>
    <row r="282" spans="2:13" x14ac:dyDescent="0.25">
      <c r="B282" s="20"/>
      <c r="C282" s="20"/>
      <c r="D282" s="20"/>
      <c r="E282" s="20" t="str">
        <v>Eleanor</v>
      </c>
      <c r="F282" s="20" t="str">
        <f>IF(ISBLANK($E282),"",INDEX(Sheet1!$A:$J,MATCH(Index_Match!$E282,Sheet1!$A:$A,0),MATCH(Index_Match!F$1,Sheet1!$A$1:$J$1,0)))</f>
        <v>Female</v>
      </c>
      <c r="G282" s="20" t="str">
        <f>IF(ISBLANK($E282),"",INDEX(Sheet1!$A:$J,MATCH(Index_Match!$E282,Sheet1!$A:$A,0),MATCH(Index_Match!G$1,Sheet1!$A$1:$J$1,0)))</f>
        <v>Social Worker</v>
      </c>
      <c r="H282" s="20" t="str">
        <f>IF(ISBLANK($E282),"",INDEX(Sheet1!$A:$J,MATCH(Index_Match!$E282,Sheet1!$A:$A,0),MATCH(Index_Match!H$1,Sheet1!$A$1:$J$1,0)))</f>
        <v>Married</v>
      </c>
      <c r="I282" s="23">
        <f>IF(ISBLANK($E282),"",INDEX(Sheet1!$A:$J,MATCH(Index_Match!$E282,Sheet1!$A:$A,0),MATCH(Index_Match!I$1,Sheet1!$A$1:$J$1,0)))</f>
        <v>0</v>
      </c>
      <c r="J282" s="20" t="str">
        <f>IF(ISBLANK($E282),"",INDEX(Sheet1!$A:$J,MATCH(Index_Match!$E282,Sheet1!$A:$A,0),MATCH(Index_Match!J$1,Sheet1!$A$1:$J$1,0)))</f>
        <v>Eleanor Thomas</v>
      </c>
      <c r="K282" s="23">
        <f>IF(ISBLANK($E282),"",INDEX(Sheet1!$A:$J,MATCH(Index_Match!$E282,Sheet1!$A:$A,0),MATCH(Index_Match!K$1,Sheet1!$A$1:$J$1,0)))</f>
        <v>0</v>
      </c>
      <c r="L282" s="20" t="str">
        <f>IF(ISBLANK($E282),"",INDEX(Sheet1!$A:$J,MATCH(Index_Match!$E282,Sheet1!$A:$A,0),MATCH(Index_Match!L$1,Sheet1!$A$1:$J$1,0)))</f>
        <v>Thomas</v>
      </c>
      <c r="M282" s="20" t="str">
        <f>IF(ISBLANK($E282),"",INDEX(Sheet1!$A:$J,MATCH(Index_Match!$E282,Sheet1!$A:$A,0),MATCH(Index_Match!M$1,Sheet1!$A$1:$J$1,0)))</f>
        <v>Old</v>
      </c>
    </row>
    <row r="283" spans="2:13" x14ac:dyDescent="0.25">
      <c r="B283" s="20"/>
      <c r="C283" s="20"/>
      <c r="D283" s="20"/>
      <c r="E283" s="20" t="str">
        <v>Kimberly</v>
      </c>
      <c r="F283" s="20" t="str">
        <f>IF(ISBLANK($E283),"",INDEX(Sheet1!$A:$J,MATCH(Index_Match!$E283,Sheet1!$A:$A,0),MATCH(Index_Match!F$1,Sheet1!$A$1:$J$1,0)))</f>
        <v>Female</v>
      </c>
      <c r="G283" s="20" t="str">
        <f>IF(ISBLANK($E283),"",INDEX(Sheet1!$A:$J,MATCH(Index_Match!$E283,Sheet1!$A:$A,0),MATCH(Index_Match!G$1,Sheet1!$A$1:$J$1,0)))</f>
        <v>Geologist</v>
      </c>
      <c r="H283" s="20" t="str">
        <f>IF(ISBLANK($E283),"",INDEX(Sheet1!$A:$J,MATCH(Index_Match!$E283,Sheet1!$A:$A,0),MATCH(Index_Match!H$1,Sheet1!$A$1:$J$1,0)))</f>
        <v>Single</v>
      </c>
      <c r="I283" s="23">
        <f>IF(ISBLANK($E283),"",INDEX(Sheet1!$A:$J,MATCH(Index_Match!$E283,Sheet1!$A:$A,0),MATCH(Index_Match!I$1,Sheet1!$A$1:$J$1,0)))</f>
        <v>2</v>
      </c>
      <c r="J283" s="20" t="str">
        <f>IF(ISBLANK($E283),"",INDEX(Sheet1!$A:$J,MATCH(Index_Match!$E283,Sheet1!$A:$A,0),MATCH(Index_Match!J$1,Sheet1!$A$1:$J$1,0)))</f>
        <v>Kimberly Rogers</v>
      </c>
      <c r="K283" s="23">
        <f>IF(ISBLANK($E283),"",INDEX(Sheet1!$A:$J,MATCH(Index_Match!$E283,Sheet1!$A:$A,0),MATCH(Index_Match!K$1,Sheet1!$A$1:$J$1,0)))</f>
        <v>2</v>
      </c>
      <c r="L283" s="20" t="str">
        <f>IF(ISBLANK($E283),"",INDEX(Sheet1!$A:$J,MATCH(Index_Match!$E283,Sheet1!$A:$A,0),MATCH(Index_Match!L$1,Sheet1!$A$1:$J$1,0)))</f>
        <v>Rogers</v>
      </c>
      <c r="M283" s="20" t="str">
        <f>IF(ISBLANK($E283),"",INDEX(Sheet1!$A:$J,MATCH(Index_Match!$E283,Sheet1!$A:$A,0),MATCH(Index_Match!M$1,Sheet1!$A$1:$J$1,0)))</f>
        <v>Old</v>
      </c>
    </row>
    <row r="284" spans="2:13" x14ac:dyDescent="0.25">
      <c r="B284" s="20"/>
      <c r="C284" s="20"/>
      <c r="D284" s="20"/>
      <c r="E284" s="20" t="str">
        <v>Catherine</v>
      </c>
      <c r="F284" s="20" t="str">
        <f>IF(ISBLANK($E284),"",INDEX(Sheet1!$A:$J,MATCH(Index_Match!$E284,Sheet1!$A:$A,0),MATCH(Index_Match!F$1,Sheet1!$A$1:$J$1,0)))</f>
        <v>Female</v>
      </c>
      <c r="G284" s="20" t="str">
        <f>IF(ISBLANK($E284),"",INDEX(Sheet1!$A:$J,MATCH(Index_Match!$E284,Sheet1!$A:$A,0),MATCH(Index_Match!G$1,Sheet1!$A$1:$J$1,0)))</f>
        <v>Jeweller</v>
      </c>
      <c r="H284" s="20" t="str">
        <f>IF(ISBLANK($E284),"",INDEX(Sheet1!$A:$J,MATCH(Index_Match!$E284,Sheet1!$A:$A,0),MATCH(Index_Match!H$1,Sheet1!$A$1:$J$1,0)))</f>
        <v>Single</v>
      </c>
      <c r="I284" s="23">
        <f>IF(ISBLANK($E284),"",INDEX(Sheet1!$A:$J,MATCH(Index_Match!$E284,Sheet1!$A:$A,0),MATCH(Index_Match!I$1,Sheet1!$A$1:$J$1,0)))</f>
        <v>3</v>
      </c>
      <c r="J284" s="20" t="str">
        <f>IF(ISBLANK($E284),"",INDEX(Sheet1!$A:$J,MATCH(Index_Match!$E284,Sheet1!$A:$A,0),MATCH(Index_Match!J$1,Sheet1!$A$1:$J$1,0)))</f>
        <v>Catherine Sullivan</v>
      </c>
      <c r="K284" s="23">
        <f>IF(ISBLANK($E284),"",INDEX(Sheet1!$A:$J,MATCH(Index_Match!$E284,Sheet1!$A:$A,0),MATCH(Index_Match!K$1,Sheet1!$A$1:$J$1,0)))</f>
        <v>3</v>
      </c>
      <c r="L284" s="20" t="str">
        <f>IF(ISBLANK($E284),"",INDEX(Sheet1!$A:$J,MATCH(Index_Match!$E284,Sheet1!$A:$A,0),MATCH(Index_Match!L$1,Sheet1!$A$1:$J$1,0)))</f>
        <v>Sullivan</v>
      </c>
      <c r="M284" s="20" t="str">
        <f>IF(ISBLANK($E284),"",INDEX(Sheet1!$A:$J,MATCH(Index_Match!$E284,Sheet1!$A:$A,0),MATCH(Index_Match!M$1,Sheet1!$A$1:$J$1,0)))</f>
        <v>Young</v>
      </c>
    </row>
    <row r="285" spans="2:13" x14ac:dyDescent="0.25">
      <c r="B285" s="20"/>
      <c r="C285" s="20"/>
      <c r="D285" s="20"/>
      <c r="E285" s="20" t="str">
        <v>Lilianna</v>
      </c>
      <c r="F285" s="20" t="str">
        <f>IF(ISBLANK($E285),"",INDEX(Sheet1!$A:$J,MATCH(Index_Match!$E285,Sheet1!$A:$A,0),MATCH(Index_Match!F$1,Sheet1!$A$1:$J$1,0)))</f>
        <v>Female</v>
      </c>
      <c r="G285" s="20" t="str">
        <f>IF(ISBLANK($E285),"",INDEX(Sheet1!$A:$J,MATCH(Index_Match!$E285,Sheet1!$A:$A,0),MATCH(Index_Match!G$1,Sheet1!$A$1:$J$1,0)))</f>
        <v>Veterinarian</v>
      </c>
      <c r="H285" s="20" t="str">
        <f>IF(ISBLANK($E285),"",INDEX(Sheet1!$A:$J,MATCH(Index_Match!$E285,Sheet1!$A:$A,0),MATCH(Index_Match!H$1,Sheet1!$A$1:$J$1,0)))</f>
        <v>Married</v>
      </c>
      <c r="I285" s="23">
        <f>IF(ISBLANK($E285),"",INDEX(Sheet1!$A:$J,MATCH(Index_Match!$E285,Sheet1!$A:$A,0),MATCH(Index_Match!I$1,Sheet1!$A$1:$J$1,0)))</f>
        <v>4</v>
      </c>
      <c r="J285" s="20" t="str">
        <f>IF(ISBLANK($E285),"",INDEX(Sheet1!$A:$J,MATCH(Index_Match!$E285,Sheet1!$A:$A,0),MATCH(Index_Match!J$1,Sheet1!$A$1:$J$1,0)))</f>
        <v>Lilianna Morrison</v>
      </c>
      <c r="K285" s="23">
        <f>IF(ISBLANK($E285),"",INDEX(Sheet1!$A:$J,MATCH(Index_Match!$E285,Sheet1!$A:$A,0),MATCH(Index_Match!K$1,Sheet1!$A$1:$J$1,0)))</f>
        <v>4</v>
      </c>
      <c r="L285" s="20" t="str">
        <f>IF(ISBLANK($E285),"",INDEX(Sheet1!$A:$J,MATCH(Index_Match!$E285,Sheet1!$A:$A,0),MATCH(Index_Match!L$1,Sheet1!$A$1:$J$1,0)))</f>
        <v>Morrison</v>
      </c>
      <c r="M285" s="20" t="str">
        <f>IF(ISBLANK($E285),"",INDEX(Sheet1!$A:$J,MATCH(Index_Match!$E285,Sheet1!$A:$A,0),MATCH(Index_Match!M$1,Sheet1!$A$1:$J$1,0)))</f>
        <v>Old</v>
      </c>
    </row>
    <row r="286" spans="2:13" x14ac:dyDescent="0.25">
      <c r="B286" s="20"/>
      <c r="C286" s="20"/>
      <c r="D286" s="20"/>
      <c r="E286" s="20" t="str">
        <v>Tess</v>
      </c>
      <c r="F286" s="20" t="str">
        <f>IF(ISBLANK($E286),"",INDEX(Sheet1!$A:$J,MATCH(Index_Match!$E286,Sheet1!$A:$A,0),MATCH(Index_Match!F$1,Sheet1!$A$1:$J$1,0)))</f>
        <v>Female</v>
      </c>
      <c r="G286" s="20" t="str">
        <f>IF(ISBLANK($E286),"",INDEX(Sheet1!$A:$J,MATCH(Index_Match!$E286,Sheet1!$A:$A,0),MATCH(Index_Match!G$1,Sheet1!$A$1:$J$1,0)))</f>
        <v>Cook</v>
      </c>
      <c r="H286" s="20" t="str">
        <f>IF(ISBLANK($E286),"",INDEX(Sheet1!$A:$J,MATCH(Index_Match!$E286,Sheet1!$A:$A,0),MATCH(Index_Match!H$1,Sheet1!$A$1:$J$1,0)))</f>
        <v>Single</v>
      </c>
      <c r="I286" s="23">
        <f>IF(ISBLANK($E286),"",INDEX(Sheet1!$A:$J,MATCH(Index_Match!$E286,Sheet1!$A:$A,0),MATCH(Index_Match!I$1,Sheet1!$A$1:$J$1,0)))</f>
        <v>2</v>
      </c>
      <c r="J286" s="20" t="str">
        <f>IF(ISBLANK($E286),"",INDEX(Sheet1!$A:$J,MATCH(Index_Match!$E286,Sheet1!$A:$A,0),MATCH(Index_Match!J$1,Sheet1!$A$1:$J$1,0)))</f>
        <v>Tess Adams</v>
      </c>
      <c r="K286" s="23">
        <f>IF(ISBLANK($E286),"",INDEX(Sheet1!$A:$J,MATCH(Index_Match!$E286,Sheet1!$A:$A,0),MATCH(Index_Match!K$1,Sheet1!$A$1:$J$1,0)))</f>
        <v>2</v>
      </c>
      <c r="L286" s="20" t="str">
        <f>IF(ISBLANK($E286),"",INDEX(Sheet1!$A:$J,MATCH(Index_Match!$E286,Sheet1!$A:$A,0),MATCH(Index_Match!L$1,Sheet1!$A$1:$J$1,0)))</f>
        <v>Adams</v>
      </c>
      <c r="M286" s="20" t="str">
        <f>IF(ISBLANK($E286),"",INDEX(Sheet1!$A:$J,MATCH(Index_Match!$E286,Sheet1!$A:$A,0),MATCH(Index_Match!M$1,Sheet1!$A$1:$J$1,0)))</f>
        <v>Young</v>
      </c>
    </row>
    <row r="287" spans="2:13" x14ac:dyDescent="0.25">
      <c r="B287" s="20"/>
      <c r="C287" s="20"/>
      <c r="D287" s="20"/>
      <c r="E287" s="20" t="str">
        <v>Lilianna</v>
      </c>
      <c r="F287" s="20" t="str">
        <f>IF(ISBLANK($E287),"",INDEX(Sheet1!$A:$J,MATCH(Index_Match!$E287,Sheet1!$A:$A,0),MATCH(Index_Match!F$1,Sheet1!$A$1:$J$1,0)))</f>
        <v>Female</v>
      </c>
      <c r="G287" s="20" t="str">
        <f>IF(ISBLANK($E287),"",INDEX(Sheet1!$A:$J,MATCH(Index_Match!$E287,Sheet1!$A:$A,0),MATCH(Index_Match!G$1,Sheet1!$A$1:$J$1,0)))</f>
        <v>Veterinarian</v>
      </c>
      <c r="H287" s="20" t="str">
        <f>IF(ISBLANK($E287),"",INDEX(Sheet1!$A:$J,MATCH(Index_Match!$E287,Sheet1!$A:$A,0),MATCH(Index_Match!H$1,Sheet1!$A$1:$J$1,0)))</f>
        <v>Married</v>
      </c>
      <c r="I287" s="23">
        <f>IF(ISBLANK($E287),"",INDEX(Sheet1!$A:$J,MATCH(Index_Match!$E287,Sheet1!$A:$A,0),MATCH(Index_Match!I$1,Sheet1!$A$1:$J$1,0)))</f>
        <v>4</v>
      </c>
      <c r="J287" s="20" t="str">
        <f>IF(ISBLANK($E287),"",INDEX(Sheet1!$A:$J,MATCH(Index_Match!$E287,Sheet1!$A:$A,0),MATCH(Index_Match!J$1,Sheet1!$A$1:$J$1,0)))</f>
        <v>Lilianna Morrison</v>
      </c>
      <c r="K287" s="23">
        <f>IF(ISBLANK($E287),"",INDEX(Sheet1!$A:$J,MATCH(Index_Match!$E287,Sheet1!$A:$A,0),MATCH(Index_Match!K$1,Sheet1!$A$1:$J$1,0)))</f>
        <v>4</v>
      </c>
      <c r="L287" s="20" t="str">
        <f>IF(ISBLANK($E287),"",INDEX(Sheet1!$A:$J,MATCH(Index_Match!$E287,Sheet1!$A:$A,0),MATCH(Index_Match!L$1,Sheet1!$A$1:$J$1,0)))</f>
        <v>Morrison</v>
      </c>
      <c r="M287" s="20" t="str">
        <f>IF(ISBLANK($E287),"",INDEX(Sheet1!$A:$J,MATCH(Index_Match!$E287,Sheet1!$A:$A,0),MATCH(Index_Match!M$1,Sheet1!$A$1:$J$1,0)))</f>
        <v>Old</v>
      </c>
    </row>
    <row r="288" spans="2:13" x14ac:dyDescent="0.25">
      <c r="B288" s="20"/>
      <c r="C288" s="20"/>
      <c r="D288" s="20"/>
      <c r="E288" s="20" t="str">
        <v>Alberta</v>
      </c>
      <c r="F288" s="20" t="str">
        <f>IF(ISBLANK($E288),"",INDEX(Sheet1!$A:$J,MATCH(Index_Match!$E288,Sheet1!$A:$A,0),MATCH(Index_Match!F$1,Sheet1!$A$1:$J$1,0)))</f>
        <v>Female</v>
      </c>
      <c r="G288" s="20" t="str">
        <f>IF(ISBLANK($E288),"",INDEX(Sheet1!$A:$J,MATCH(Index_Match!$E288,Sheet1!$A:$A,0),MATCH(Index_Match!G$1,Sheet1!$A$1:$J$1,0)))</f>
        <v>Hairdresser</v>
      </c>
      <c r="H288" s="20" t="str">
        <f>IF(ISBLANK($E288),"",INDEX(Sheet1!$A:$J,MATCH(Index_Match!$E288,Sheet1!$A:$A,0),MATCH(Index_Match!H$1,Sheet1!$A$1:$J$1,0)))</f>
        <v>Married</v>
      </c>
      <c r="I288" s="23">
        <f>IF(ISBLANK($E288),"",INDEX(Sheet1!$A:$J,MATCH(Index_Match!$E288,Sheet1!$A:$A,0),MATCH(Index_Match!I$1,Sheet1!$A$1:$J$1,0)))</f>
        <v>2</v>
      </c>
      <c r="J288" s="20" t="str">
        <f>IF(ISBLANK($E288),"",INDEX(Sheet1!$A:$J,MATCH(Index_Match!$E288,Sheet1!$A:$A,0),MATCH(Index_Match!J$1,Sheet1!$A$1:$J$1,0)))</f>
        <v>Alberta Murray</v>
      </c>
      <c r="K288" s="23">
        <f>IF(ISBLANK($E288),"",INDEX(Sheet1!$A:$J,MATCH(Index_Match!$E288,Sheet1!$A:$A,0),MATCH(Index_Match!K$1,Sheet1!$A$1:$J$1,0)))</f>
        <v>2</v>
      </c>
      <c r="L288" s="20" t="str">
        <f>IF(ISBLANK($E288),"",INDEX(Sheet1!$A:$J,MATCH(Index_Match!$E288,Sheet1!$A:$A,0),MATCH(Index_Match!L$1,Sheet1!$A$1:$J$1,0)))</f>
        <v>Murray</v>
      </c>
      <c r="M288" s="20" t="str">
        <f>IF(ISBLANK($E288),"",INDEX(Sheet1!$A:$J,MATCH(Index_Match!$E288,Sheet1!$A:$A,0),MATCH(Index_Match!M$1,Sheet1!$A$1:$J$1,0)))</f>
        <v>Old</v>
      </c>
    </row>
    <row r="289" spans="2:13" x14ac:dyDescent="0.25">
      <c r="B289" s="20"/>
      <c r="C289" s="20"/>
      <c r="D289" s="20"/>
      <c r="E289" s="20" t="str">
        <v>Penelope</v>
      </c>
      <c r="F289" s="20" t="str">
        <f>IF(ISBLANK($E289),"",INDEX(Sheet1!$A:$J,MATCH(Index_Match!$E289,Sheet1!$A:$A,0),MATCH(Index_Match!F$1,Sheet1!$A$1:$J$1,0)))</f>
        <v>Female</v>
      </c>
      <c r="G289" s="20" t="str">
        <f>IF(ISBLANK($E289),"",INDEX(Sheet1!$A:$J,MATCH(Index_Match!$E289,Sheet1!$A:$A,0),MATCH(Index_Match!G$1,Sheet1!$A$1:$J$1,0)))</f>
        <v>Singer</v>
      </c>
      <c r="H289" s="20" t="str">
        <f>IF(ISBLANK($E289),"",INDEX(Sheet1!$A:$J,MATCH(Index_Match!$E289,Sheet1!$A:$A,0),MATCH(Index_Match!H$1,Sheet1!$A$1:$J$1,0)))</f>
        <v>Single</v>
      </c>
      <c r="I289" s="23">
        <f>IF(ISBLANK($E289),"",INDEX(Sheet1!$A:$J,MATCH(Index_Match!$E289,Sheet1!$A:$A,0),MATCH(Index_Match!I$1,Sheet1!$A$1:$J$1,0)))</f>
        <v>5</v>
      </c>
      <c r="J289" s="20" t="str">
        <f>IF(ISBLANK($E289),"",INDEX(Sheet1!$A:$J,MATCH(Index_Match!$E289,Sheet1!$A:$A,0),MATCH(Index_Match!J$1,Sheet1!$A$1:$J$1,0)))</f>
        <v>Penelope Henderson</v>
      </c>
      <c r="K289" s="23">
        <f>IF(ISBLANK($E289),"",INDEX(Sheet1!$A:$J,MATCH(Index_Match!$E289,Sheet1!$A:$A,0),MATCH(Index_Match!K$1,Sheet1!$A$1:$J$1,0)))</f>
        <v>5</v>
      </c>
      <c r="L289" s="20" t="str">
        <f>IF(ISBLANK($E289),"",INDEX(Sheet1!$A:$J,MATCH(Index_Match!$E289,Sheet1!$A:$A,0),MATCH(Index_Match!L$1,Sheet1!$A$1:$J$1,0)))</f>
        <v>Henderson</v>
      </c>
      <c r="M289" s="20" t="str">
        <f>IF(ISBLANK($E289),"",INDEX(Sheet1!$A:$J,MATCH(Index_Match!$E289,Sheet1!$A:$A,0),MATCH(Index_Match!M$1,Sheet1!$A$1:$J$1,0)))</f>
        <v>Middle Age</v>
      </c>
    </row>
    <row r="290" spans="2:13" x14ac:dyDescent="0.25">
      <c r="B290" s="20"/>
      <c r="C290" s="20"/>
      <c r="D290" s="20"/>
      <c r="E290" s="20" t="str">
        <v>Miley</v>
      </c>
      <c r="F290" s="20" t="str">
        <f>IF(ISBLANK($E290),"",INDEX(Sheet1!$A:$J,MATCH(Index_Match!$E290,Sheet1!$A:$A,0),MATCH(Index_Match!F$1,Sheet1!$A$1:$J$1,0)))</f>
        <v>Female</v>
      </c>
      <c r="G290" s="20" t="str">
        <f>IF(ISBLANK($E290),"",INDEX(Sheet1!$A:$J,MATCH(Index_Match!$E290,Sheet1!$A:$A,0),MATCH(Index_Match!G$1,Sheet1!$A$1:$J$1,0)))</f>
        <v>Geologist</v>
      </c>
      <c r="H290" s="20" t="str">
        <f>IF(ISBLANK($E290),"",INDEX(Sheet1!$A:$J,MATCH(Index_Match!$E290,Sheet1!$A:$A,0),MATCH(Index_Match!H$1,Sheet1!$A$1:$J$1,0)))</f>
        <v>Single</v>
      </c>
      <c r="I290" s="23">
        <f>IF(ISBLANK($E290),"",INDEX(Sheet1!$A:$J,MATCH(Index_Match!$E290,Sheet1!$A:$A,0),MATCH(Index_Match!I$1,Sheet1!$A$1:$J$1,0)))</f>
        <v>5</v>
      </c>
      <c r="J290" s="20" t="str">
        <f>IF(ISBLANK($E290),"",INDEX(Sheet1!$A:$J,MATCH(Index_Match!$E290,Sheet1!$A:$A,0),MATCH(Index_Match!J$1,Sheet1!$A$1:$J$1,0)))</f>
        <v>Miley Perkins</v>
      </c>
      <c r="K290" s="23">
        <f>IF(ISBLANK($E290),"",INDEX(Sheet1!$A:$J,MATCH(Index_Match!$E290,Sheet1!$A:$A,0),MATCH(Index_Match!K$1,Sheet1!$A$1:$J$1,0)))</f>
        <v>5</v>
      </c>
      <c r="L290" s="20" t="str">
        <f>IF(ISBLANK($E290),"",INDEX(Sheet1!$A:$J,MATCH(Index_Match!$E290,Sheet1!$A:$A,0),MATCH(Index_Match!L$1,Sheet1!$A$1:$J$1,0)))</f>
        <v>Perkins</v>
      </c>
      <c r="M290" s="20" t="str">
        <f>IF(ISBLANK($E290),"",INDEX(Sheet1!$A:$J,MATCH(Index_Match!$E290,Sheet1!$A:$A,0),MATCH(Index_Match!M$1,Sheet1!$A$1:$J$1,0)))</f>
        <v>Middle Age</v>
      </c>
    </row>
    <row r="291" spans="2:13" x14ac:dyDescent="0.25">
      <c r="B291" s="20"/>
      <c r="C291" s="20"/>
      <c r="D291" s="20"/>
      <c r="E291" s="20" t="str">
        <v>Caroline</v>
      </c>
      <c r="F291" s="20" t="str">
        <f>IF(ISBLANK($E291),"",INDEX(Sheet1!$A:$J,MATCH(Index_Match!$E291,Sheet1!$A:$A,0),MATCH(Index_Match!F$1,Sheet1!$A$1:$J$1,0)))</f>
        <v>Female</v>
      </c>
      <c r="G291" s="20" t="str">
        <f>IF(ISBLANK($E291),"",INDEX(Sheet1!$A:$J,MATCH(Index_Match!$E291,Sheet1!$A:$A,0),MATCH(Index_Match!G$1,Sheet1!$A$1:$J$1,0)))</f>
        <v>Interior Designer</v>
      </c>
      <c r="H291" s="20" t="str">
        <f>IF(ISBLANK($E291),"",INDEX(Sheet1!$A:$J,MATCH(Index_Match!$E291,Sheet1!$A:$A,0),MATCH(Index_Match!H$1,Sheet1!$A$1:$J$1,0)))</f>
        <v>Married</v>
      </c>
      <c r="I291" s="23">
        <f>IF(ISBLANK($E291),"",INDEX(Sheet1!$A:$J,MATCH(Index_Match!$E291,Sheet1!$A:$A,0),MATCH(Index_Match!I$1,Sheet1!$A$1:$J$1,0)))</f>
        <v>0</v>
      </c>
      <c r="J291" s="20" t="str">
        <f>IF(ISBLANK($E291),"",INDEX(Sheet1!$A:$J,MATCH(Index_Match!$E291,Sheet1!$A:$A,0),MATCH(Index_Match!J$1,Sheet1!$A$1:$J$1,0)))</f>
        <v>Caroline Alexander</v>
      </c>
      <c r="K291" s="23">
        <f>IF(ISBLANK($E291),"",INDEX(Sheet1!$A:$J,MATCH(Index_Match!$E291,Sheet1!$A:$A,0),MATCH(Index_Match!K$1,Sheet1!$A$1:$J$1,0)))</f>
        <v>0</v>
      </c>
      <c r="L291" s="20" t="str">
        <f>IF(ISBLANK($E291),"",INDEX(Sheet1!$A:$J,MATCH(Index_Match!$E291,Sheet1!$A:$A,0),MATCH(Index_Match!L$1,Sheet1!$A$1:$J$1,0)))</f>
        <v>Alexander</v>
      </c>
      <c r="M291" s="20" t="str">
        <f>IF(ISBLANK($E291),"",INDEX(Sheet1!$A:$J,MATCH(Index_Match!$E291,Sheet1!$A:$A,0),MATCH(Index_Match!M$1,Sheet1!$A$1:$J$1,0)))</f>
        <v>Old</v>
      </c>
    </row>
    <row r="292" spans="2:13" x14ac:dyDescent="0.25">
      <c r="B292" s="20"/>
      <c r="C292" s="20"/>
      <c r="D292" s="20"/>
      <c r="E292" s="20" t="str">
        <v>Kirsten</v>
      </c>
      <c r="F292" s="20" t="str">
        <f>IF(ISBLANK($E292),"",INDEX(Sheet1!$A:$J,MATCH(Index_Match!$E292,Sheet1!$A:$A,0),MATCH(Index_Match!F$1,Sheet1!$A$1:$J$1,0)))</f>
        <v>Female</v>
      </c>
      <c r="G292" s="20" t="str">
        <f>IF(ISBLANK($E292),"",INDEX(Sheet1!$A:$J,MATCH(Index_Match!$E292,Sheet1!$A:$A,0),MATCH(Index_Match!G$1,Sheet1!$A$1:$J$1,0)))</f>
        <v>Meteorologist</v>
      </c>
      <c r="H292" s="20" t="str">
        <f>IF(ISBLANK($E292),"",INDEX(Sheet1!$A:$J,MATCH(Index_Match!$E292,Sheet1!$A:$A,0),MATCH(Index_Match!H$1,Sheet1!$A$1:$J$1,0)))</f>
        <v>Single</v>
      </c>
      <c r="I292" s="23">
        <f>IF(ISBLANK($E292),"",INDEX(Sheet1!$A:$J,MATCH(Index_Match!$E292,Sheet1!$A:$A,0),MATCH(Index_Match!I$1,Sheet1!$A$1:$J$1,0)))</f>
        <v>3</v>
      </c>
      <c r="J292" s="20" t="str">
        <f>IF(ISBLANK($E292),"",INDEX(Sheet1!$A:$J,MATCH(Index_Match!$E292,Sheet1!$A:$A,0),MATCH(Index_Match!J$1,Sheet1!$A$1:$J$1,0)))</f>
        <v>Kirsten Perry</v>
      </c>
      <c r="K292" s="23">
        <f>IF(ISBLANK($E292),"",INDEX(Sheet1!$A:$J,MATCH(Index_Match!$E292,Sheet1!$A:$A,0),MATCH(Index_Match!K$1,Sheet1!$A$1:$J$1,0)))</f>
        <v>3</v>
      </c>
      <c r="L292" s="20" t="str">
        <f>IF(ISBLANK($E292),"",INDEX(Sheet1!$A:$J,MATCH(Index_Match!$E292,Sheet1!$A:$A,0),MATCH(Index_Match!L$1,Sheet1!$A$1:$J$1,0)))</f>
        <v>Perry</v>
      </c>
      <c r="M292" s="20" t="str">
        <f>IF(ISBLANK($E292),"",INDEX(Sheet1!$A:$J,MATCH(Index_Match!$E292,Sheet1!$A:$A,0),MATCH(Index_Match!M$1,Sheet1!$A$1:$J$1,0)))</f>
        <v>Young</v>
      </c>
    </row>
    <row r="293" spans="2:13" x14ac:dyDescent="0.25">
      <c r="B293" s="20"/>
      <c r="C293" s="20"/>
      <c r="D293" s="20"/>
      <c r="E293" s="20" t="str">
        <v>Melanie</v>
      </c>
      <c r="F293" s="20" t="str">
        <f>IF(ISBLANK($E293),"",INDEX(Sheet1!$A:$J,MATCH(Index_Match!$E293,Sheet1!$A:$A,0),MATCH(Index_Match!F$1,Sheet1!$A$1:$J$1,0)))</f>
        <v>Female</v>
      </c>
      <c r="G293" s="20" t="str">
        <f>IF(ISBLANK($E293),"",INDEX(Sheet1!$A:$J,MATCH(Index_Match!$E293,Sheet1!$A:$A,0),MATCH(Index_Match!G$1,Sheet1!$A$1:$J$1,0)))</f>
        <v>Florist</v>
      </c>
      <c r="H293" s="20" t="str">
        <f>IF(ISBLANK($E293),"",INDEX(Sheet1!$A:$J,MATCH(Index_Match!$E293,Sheet1!$A:$A,0),MATCH(Index_Match!H$1,Sheet1!$A$1:$J$1,0)))</f>
        <v>Single</v>
      </c>
      <c r="I293" s="23">
        <f>IF(ISBLANK($E293),"",INDEX(Sheet1!$A:$J,MATCH(Index_Match!$E293,Sheet1!$A:$A,0),MATCH(Index_Match!I$1,Sheet1!$A$1:$J$1,0)))</f>
        <v>1</v>
      </c>
      <c r="J293" s="20" t="str">
        <f>IF(ISBLANK($E293),"",INDEX(Sheet1!$A:$J,MATCH(Index_Match!$E293,Sheet1!$A:$A,0),MATCH(Index_Match!J$1,Sheet1!$A$1:$J$1,0)))</f>
        <v>Melanie Craig</v>
      </c>
      <c r="K293" s="23">
        <f>IF(ISBLANK($E293),"",INDEX(Sheet1!$A:$J,MATCH(Index_Match!$E293,Sheet1!$A:$A,0),MATCH(Index_Match!K$1,Sheet1!$A$1:$J$1,0)))</f>
        <v>1</v>
      </c>
      <c r="L293" s="20" t="str">
        <f>IF(ISBLANK($E293),"",INDEX(Sheet1!$A:$J,MATCH(Index_Match!$E293,Sheet1!$A:$A,0),MATCH(Index_Match!L$1,Sheet1!$A$1:$J$1,0)))</f>
        <v>Craig</v>
      </c>
      <c r="M293" s="20" t="str">
        <f>IF(ISBLANK($E293),"",INDEX(Sheet1!$A:$J,MATCH(Index_Match!$E293,Sheet1!$A:$A,0),MATCH(Index_Match!M$1,Sheet1!$A$1:$J$1,0)))</f>
        <v>Young</v>
      </c>
    </row>
    <row r="294" spans="2:13" x14ac:dyDescent="0.25">
      <c r="B294" s="20"/>
      <c r="C294" s="20"/>
      <c r="D294" s="20"/>
      <c r="E294" s="20" t="str">
        <v>Charlotte</v>
      </c>
      <c r="F294" s="20" t="str">
        <f>IF(ISBLANK($E294),"",INDEX(Sheet1!$A:$J,MATCH(Index_Match!$E294,Sheet1!$A:$A,0),MATCH(Index_Match!F$1,Sheet1!$A$1:$J$1,0)))</f>
        <v>Female</v>
      </c>
      <c r="G294" s="20" t="str">
        <f>IF(ISBLANK($E294),"",INDEX(Sheet1!$A:$J,MATCH(Index_Match!$E294,Sheet1!$A:$A,0),MATCH(Index_Match!G$1,Sheet1!$A$1:$J$1,0)))</f>
        <v>Programmer</v>
      </c>
      <c r="H294" s="20" t="str">
        <f>IF(ISBLANK($E294),"",INDEX(Sheet1!$A:$J,MATCH(Index_Match!$E294,Sheet1!$A:$A,0),MATCH(Index_Match!H$1,Sheet1!$A$1:$J$1,0)))</f>
        <v>Single</v>
      </c>
      <c r="I294" s="23">
        <f>IF(ISBLANK($E294),"",INDEX(Sheet1!$A:$J,MATCH(Index_Match!$E294,Sheet1!$A:$A,0),MATCH(Index_Match!I$1,Sheet1!$A$1:$J$1,0)))</f>
        <v>4</v>
      </c>
      <c r="J294" s="20" t="str">
        <f>IF(ISBLANK($E294),"",INDEX(Sheet1!$A:$J,MATCH(Index_Match!$E294,Sheet1!$A:$A,0),MATCH(Index_Match!J$1,Sheet1!$A$1:$J$1,0)))</f>
        <v>Charlotte Cunningham</v>
      </c>
      <c r="K294" s="23">
        <f>IF(ISBLANK($E294),"",INDEX(Sheet1!$A:$J,MATCH(Index_Match!$E294,Sheet1!$A:$A,0),MATCH(Index_Match!K$1,Sheet1!$A$1:$J$1,0)))</f>
        <v>4</v>
      </c>
      <c r="L294" s="20" t="str">
        <f>IF(ISBLANK($E294),"",INDEX(Sheet1!$A:$J,MATCH(Index_Match!$E294,Sheet1!$A:$A,0),MATCH(Index_Match!L$1,Sheet1!$A$1:$J$1,0)))</f>
        <v>Cunningham</v>
      </c>
      <c r="M294" s="20" t="str">
        <f>IF(ISBLANK($E294),"",INDEX(Sheet1!$A:$J,MATCH(Index_Match!$E294,Sheet1!$A:$A,0),MATCH(Index_Match!M$1,Sheet1!$A$1:$J$1,0)))</f>
        <v>Middle Age</v>
      </c>
    </row>
    <row r="295" spans="2:13" x14ac:dyDescent="0.25">
      <c r="B295" s="20"/>
      <c r="C295" s="20"/>
      <c r="D295" s="20"/>
      <c r="E295" s="20" t="str">
        <v>Maria</v>
      </c>
      <c r="F295" s="20" t="str">
        <f>IF(ISBLANK($E295),"",INDEX(Sheet1!$A:$J,MATCH(Index_Match!$E295,Sheet1!$A:$A,0),MATCH(Index_Match!F$1,Sheet1!$A$1:$J$1,0)))</f>
        <v>Female</v>
      </c>
      <c r="G295" s="20" t="str">
        <f>IF(ISBLANK($E295),"",INDEX(Sheet1!$A:$J,MATCH(Index_Match!$E295,Sheet1!$A:$A,0),MATCH(Index_Match!G$1,Sheet1!$A$1:$J$1,0)))</f>
        <v>Engineer</v>
      </c>
      <c r="H295" s="20" t="str">
        <f>IF(ISBLANK($E295),"",INDEX(Sheet1!$A:$J,MATCH(Index_Match!$E295,Sheet1!$A:$A,0),MATCH(Index_Match!H$1,Sheet1!$A$1:$J$1,0)))</f>
        <v>Married</v>
      </c>
      <c r="I295" s="23">
        <f>IF(ISBLANK($E295),"",INDEX(Sheet1!$A:$J,MATCH(Index_Match!$E295,Sheet1!$A:$A,0),MATCH(Index_Match!I$1,Sheet1!$A$1:$J$1,0)))</f>
        <v>3</v>
      </c>
      <c r="J295" s="20" t="str">
        <f>IF(ISBLANK($E295),"",INDEX(Sheet1!$A:$J,MATCH(Index_Match!$E295,Sheet1!$A:$A,0),MATCH(Index_Match!J$1,Sheet1!$A$1:$J$1,0)))</f>
        <v>Maria Andrews</v>
      </c>
      <c r="K295" s="23">
        <f>IF(ISBLANK($E295),"",INDEX(Sheet1!$A:$J,MATCH(Index_Match!$E295,Sheet1!$A:$A,0),MATCH(Index_Match!K$1,Sheet1!$A$1:$J$1,0)))</f>
        <v>3</v>
      </c>
      <c r="L295" s="20" t="str">
        <f>IF(ISBLANK($E295),"",INDEX(Sheet1!$A:$J,MATCH(Index_Match!$E295,Sheet1!$A:$A,0),MATCH(Index_Match!L$1,Sheet1!$A$1:$J$1,0)))</f>
        <v>Andrews</v>
      </c>
      <c r="M295" s="20" t="str">
        <f>IF(ISBLANK($E295),"",INDEX(Sheet1!$A:$J,MATCH(Index_Match!$E295,Sheet1!$A:$A,0),MATCH(Index_Match!M$1,Sheet1!$A$1:$J$1,0)))</f>
        <v>Middle Age</v>
      </c>
    </row>
    <row r="296" spans="2:13" x14ac:dyDescent="0.25">
      <c r="B296" s="20"/>
      <c r="C296" s="20"/>
      <c r="D296" s="20"/>
      <c r="E296" s="20" t="str">
        <v>Chelsea</v>
      </c>
      <c r="F296" s="20" t="str">
        <f>IF(ISBLANK($E296),"",INDEX(Sheet1!$A:$J,MATCH(Index_Match!$E296,Sheet1!$A:$A,0),MATCH(Index_Match!F$1,Sheet1!$A$1:$J$1,0)))</f>
        <v>Female</v>
      </c>
      <c r="G296" s="20" t="str">
        <f>IF(ISBLANK($E296),"",INDEX(Sheet1!$A:$J,MATCH(Index_Match!$E296,Sheet1!$A:$A,0),MATCH(Index_Match!G$1,Sheet1!$A$1:$J$1,0)))</f>
        <v>Meteorologist</v>
      </c>
      <c r="H296" s="20" t="str">
        <f>IF(ISBLANK($E296),"",INDEX(Sheet1!$A:$J,MATCH(Index_Match!$E296,Sheet1!$A:$A,0),MATCH(Index_Match!H$1,Sheet1!$A$1:$J$1,0)))</f>
        <v>Married</v>
      </c>
      <c r="I296" s="23">
        <f>IF(ISBLANK($E296),"",INDEX(Sheet1!$A:$J,MATCH(Index_Match!$E296,Sheet1!$A:$A,0),MATCH(Index_Match!I$1,Sheet1!$A$1:$J$1,0)))</f>
        <v>2</v>
      </c>
      <c r="J296" s="20" t="str">
        <f>IF(ISBLANK($E296),"",INDEX(Sheet1!$A:$J,MATCH(Index_Match!$E296,Sheet1!$A:$A,0),MATCH(Index_Match!J$1,Sheet1!$A$1:$J$1,0)))</f>
        <v>Chelsea Perkins</v>
      </c>
      <c r="K296" s="23">
        <f>IF(ISBLANK($E296),"",INDEX(Sheet1!$A:$J,MATCH(Index_Match!$E296,Sheet1!$A:$A,0),MATCH(Index_Match!K$1,Sheet1!$A$1:$J$1,0)))</f>
        <v>2</v>
      </c>
      <c r="L296" s="20" t="str">
        <f>IF(ISBLANK($E296),"",INDEX(Sheet1!$A:$J,MATCH(Index_Match!$E296,Sheet1!$A:$A,0),MATCH(Index_Match!L$1,Sheet1!$A$1:$J$1,0)))</f>
        <v>Perkins</v>
      </c>
      <c r="M296" s="20" t="str">
        <f>IF(ISBLANK($E296),"",INDEX(Sheet1!$A:$J,MATCH(Index_Match!$E296,Sheet1!$A:$A,0),MATCH(Index_Match!M$1,Sheet1!$A$1:$J$1,0)))</f>
        <v>Young</v>
      </c>
    </row>
    <row r="297" spans="2:13" x14ac:dyDescent="0.25">
      <c r="B297" s="20"/>
      <c r="C297" s="20"/>
      <c r="D297" s="20"/>
      <c r="E297" s="20" t="str">
        <v>Alina</v>
      </c>
      <c r="F297" s="20" t="str">
        <f>IF(ISBLANK($E297),"",INDEX(Sheet1!$A:$J,MATCH(Index_Match!$E297,Sheet1!$A:$A,0),MATCH(Index_Match!F$1,Sheet1!$A$1:$J$1,0)))</f>
        <v>Female</v>
      </c>
      <c r="G297" s="20" t="str">
        <f>IF(ISBLANK($E297),"",INDEX(Sheet1!$A:$J,MATCH(Index_Match!$E297,Sheet1!$A:$A,0),MATCH(Index_Match!G$1,Sheet1!$A$1:$J$1,0)))</f>
        <v>Engineer</v>
      </c>
      <c r="H297" s="20" t="str">
        <f>IF(ISBLANK($E297),"",INDEX(Sheet1!$A:$J,MATCH(Index_Match!$E297,Sheet1!$A:$A,0),MATCH(Index_Match!H$1,Sheet1!$A$1:$J$1,0)))</f>
        <v>Single</v>
      </c>
      <c r="I297" s="23">
        <f>IF(ISBLANK($E297),"",INDEX(Sheet1!$A:$J,MATCH(Index_Match!$E297,Sheet1!$A:$A,0),MATCH(Index_Match!I$1,Sheet1!$A$1:$J$1,0)))</f>
        <v>0</v>
      </c>
      <c r="J297" s="20" t="str">
        <f>IF(ISBLANK($E297),"",INDEX(Sheet1!$A:$J,MATCH(Index_Match!$E297,Sheet1!$A:$A,0),MATCH(Index_Match!J$1,Sheet1!$A$1:$J$1,0)))</f>
        <v>Alina Russell</v>
      </c>
      <c r="K297" s="23">
        <f>IF(ISBLANK($E297),"",INDEX(Sheet1!$A:$J,MATCH(Index_Match!$E297,Sheet1!$A:$A,0),MATCH(Index_Match!K$1,Sheet1!$A$1:$J$1,0)))</f>
        <v>0</v>
      </c>
      <c r="L297" s="20" t="str">
        <f>IF(ISBLANK($E297),"",INDEX(Sheet1!$A:$J,MATCH(Index_Match!$E297,Sheet1!$A:$A,0),MATCH(Index_Match!L$1,Sheet1!$A$1:$J$1,0)))</f>
        <v>Russell</v>
      </c>
      <c r="M297" s="20" t="str">
        <f>IF(ISBLANK($E297),"",INDEX(Sheet1!$A:$J,MATCH(Index_Match!$E297,Sheet1!$A:$A,0),MATCH(Index_Match!M$1,Sheet1!$A$1:$J$1,0)))</f>
        <v>Old</v>
      </c>
    </row>
    <row r="298" spans="2:13" x14ac:dyDescent="0.25">
      <c r="B298" s="20"/>
      <c r="C298" s="20"/>
      <c r="D298" s="20"/>
      <c r="E298" s="20" t="str">
        <v>Florrie</v>
      </c>
      <c r="F298" s="20" t="str">
        <f>IF(ISBLANK($E298),"",INDEX(Sheet1!$A:$J,MATCH(Index_Match!$E298,Sheet1!$A:$A,0),MATCH(Index_Match!F$1,Sheet1!$A$1:$J$1,0)))</f>
        <v>Female</v>
      </c>
      <c r="G298" s="20" t="str">
        <f>IF(ISBLANK($E298),"",INDEX(Sheet1!$A:$J,MATCH(Index_Match!$E298,Sheet1!$A:$A,0),MATCH(Index_Match!G$1,Sheet1!$A$1:$J$1,0)))</f>
        <v>Biochemist</v>
      </c>
      <c r="H298" s="20" t="str">
        <f>IF(ISBLANK($E298),"",INDEX(Sheet1!$A:$J,MATCH(Index_Match!$E298,Sheet1!$A:$A,0),MATCH(Index_Match!H$1,Sheet1!$A$1:$J$1,0)))</f>
        <v>Single</v>
      </c>
      <c r="I298" s="23">
        <f>IF(ISBLANK($E298),"",INDEX(Sheet1!$A:$J,MATCH(Index_Match!$E298,Sheet1!$A:$A,0),MATCH(Index_Match!I$1,Sheet1!$A$1:$J$1,0)))</f>
        <v>4</v>
      </c>
      <c r="J298" s="20" t="str">
        <f>IF(ISBLANK($E298),"",INDEX(Sheet1!$A:$J,MATCH(Index_Match!$E298,Sheet1!$A:$A,0),MATCH(Index_Match!J$1,Sheet1!$A$1:$J$1,0)))</f>
        <v>Florrie Campbell</v>
      </c>
      <c r="K298" s="23">
        <f>IF(ISBLANK($E298),"",INDEX(Sheet1!$A:$J,MATCH(Index_Match!$E298,Sheet1!$A:$A,0),MATCH(Index_Match!K$1,Sheet1!$A$1:$J$1,0)))</f>
        <v>4</v>
      </c>
      <c r="L298" s="20" t="str">
        <f>IF(ISBLANK($E298),"",INDEX(Sheet1!$A:$J,MATCH(Index_Match!$E298,Sheet1!$A:$A,0),MATCH(Index_Match!L$1,Sheet1!$A$1:$J$1,0)))</f>
        <v>Campbell</v>
      </c>
      <c r="M298" s="20" t="str">
        <f>IF(ISBLANK($E298),"",INDEX(Sheet1!$A:$J,MATCH(Index_Match!$E298,Sheet1!$A:$A,0),MATCH(Index_Match!M$1,Sheet1!$A$1:$J$1,0)))</f>
        <v>Middle Age</v>
      </c>
    </row>
    <row r="299" spans="2:13" x14ac:dyDescent="0.25">
      <c r="B299" s="20"/>
      <c r="C299" s="20"/>
      <c r="D299" s="20"/>
      <c r="E299" s="20" t="str">
        <v>Carina</v>
      </c>
      <c r="F299" s="20" t="str">
        <f>IF(ISBLANK($E299),"",INDEX(Sheet1!$A:$J,MATCH(Index_Match!$E299,Sheet1!$A:$A,0),MATCH(Index_Match!F$1,Sheet1!$A$1:$J$1,0)))</f>
        <v>Female</v>
      </c>
      <c r="G299" s="20" t="str">
        <f>IF(ISBLANK($E299),"",INDEX(Sheet1!$A:$J,MATCH(Index_Match!$E299,Sheet1!$A:$A,0),MATCH(Index_Match!G$1,Sheet1!$A$1:$J$1,0)))</f>
        <v>Aeroplane Pilot</v>
      </c>
      <c r="H299" s="20" t="str">
        <f>IF(ISBLANK($E299),"",INDEX(Sheet1!$A:$J,MATCH(Index_Match!$E299,Sheet1!$A:$A,0),MATCH(Index_Match!H$1,Sheet1!$A$1:$J$1,0)))</f>
        <v>Married</v>
      </c>
      <c r="I299" s="23">
        <f>IF(ISBLANK($E299),"",INDEX(Sheet1!$A:$J,MATCH(Index_Match!$E299,Sheet1!$A:$A,0),MATCH(Index_Match!I$1,Sheet1!$A$1:$J$1,0)))</f>
        <v>4</v>
      </c>
      <c r="J299" s="20" t="str">
        <f>IF(ISBLANK($E299),"",INDEX(Sheet1!$A:$J,MATCH(Index_Match!$E299,Sheet1!$A:$A,0),MATCH(Index_Match!J$1,Sheet1!$A$1:$J$1,0)))</f>
        <v>Carina Williams</v>
      </c>
      <c r="K299" s="23">
        <f>IF(ISBLANK($E299),"",INDEX(Sheet1!$A:$J,MATCH(Index_Match!$E299,Sheet1!$A:$A,0),MATCH(Index_Match!K$1,Sheet1!$A$1:$J$1,0)))</f>
        <v>4</v>
      </c>
      <c r="L299" s="20" t="str">
        <f>IF(ISBLANK($E299),"",INDEX(Sheet1!$A:$J,MATCH(Index_Match!$E299,Sheet1!$A:$A,0),MATCH(Index_Match!L$1,Sheet1!$A$1:$J$1,0)))</f>
        <v>Williams</v>
      </c>
      <c r="M299" s="20" t="str">
        <f>IF(ISBLANK($E299),"",INDEX(Sheet1!$A:$J,MATCH(Index_Match!$E299,Sheet1!$A:$A,0),MATCH(Index_Match!M$1,Sheet1!$A$1:$J$1,0)))</f>
        <v>Young</v>
      </c>
    </row>
    <row r="300" spans="2:13" x14ac:dyDescent="0.25">
      <c r="B300" s="20"/>
      <c r="C300" s="20"/>
      <c r="D300" s="20"/>
      <c r="E300" s="20" t="str">
        <v>Amber</v>
      </c>
      <c r="F300" s="20" t="str">
        <f>IF(ISBLANK($E300),"",INDEX(Sheet1!$A:$J,MATCH(Index_Match!$E300,Sheet1!$A:$A,0),MATCH(Index_Match!F$1,Sheet1!$A$1:$J$1,0)))</f>
        <v>Female</v>
      </c>
      <c r="G300" s="20" t="str">
        <f>IF(ISBLANK($E300),"",INDEX(Sheet1!$A:$J,MATCH(Index_Match!$E300,Sheet1!$A:$A,0),MATCH(Index_Match!G$1,Sheet1!$A$1:$J$1,0)))</f>
        <v>Insurer</v>
      </c>
      <c r="H300" s="20" t="str">
        <f>IF(ISBLANK($E300),"",INDEX(Sheet1!$A:$J,MATCH(Index_Match!$E300,Sheet1!$A:$A,0),MATCH(Index_Match!H$1,Sheet1!$A$1:$J$1,0)))</f>
        <v>Single</v>
      </c>
      <c r="I300" s="23">
        <f>IF(ISBLANK($E300),"",INDEX(Sheet1!$A:$J,MATCH(Index_Match!$E300,Sheet1!$A:$A,0),MATCH(Index_Match!I$1,Sheet1!$A$1:$J$1,0)))</f>
        <v>3</v>
      </c>
      <c r="J300" s="20" t="str">
        <f>IF(ISBLANK($E300),"",INDEX(Sheet1!$A:$J,MATCH(Index_Match!$E300,Sheet1!$A:$A,0),MATCH(Index_Match!J$1,Sheet1!$A$1:$J$1,0)))</f>
        <v>Amber Murray</v>
      </c>
      <c r="K300" s="23">
        <f>IF(ISBLANK($E300),"",INDEX(Sheet1!$A:$J,MATCH(Index_Match!$E300,Sheet1!$A:$A,0),MATCH(Index_Match!K$1,Sheet1!$A$1:$J$1,0)))</f>
        <v>3</v>
      </c>
      <c r="L300" s="20" t="str">
        <f>IF(ISBLANK($E300),"",INDEX(Sheet1!$A:$J,MATCH(Index_Match!$E300,Sheet1!$A:$A,0),MATCH(Index_Match!L$1,Sheet1!$A$1:$J$1,0)))</f>
        <v>Murray</v>
      </c>
      <c r="M300" s="20" t="str">
        <f>IF(ISBLANK($E300),"",INDEX(Sheet1!$A:$J,MATCH(Index_Match!$E300,Sheet1!$A:$A,0),MATCH(Index_Match!M$1,Sheet1!$A$1:$J$1,0)))</f>
        <v>Middle Age</v>
      </c>
    </row>
    <row r="301" spans="2:13" x14ac:dyDescent="0.25">
      <c r="B301" s="20"/>
      <c r="C301" s="20"/>
      <c r="D301" s="20"/>
      <c r="E301" s="20" t="str">
        <v>Eleanor</v>
      </c>
      <c r="F301" s="20" t="str">
        <f>IF(ISBLANK($E301),"",INDEX(Sheet1!$A:$J,MATCH(Index_Match!$E301,Sheet1!$A:$A,0),MATCH(Index_Match!F$1,Sheet1!$A$1:$J$1,0)))</f>
        <v>Female</v>
      </c>
      <c r="G301" s="20" t="str">
        <f>IF(ISBLANK($E301),"",INDEX(Sheet1!$A:$J,MATCH(Index_Match!$E301,Sheet1!$A:$A,0),MATCH(Index_Match!G$1,Sheet1!$A$1:$J$1,0)))</f>
        <v>Social Worker</v>
      </c>
      <c r="H301" s="20" t="str">
        <f>IF(ISBLANK($E301),"",INDEX(Sheet1!$A:$J,MATCH(Index_Match!$E301,Sheet1!$A:$A,0),MATCH(Index_Match!H$1,Sheet1!$A$1:$J$1,0)))</f>
        <v>Married</v>
      </c>
      <c r="I301" s="23">
        <f>IF(ISBLANK($E301),"",INDEX(Sheet1!$A:$J,MATCH(Index_Match!$E301,Sheet1!$A:$A,0),MATCH(Index_Match!I$1,Sheet1!$A$1:$J$1,0)))</f>
        <v>0</v>
      </c>
      <c r="J301" s="20" t="str">
        <f>IF(ISBLANK($E301),"",INDEX(Sheet1!$A:$J,MATCH(Index_Match!$E301,Sheet1!$A:$A,0),MATCH(Index_Match!J$1,Sheet1!$A$1:$J$1,0)))</f>
        <v>Eleanor Thomas</v>
      </c>
      <c r="K301" s="23">
        <f>IF(ISBLANK($E301),"",INDEX(Sheet1!$A:$J,MATCH(Index_Match!$E301,Sheet1!$A:$A,0),MATCH(Index_Match!K$1,Sheet1!$A$1:$J$1,0)))</f>
        <v>0</v>
      </c>
      <c r="L301" s="20" t="str">
        <f>IF(ISBLANK($E301),"",INDEX(Sheet1!$A:$J,MATCH(Index_Match!$E301,Sheet1!$A:$A,0),MATCH(Index_Match!L$1,Sheet1!$A$1:$J$1,0)))</f>
        <v>Thomas</v>
      </c>
      <c r="M301" s="20" t="str">
        <f>IF(ISBLANK($E301),"",INDEX(Sheet1!$A:$J,MATCH(Index_Match!$E301,Sheet1!$A:$A,0),MATCH(Index_Match!M$1,Sheet1!$A$1:$J$1,0)))</f>
        <v>Old</v>
      </c>
    </row>
    <row r="302" spans="2:13" x14ac:dyDescent="0.25">
      <c r="B302" s="20"/>
      <c r="C302" s="20"/>
      <c r="D302" s="20"/>
      <c r="E302" s="20" t="str">
        <v>Valeria</v>
      </c>
      <c r="F302" s="20" t="str">
        <f>IF(ISBLANK($E302),"",INDEX(Sheet1!$A:$J,MATCH(Index_Match!$E302,Sheet1!$A:$A,0),MATCH(Index_Match!F$1,Sheet1!$A$1:$J$1,0)))</f>
        <v>Female</v>
      </c>
      <c r="G302" s="20" t="str">
        <f>IF(ISBLANK($E302),"",INDEX(Sheet1!$A:$J,MATCH(Index_Match!$E302,Sheet1!$A:$A,0),MATCH(Index_Match!G$1,Sheet1!$A$1:$J$1,0)))</f>
        <v>Medic</v>
      </c>
      <c r="H302" s="20" t="str">
        <f>IF(ISBLANK($E302),"",INDEX(Sheet1!$A:$J,MATCH(Index_Match!$E302,Sheet1!$A:$A,0),MATCH(Index_Match!H$1,Sheet1!$A$1:$J$1,0)))</f>
        <v>Married</v>
      </c>
      <c r="I302" s="23">
        <f>IF(ISBLANK($E302),"",INDEX(Sheet1!$A:$J,MATCH(Index_Match!$E302,Sheet1!$A:$A,0),MATCH(Index_Match!I$1,Sheet1!$A$1:$J$1,0)))</f>
        <v>5</v>
      </c>
      <c r="J302" s="20" t="str">
        <f>IF(ISBLANK($E302),"",INDEX(Sheet1!$A:$J,MATCH(Index_Match!$E302,Sheet1!$A:$A,0),MATCH(Index_Match!J$1,Sheet1!$A$1:$J$1,0)))</f>
        <v>Valeria Perry</v>
      </c>
      <c r="K302" s="23">
        <f>IF(ISBLANK($E302),"",INDEX(Sheet1!$A:$J,MATCH(Index_Match!$E302,Sheet1!$A:$A,0),MATCH(Index_Match!K$1,Sheet1!$A$1:$J$1,0)))</f>
        <v>5</v>
      </c>
      <c r="L302" s="20" t="str">
        <f>IF(ISBLANK($E302),"",INDEX(Sheet1!$A:$J,MATCH(Index_Match!$E302,Sheet1!$A:$A,0),MATCH(Index_Match!L$1,Sheet1!$A$1:$J$1,0)))</f>
        <v>Perry</v>
      </c>
      <c r="M302" s="20" t="str">
        <f>IF(ISBLANK($E302),"",INDEX(Sheet1!$A:$J,MATCH(Index_Match!$E302,Sheet1!$A:$A,0),MATCH(Index_Match!M$1,Sheet1!$A$1:$J$1,0)))</f>
        <v>Middle Age</v>
      </c>
    </row>
    <row r="303" spans="2:13" x14ac:dyDescent="0.25">
      <c r="B303" s="20"/>
      <c r="C303" s="20"/>
      <c r="D303" s="20"/>
      <c r="E303" s="20" t="str">
        <v>Tara</v>
      </c>
      <c r="F303" s="20" t="str">
        <f>IF(ISBLANK($E303),"",INDEX(Sheet1!$A:$J,MATCH(Index_Match!$E303,Sheet1!$A:$A,0),MATCH(Index_Match!F$1,Sheet1!$A$1:$J$1,0)))</f>
        <v>Female</v>
      </c>
      <c r="G303" s="20" t="str">
        <f>IF(ISBLANK($E303),"",INDEX(Sheet1!$A:$J,MATCH(Index_Match!$E303,Sheet1!$A:$A,0),MATCH(Index_Match!G$1,Sheet1!$A$1:$J$1,0)))</f>
        <v>Jeweller</v>
      </c>
      <c r="H303" s="20" t="str">
        <f>IF(ISBLANK($E303),"",INDEX(Sheet1!$A:$J,MATCH(Index_Match!$E303,Sheet1!$A:$A,0),MATCH(Index_Match!H$1,Sheet1!$A$1:$J$1,0)))</f>
        <v>Married</v>
      </c>
      <c r="I303" s="23">
        <f>IF(ISBLANK($E303),"",INDEX(Sheet1!$A:$J,MATCH(Index_Match!$E303,Sheet1!$A:$A,0),MATCH(Index_Match!I$1,Sheet1!$A$1:$J$1,0)))</f>
        <v>4</v>
      </c>
      <c r="J303" s="20" t="str">
        <f>IF(ISBLANK($E303),"",INDEX(Sheet1!$A:$J,MATCH(Index_Match!$E303,Sheet1!$A:$A,0),MATCH(Index_Match!J$1,Sheet1!$A$1:$J$1,0)))</f>
        <v>Tara Brown</v>
      </c>
      <c r="K303" s="23">
        <f>IF(ISBLANK($E303),"",INDEX(Sheet1!$A:$J,MATCH(Index_Match!$E303,Sheet1!$A:$A,0),MATCH(Index_Match!K$1,Sheet1!$A$1:$J$1,0)))</f>
        <v>4</v>
      </c>
      <c r="L303" s="20" t="str">
        <f>IF(ISBLANK($E303),"",INDEX(Sheet1!$A:$J,MATCH(Index_Match!$E303,Sheet1!$A:$A,0),MATCH(Index_Match!L$1,Sheet1!$A$1:$J$1,0)))</f>
        <v>Brown</v>
      </c>
      <c r="M303" s="20" t="str">
        <f>IF(ISBLANK($E303),"",INDEX(Sheet1!$A:$J,MATCH(Index_Match!$E303,Sheet1!$A:$A,0),MATCH(Index_Match!M$1,Sheet1!$A$1:$J$1,0)))</f>
        <v>Young</v>
      </c>
    </row>
    <row r="304" spans="2:13" x14ac:dyDescent="0.25">
      <c r="B304" s="20"/>
      <c r="C304" s="20"/>
      <c r="D304" s="20"/>
      <c r="E304" s="20" t="str">
        <v>Chloe</v>
      </c>
      <c r="F304" s="20" t="str">
        <f>IF(ISBLANK($E304),"",INDEX(Sheet1!$A:$J,MATCH(Index_Match!$E304,Sheet1!$A:$A,0),MATCH(Index_Match!F$1,Sheet1!$A$1:$J$1,0)))</f>
        <v>Female</v>
      </c>
      <c r="G304" s="20" t="str">
        <f>IF(ISBLANK($E304),"",INDEX(Sheet1!$A:$J,MATCH(Index_Match!$E304,Sheet1!$A:$A,0),MATCH(Index_Match!G$1,Sheet1!$A$1:$J$1,0)))</f>
        <v>Lecturer</v>
      </c>
      <c r="H304" s="20" t="str">
        <f>IF(ISBLANK($E304),"",INDEX(Sheet1!$A:$J,MATCH(Index_Match!$E304,Sheet1!$A:$A,0),MATCH(Index_Match!H$1,Sheet1!$A$1:$J$1,0)))</f>
        <v>Married</v>
      </c>
      <c r="I304" s="23">
        <f>IF(ISBLANK($E304),"",INDEX(Sheet1!$A:$J,MATCH(Index_Match!$E304,Sheet1!$A:$A,0),MATCH(Index_Match!I$1,Sheet1!$A$1:$J$1,0)))</f>
        <v>0</v>
      </c>
      <c r="J304" s="20" t="str">
        <f>IF(ISBLANK($E304),"",INDEX(Sheet1!$A:$J,MATCH(Index_Match!$E304,Sheet1!$A:$A,0),MATCH(Index_Match!J$1,Sheet1!$A$1:$J$1,0)))</f>
        <v>Chloe Perry</v>
      </c>
      <c r="K304" s="23">
        <f>IF(ISBLANK($E304),"",INDEX(Sheet1!$A:$J,MATCH(Index_Match!$E304,Sheet1!$A:$A,0),MATCH(Index_Match!K$1,Sheet1!$A$1:$J$1,0)))</f>
        <v>0</v>
      </c>
      <c r="L304" s="20" t="str">
        <f>IF(ISBLANK($E304),"",INDEX(Sheet1!$A:$J,MATCH(Index_Match!$E304,Sheet1!$A:$A,0),MATCH(Index_Match!L$1,Sheet1!$A$1:$J$1,0)))</f>
        <v>Perry</v>
      </c>
      <c r="M304" s="20" t="str">
        <f>IF(ISBLANK($E304),"",INDEX(Sheet1!$A:$J,MATCH(Index_Match!$E304,Sheet1!$A:$A,0),MATCH(Index_Match!M$1,Sheet1!$A$1:$J$1,0)))</f>
        <v>Young</v>
      </c>
    </row>
    <row r="305" spans="2:13" x14ac:dyDescent="0.25">
      <c r="B305" s="20"/>
      <c r="C305" s="20"/>
      <c r="D305" s="20"/>
      <c r="E305" s="20" t="str">
        <v>Ellia</v>
      </c>
      <c r="F305" s="20" t="str">
        <f>IF(ISBLANK($E305),"",INDEX(Sheet1!$A:$J,MATCH(Index_Match!$E305,Sheet1!$A:$A,0),MATCH(Index_Match!F$1,Sheet1!$A$1:$J$1,0)))</f>
        <v>Female</v>
      </c>
      <c r="G305" s="20" t="str">
        <f>IF(ISBLANK($E305),"",INDEX(Sheet1!$A:$J,MATCH(Index_Match!$E305,Sheet1!$A:$A,0),MATCH(Index_Match!G$1,Sheet1!$A$1:$J$1,0)))</f>
        <v>Dancer</v>
      </c>
      <c r="H305" s="20" t="str">
        <f>IF(ISBLANK($E305),"",INDEX(Sheet1!$A:$J,MATCH(Index_Match!$E305,Sheet1!$A:$A,0),MATCH(Index_Match!H$1,Sheet1!$A$1:$J$1,0)))</f>
        <v>Married</v>
      </c>
      <c r="I305" s="23">
        <f>IF(ISBLANK($E305),"",INDEX(Sheet1!$A:$J,MATCH(Index_Match!$E305,Sheet1!$A:$A,0),MATCH(Index_Match!I$1,Sheet1!$A$1:$J$1,0)))</f>
        <v>3</v>
      </c>
      <c r="J305" s="20" t="str">
        <f>IF(ISBLANK($E305),"",INDEX(Sheet1!$A:$J,MATCH(Index_Match!$E305,Sheet1!$A:$A,0),MATCH(Index_Match!J$1,Sheet1!$A$1:$J$1,0)))</f>
        <v>Ellia Kelly</v>
      </c>
      <c r="K305" s="23">
        <f>IF(ISBLANK($E305),"",INDEX(Sheet1!$A:$J,MATCH(Index_Match!$E305,Sheet1!$A:$A,0),MATCH(Index_Match!K$1,Sheet1!$A$1:$J$1,0)))</f>
        <v>3</v>
      </c>
      <c r="L305" s="20" t="str">
        <f>IF(ISBLANK($E305),"",INDEX(Sheet1!$A:$J,MATCH(Index_Match!$E305,Sheet1!$A:$A,0),MATCH(Index_Match!L$1,Sheet1!$A$1:$J$1,0)))</f>
        <v>Kelly</v>
      </c>
      <c r="M305" s="20" t="str">
        <f>IF(ISBLANK($E305),"",INDEX(Sheet1!$A:$J,MATCH(Index_Match!$E305,Sheet1!$A:$A,0),MATCH(Index_Match!M$1,Sheet1!$A$1:$J$1,0)))</f>
        <v>Middle Age</v>
      </c>
    </row>
    <row r="306" spans="2:13" x14ac:dyDescent="0.25">
      <c r="B306" s="20"/>
      <c r="C306" s="20"/>
      <c r="D306" s="20"/>
      <c r="E306" s="20" t="str">
        <v>Lucia</v>
      </c>
      <c r="F306" s="20" t="str">
        <f>IF(ISBLANK($E306),"",INDEX(Sheet1!$A:$J,MATCH(Index_Match!$E306,Sheet1!$A:$A,0),MATCH(Index_Match!F$1,Sheet1!$A$1:$J$1,0)))</f>
        <v>Female</v>
      </c>
      <c r="G306" s="20" t="str">
        <f>IF(ISBLANK($E306),"",INDEX(Sheet1!$A:$J,MATCH(Index_Match!$E306,Sheet1!$A:$A,0),MATCH(Index_Match!G$1,Sheet1!$A$1:$J$1,0)))</f>
        <v>Driver</v>
      </c>
      <c r="H306" s="20" t="str">
        <f>IF(ISBLANK($E306),"",INDEX(Sheet1!$A:$J,MATCH(Index_Match!$E306,Sheet1!$A:$A,0),MATCH(Index_Match!H$1,Sheet1!$A$1:$J$1,0)))</f>
        <v>Single</v>
      </c>
      <c r="I306" s="23">
        <f>IF(ISBLANK($E306),"",INDEX(Sheet1!$A:$J,MATCH(Index_Match!$E306,Sheet1!$A:$A,0),MATCH(Index_Match!I$1,Sheet1!$A$1:$J$1,0)))</f>
        <v>5</v>
      </c>
      <c r="J306" s="20" t="str">
        <f>IF(ISBLANK($E306),"",INDEX(Sheet1!$A:$J,MATCH(Index_Match!$E306,Sheet1!$A:$A,0),MATCH(Index_Match!J$1,Sheet1!$A$1:$J$1,0)))</f>
        <v>Lucia Cameron</v>
      </c>
      <c r="K306" s="23">
        <f>IF(ISBLANK($E306),"",INDEX(Sheet1!$A:$J,MATCH(Index_Match!$E306,Sheet1!$A:$A,0),MATCH(Index_Match!K$1,Sheet1!$A$1:$J$1,0)))</f>
        <v>5</v>
      </c>
      <c r="L306" s="20" t="str">
        <f>IF(ISBLANK($E306),"",INDEX(Sheet1!$A:$J,MATCH(Index_Match!$E306,Sheet1!$A:$A,0),MATCH(Index_Match!L$1,Sheet1!$A$1:$J$1,0)))</f>
        <v>Cameron</v>
      </c>
      <c r="M306" s="20" t="str">
        <f>IF(ISBLANK($E306),"",INDEX(Sheet1!$A:$J,MATCH(Index_Match!$E306,Sheet1!$A:$A,0),MATCH(Index_Match!M$1,Sheet1!$A$1:$J$1,0)))</f>
        <v>Middle Age</v>
      </c>
    </row>
    <row r="307" spans="2:13" x14ac:dyDescent="0.25">
      <c r="B307" s="20"/>
      <c r="C307" s="20"/>
      <c r="D307" s="20"/>
      <c r="E307" s="20" t="str">
        <v>Amanda</v>
      </c>
      <c r="F307" s="20" t="str">
        <f>IF(ISBLANK($E307),"",INDEX(Sheet1!$A:$J,MATCH(Index_Match!$E307,Sheet1!$A:$A,0),MATCH(Index_Match!F$1,Sheet1!$A$1:$J$1,0)))</f>
        <v>Female</v>
      </c>
      <c r="G307" s="20" t="str">
        <f>IF(ISBLANK($E307),"",INDEX(Sheet1!$A:$J,MATCH(Index_Match!$E307,Sheet1!$A:$A,0),MATCH(Index_Match!G$1,Sheet1!$A$1:$J$1,0)))</f>
        <v>Carpenter</v>
      </c>
      <c r="H307" s="20" t="str">
        <f>IF(ISBLANK($E307),"",INDEX(Sheet1!$A:$J,MATCH(Index_Match!$E307,Sheet1!$A:$A,0),MATCH(Index_Match!H$1,Sheet1!$A$1:$J$1,0)))</f>
        <v>Married</v>
      </c>
      <c r="I307" s="23">
        <f>IF(ISBLANK($E307),"",INDEX(Sheet1!$A:$J,MATCH(Index_Match!$E307,Sheet1!$A:$A,0),MATCH(Index_Match!I$1,Sheet1!$A$1:$J$1,0)))</f>
        <v>4</v>
      </c>
      <c r="J307" s="20" t="str">
        <f>IF(ISBLANK($E307),"",INDEX(Sheet1!$A:$J,MATCH(Index_Match!$E307,Sheet1!$A:$A,0),MATCH(Index_Match!J$1,Sheet1!$A$1:$J$1,0)))</f>
        <v>Amanda Brown</v>
      </c>
      <c r="K307" s="23">
        <f>IF(ISBLANK($E307),"",INDEX(Sheet1!$A:$J,MATCH(Index_Match!$E307,Sheet1!$A:$A,0),MATCH(Index_Match!K$1,Sheet1!$A$1:$J$1,0)))</f>
        <v>4</v>
      </c>
      <c r="L307" s="20" t="str">
        <f>IF(ISBLANK($E307),"",INDEX(Sheet1!$A:$J,MATCH(Index_Match!$E307,Sheet1!$A:$A,0),MATCH(Index_Match!L$1,Sheet1!$A$1:$J$1,0)))</f>
        <v>Brown</v>
      </c>
      <c r="M307" s="20" t="str">
        <f>IF(ISBLANK($E307),"",INDEX(Sheet1!$A:$J,MATCH(Index_Match!$E307,Sheet1!$A:$A,0),MATCH(Index_Match!M$1,Sheet1!$A$1:$J$1,0)))</f>
        <v>Old</v>
      </c>
    </row>
    <row r="308" spans="2:13" x14ac:dyDescent="0.25">
      <c r="B308" s="20"/>
      <c r="C308" s="20"/>
      <c r="D308" s="20"/>
      <c r="E308" s="20" t="str">
        <v>Rubie</v>
      </c>
      <c r="F308" s="20" t="str">
        <f>IF(ISBLANK($E308),"",INDEX(Sheet1!$A:$J,MATCH(Index_Match!$E308,Sheet1!$A:$A,0),MATCH(Index_Match!F$1,Sheet1!$A$1:$J$1,0)))</f>
        <v>Female</v>
      </c>
      <c r="G308" s="20" t="str">
        <f>IF(ISBLANK($E308),"",INDEX(Sheet1!$A:$J,MATCH(Index_Match!$E308,Sheet1!$A:$A,0),MATCH(Index_Match!G$1,Sheet1!$A$1:$J$1,0)))</f>
        <v>Auditor</v>
      </c>
      <c r="H308" s="20" t="str">
        <f>IF(ISBLANK($E308),"",INDEX(Sheet1!$A:$J,MATCH(Index_Match!$E308,Sheet1!$A:$A,0),MATCH(Index_Match!H$1,Sheet1!$A$1:$J$1,0)))</f>
        <v>Single</v>
      </c>
      <c r="I308" s="23">
        <f>IF(ISBLANK($E308),"",INDEX(Sheet1!$A:$J,MATCH(Index_Match!$E308,Sheet1!$A:$A,0),MATCH(Index_Match!I$1,Sheet1!$A$1:$J$1,0)))</f>
        <v>1</v>
      </c>
      <c r="J308" s="20" t="str">
        <f>IF(ISBLANK($E308),"",INDEX(Sheet1!$A:$J,MATCH(Index_Match!$E308,Sheet1!$A:$A,0),MATCH(Index_Match!J$1,Sheet1!$A$1:$J$1,0)))</f>
        <v>Rubie Clark</v>
      </c>
      <c r="K308" s="23">
        <f>IF(ISBLANK($E308),"",INDEX(Sheet1!$A:$J,MATCH(Index_Match!$E308,Sheet1!$A:$A,0),MATCH(Index_Match!K$1,Sheet1!$A$1:$J$1,0)))</f>
        <v>1</v>
      </c>
      <c r="L308" s="20" t="str">
        <f>IF(ISBLANK($E308),"",INDEX(Sheet1!$A:$J,MATCH(Index_Match!$E308,Sheet1!$A:$A,0),MATCH(Index_Match!L$1,Sheet1!$A$1:$J$1,0)))</f>
        <v>Clark</v>
      </c>
      <c r="M308" s="20" t="str">
        <f>IF(ISBLANK($E308),"",INDEX(Sheet1!$A:$J,MATCH(Index_Match!$E308,Sheet1!$A:$A,0),MATCH(Index_Match!M$1,Sheet1!$A$1:$J$1,0)))</f>
        <v>Young</v>
      </c>
    </row>
    <row r="309" spans="2:13" x14ac:dyDescent="0.25">
      <c r="B309" s="20"/>
      <c r="C309" s="20"/>
      <c r="D309" s="20"/>
      <c r="E309" s="20" t="str">
        <v>Edith</v>
      </c>
      <c r="F309" s="20" t="str">
        <f>IF(ISBLANK($E309),"",INDEX(Sheet1!$A:$J,MATCH(Index_Match!$E309,Sheet1!$A:$A,0),MATCH(Index_Match!F$1,Sheet1!$A$1:$J$1,0)))</f>
        <v>Female</v>
      </c>
      <c r="G309" s="20" t="str">
        <f>IF(ISBLANK($E309),"",INDEX(Sheet1!$A:$J,MATCH(Index_Match!$E309,Sheet1!$A:$A,0),MATCH(Index_Match!G$1,Sheet1!$A$1:$J$1,0)))</f>
        <v>Programmer</v>
      </c>
      <c r="H309" s="20" t="str">
        <f>IF(ISBLANK($E309),"",INDEX(Sheet1!$A:$J,MATCH(Index_Match!$E309,Sheet1!$A:$A,0),MATCH(Index_Match!H$1,Sheet1!$A$1:$J$1,0)))</f>
        <v>Single</v>
      </c>
      <c r="I309" s="23">
        <f>IF(ISBLANK($E309),"",INDEX(Sheet1!$A:$J,MATCH(Index_Match!$E309,Sheet1!$A:$A,0),MATCH(Index_Match!I$1,Sheet1!$A$1:$J$1,0)))</f>
        <v>3</v>
      </c>
      <c r="J309" s="20" t="str">
        <f>IF(ISBLANK($E309),"",INDEX(Sheet1!$A:$J,MATCH(Index_Match!$E309,Sheet1!$A:$A,0),MATCH(Index_Match!J$1,Sheet1!$A$1:$J$1,0)))</f>
        <v>Edith Hall</v>
      </c>
      <c r="K309" s="23">
        <f>IF(ISBLANK($E309),"",INDEX(Sheet1!$A:$J,MATCH(Index_Match!$E309,Sheet1!$A:$A,0),MATCH(Index_Match!K$1,Sheet1!$A$1:$J$1,0)))</f>
        <v>3</v>
      </c>
      <c r="L309" s="20" t="str">
        <f>IF(ISBLANK($E309),"",INDEX(Sheet1!$A:$J,MATCH(Index_Match!$E309,Sheet1!$A:$A,0),MATCH(Index_Match!L$1,Sheet1!$A$1:$J$1,0)))</f>
        <v>Hall</v>
      </c>
      <c r="M309" s="20" t="str">
        <f>IF(ISBLANK($E309),"",INDEX(Sheet1!$A:$J,MATCH(Index_Match!$E309,Sheet1!$A:$A,0),MATCH(Index_Match!M$1,Sheet1!$A$1:$J$1,0)))</f>
        <v>Young</v>
      </c>
    </row>
    <row r="310" spans="2:13" x14ac:dyDescent="0.25">
      <c r="B310" s="20"/>
      <c r="C310" s="20"/>
      <c r="D310" s="20"/>
      <c r="E310" s="20" t="str">
        <v>Lilianna</v>
      </c>
      <c r="F310" s="20" t="str">
        <f>IF(ISBLANK($E310),"",INDEX(Sheet1!$A:$J,MATCH(Index_Match!$E310,Sheet1!$A:$A,0),MATCH(Index_Match!F$1,Sheet1!$A$1:$J$1,0)))</f>
        <v>Female</v>
      </c>
      <c r="G310" s="20" t="str">
        <f>IF(ISBLANK($E310),"",INDEX(Sheet1!$A:$J,MATCH(Index_Match!$E310,Sheet1!$A:$A,0),MATCH(Index_Match!G$1,Sheet1!$A$1:$J$1,0)))</f>
        <v>Veterinarian</v>
      </c>
      <c r="H310" s="20" t="str">
        <f>IF(ISBLANK($E310),"",INDEX(Sheet1!$A:$J,MATCH(Index_Match!$E310,Sheet1!$A:$A,0),MATCH(Index_Match!H$1,Sheet1!$A$1:$J$1,0)))</f>
        <v>Married</v>
      </c>
      <c r="I310" s="23">
        <f>IF(ISBLANK($E310),"",INDEX(Sheet1!$A:$J,MATCH(Index_Match!$E310,Sheet1!$A:$A,0),MATCH(Index_Match!I$1,Sheet1!$A$1:$J$1,0)))</f>
        <v>4</v>
      </c>
      <c r="J310" s="20" t="str">
        <f>IF(ISBLANK($E310),"",INDEX(Sheet1!$A:$J,MATCH(Index_Match!$E310,Sheet1!$A:$A,0),MATCH(Index_Match!J$1,Sheet1!$A$1:$J$1,0)))</f>
        <v>Lilianna Morrison</v>
      </c>
      <c r="K310" s="23">
        <f>IF(ISBLANK($E310),"",INDEX(Sheet1!$A:$J,MATCH(Index_Match!$E310,Sheet1!$A:$A,0),MATCH(Index_Match!K$1,Sheet1!$A$1:$J$1,0)))</f>
        <v>4</v>
      </c>
      <c r="L310" s="20" t="str">
        <f>IF(ISBLANK($E310),"",INDEX(Sheet1!$A:$J,MATCH(Index_Match!$E310,Sheet1!$A:$A,0),MATCH(Index_Match!L$1,Sheet1!$A$1:$J$1,0)))</f>
        <v>Morrison</v>
      </c>
      <c r="M310" s="20" t="str">
        <f>IF(ISBLANK($E310),"",INDEX(Sheet1!$A:$J,MATCH(Index_Match!$E310,Sheet1!$A:$A,0),MATCH(Index_Match!M$1,Sheet1!$A$1:$J$1,0)))</f>
        <v>Old</v>
      </c>
    </row>
    <row r="311" spans="2:13" x14ac:dyDescent="0.25">
      <c r="B311" s="20"/>
      <c r="C311" s="20"/>
      <c r="D311" s="20"/>
      <c r="E311" s="20" t="str">
        <v>Melanie</v>
      </c>
      <c r="F311" s="20" t="str">
        <f>IF(ISBLANK($E311),"",INDEX(Sheet1!$A:$J,MATCH(Index_Match!$E311,Sheet1!$A:$A,0),MATCH(Index_Match!F$1,Sheet1!$A$1:$J$1,0)))</f>
        <v>Female</v>
      </c>
      <c r="G311" s="20" t="str">
        <f>IF(ISBLANK($E311),"",INDEX(Sheet1!$A:$J,MATCH(Index_Match!$E311,Sheet1!$A:$A,0),MATCH(Index_Match!G$1,Sheet1!$A$1:$J$1,0)))</f>
        <v>Florist</v>
      </c>
      <c r="H311" s="20" t="str">
        <f>IF(ISBLANK($E311),"",INDEX(Sheet1!$A:$J,MATCH(Index_Match!$E311,Sheet1!$A:$A,0),MATCH(Index_Match!H$1,Sheet1!$A$1:$J$1,0)))</f>
        <v>Single</v>
      </c>
      <c r="I311" s="23">
        <f>IF(ISBLANK($E311),"",INDEX(Sheet1!$A:$J,MATCH(Index_Match!$E311,Sheet1!$A:$A,0),MATCH(Index_Match!I$1,Sheet1!$A$1:$J$1,0)))</f>
        <v>1</v>
      </c>
      <c r="J311" s="20" t="str">
        <f>IF(ISBLANK($E311),"",INDEX(Sheet1!$A:$J,MATCH(Index_Match!$E311,Sheet1!$A:$A,0),MATCH(Index_Match!J$1,Sheet1!$A$1:$J$1,0)))</f>
        <v>Melanie Craig</v>
      </c>
      <c r="K311" s="23">
        <f>IF(ISBLANK($E311),"",INDEX(Sheet1!$A:$J,MATCH(Index_Match!$E311,Sheet1!$A:$A,0),MATCH(Index_Match!K$1,Sheet1!$A$1:$J$1,0)))</f>
        <v>1</v>
      </c>
      <c r="L311" s="20" t="str">
        <f>IF(ISBLANK($E311),"",INDEX(Sheet1!$A:$J,MATCH(Index_Match!$E311,Sheet1!$A:$A,0),MATCH(Index_Match!L$1,Sheet1!$A$1:$J$1,0)))</f>
        <v>Craig</v>
      </c>
      <c r="M311" s="20" t="str">
        <f>IF(ISBLANK($E311),"",INDEX(Sheet1!$A:$J,MATCH(Index_Match!$E311,Sheet1!$A:$A,0),MATCH(Index_Match!M$1,Sheet1!$A$1:$J$1,0)))</f>
        <v>Young</v>
      </c>
    </row>
    <row r="312" spans="2:13" x14ac:dyDescent="0.25">
      <c r="B312" s="20"/>
      <c r="C312" s="20"/>
      <c r="D312" s="20"/>
      <c r="E312" s="20" t="str">
        <v>Belinda</v>
      </c>
      <c r="F312" s="20" t="str">
        <f>IF(ISBLANK($E312),"",INDEX(Sheet1!$A:$J,MATCH(Index_Match!$E312,Sheet1!$A:$A,0),MATCH(Index_Match!F$1,Sheet1!$A$1:$J$1,0)))</f>
        <v>Female</v>
      </c>
      <c r="G312" s="20" t="str">
        <f>IF(ISBLANK($E312),"",INDEX(Sheet1!$A:$J,MATCH(Index_Match!$E312,Sheet1!$A:$A,0),MATCH(Index_Match!G$1,Sheet1!$A$1:$J$1,0)))</f>
        <v>Dancer</v>
      </c>
      <c r="H312" s="20" t="str">
        <f>IF(ISBLANK($E312),"",INDEX(Sheet1!$A:$J,MATCH(Index_Match!$E312,Sheet1!$A:$A,0),MATCH(Index_Match!H$1,Sheet1!$A$1:$J$1,0)))</f>
        <v>Married</v>
      </c>
      <c r="I312" s="23">
        <f>IF(ISBLANK($E312),"",INDEX(Sheet1!$A:$J,MATCH(Index_Match!$E312,Sheet1!$A:$A,0),MATCH(Index_Match!I$1,Sheet1!$A$1:$J$1,0)))</f>
        <v>5</v>
      </c>
      <c r="J312" s="20" t="str">
        <f>IF(ISBLANK($E312),"",INDEX(Sheet1!$A:$J,MATCH(Index_Match!$E312,Sheet1!$A:$A,0),MATCH(Index_Match!J$1,Sheet1!$A$1:$J$1,0)))</f>
        <v>Belinda Spencer</v>
      </c>
      <c r="K312" s="23">
        <f>IF(ISBLANK($E312),"",INDEX(Sheet1!$A:$J,MATCH(Index_Match!$E312,Sheet1!$A:$A,0),MATCH(Index_Match!K$1,Sheet1!$A$1:$J$1,0)))</f>
        <v>5</v>
      </c>
      <c r="L312" s="20" t="str">
        <f>IF(ISBLANK($E312),"",INDEX(Sheet1!$A:$J,MATCH(Index_Match!$E312,Sheet1!$A:$A,0),MATCH(Index_Match!L$1,Sheet1!$A$1:$J$1,0)))</f>
        <v>Spencer</v>
      </c>
      <c r="M312" s="20" t="str">
        <f>IF(ISBLANK($E312),"",INDEX(Sheet1!$A:$J,MATCH(Index_Match!$E312,Sheet1!$A:$A,0),MATCH(Index_Match!M$1,Sheet1!$A$1:$J$1,0)))</f>
        <v>Young</v>
      </c>
    </row>
    <row r="313" spans="2:13" x14ac:dyDescent="0.25">
      <c r="B313" s="20"/>
      <c r="C313" s="20"/>
      <c r="D313" s="20"/>
      <c r="E313" s="20" t="str">
        <v>Olivia</v>
      </c>
      <c r="F313" s="20" t="str">
        <f>IF(ISBLANK($E313),"",INDEX(Sheet1!$A:$J,MATCH(Index_Match!$E313,Sheet1!$A:$A,0),MATCH(Index_Match!F$1,Sheet1!$A$1:$J$1,0)))</f>
        <v>Female</v>
      </c>
      <c r="G313" s="20" t="str">
        <f>IF(ISBLANK($E313),"",INDEX(Sheet1!$A:$J,MATCH(Index_Match!$E313,Sheet1!$A:$A,0),MATCH(Index_Match!G$1,Sheet1!$A$1:$J$1,0)))</f>
        <v>Firefighter</v>
      </c>
      <c r="H313" s="20" t="str">
        <f>IF(ISBLANK($E313),"",INDEX(Sheet1!$A:$J,MATCH(Index_Match!$E313,Sheet1!$A:$A,0),MATCH(Index_Match!H$1,Sheet1!$A$1:$J$1,0)))</f>
        <v>Single</v>
      </c>
      <c r="I313" s="23">
        <f>IF(ISBLANK($E313),"",INDEX(Sheet1!$A:$J,MATCH(Index_Match!$E313,Sheet1!$A:$A,0),MATCH(Index_Match!I$1,Sheet1!$A$1:$J$1,0)))</f>
        <v>3</v>
      </c>
      <c r="J313" s="20" t="str">
        <f>IF(ISBLANK($E313),"",INDEX(Sheet1!$A:$J,MATCH(Index_Match!$E313,Sheet1!$A:$A,0),MATCH(Index_Match!J$1,Sheet1!$A$1:$J$1,0)))</f>
        <v>Olivia Taylor</v>
      </c>
      <c r="K313" s="23">
        <f>IF(ISBLANK($E313),"",INDEX(Sheet1!$A:$J,MATCH(Index_Match!$E313,Sheet1!$A:$A,0),MATCH(Index_Match!K$1,Sheet1!$A$1:$J$1,0)))</f>
        <v>3</v>
      </c>
      <c r="L313" s="20" t="str">
        <f>IF(ISBLANK($E313),"",INDEX(Sheet1!$A:$J,MATCH(Index_Match!$E313,Sheet1!$A:$A,0),MATCH(Index_Match!L$1,Sheet1!$A$1:$J$1,0)))</f>
        <v>Taylor</v>
      </c>
      <c r="M313" s="20" t="str">
        <f>IF(ISBLANK($E313),"",INDEX(Sheet1!$A:$J,MATCH(Index_Match!$E313,Sheet1!$A:$A,0),MATCH(Index_Match!M$1,Sheet1!$A$1:$J$1,0)))</f>
        <v>Young</v>
      </c>
    </row>
    <row r="314" spans="2:13" x14ac:dyDescent="0.25">
      <c r="B314" s="20"/>
      <c r="C314" s="20"/>
      <c r="D314" s="20"/>
      <c r="E314" s="20" t="str">
        <v>Miley</v>
      </c>
      <c r="F314" s="20" t="str">
        <f>IF(ISBLANK($E314),"",INDEX(Sheet1!$A:$J,MATCH(Index_Match!$E314,Sheet1!$A:$A,0),MATCH(Index_Match!F$1,Sheet1!$A$1:$J$1,0)))</f>
        <v>Female</v>
      </c>
      <c r="G314" s="20" t="str">
        <f>IF(ISBLANK($E314),"",INDEX(Sheet1!$A:$J,MATCH(Index_Match!$E314,Sheet1!$A:$A,0),MATCH(Index_Match!G$1,Sheet1!$A$1:$J$1,0)))</f>
        <v>Geologist</v>
      </c>
      <c r="H314" s="20" t="str">
        <f>IF(ISBLANK($E314),"",INDEX(Sheet1!$A:$J,MATCH(Index_Match!$E314,Sheet1!$A:$A,0),MATCH(Index_Match!H$1,Sheet1!$A$1:$J$1,0)))</f>
        <v>Single</v>
      </c>
      <c r="I314" s="23">
        <f>IF(ISBLANK($E314),"",INDEX(Sheet1!$A:$J,MATCH(Index_Match!$E314,Sheet1!$A:$A,0),MATCH(Index_Match!I$1,Sheet1!$A$1:$J$1,0)))</f>
        <v>5</v>
      </c>
      <c r="J314" s="20" t="str">
        <f>IF(ISBLANK($E314),"",INDEX(Sheet1!$A:$J,MATCH(Index_Match!$E314,Sheet1!$A:$A,0),MATCH(Index_Match!J$1,Sheet1!$A$1:$J$1,0)))</f>
        <v>Miley Perkins</v>
      </c>
      <c r="K314" s="23">
        <f>IF(ISBLANK($E314),"",INDEX(Sheet1!$A:$J,MATCH(Index_Match!$E314,Sheet1!$A:$A,0),MATCH(Index_Match!K$1,Sheet1!$A$1:$J$1,0)))</f>
        <v>5</v>
      </c>
      <c r="L314" s="20" t="str">
        <f>IF(ISBLANK($E314),"",INDEX(Sheet1!$A:$J,MATCH(Index_Match!$E314,Sheet1!$A:$A,0),MATCH(Index_Match!L$1,Sheet1!$A$1:$J$1,0)))</f>
        <v>Perkins</v>
      </c>
      <c r="M314" s="20" t="str">
        <f>IF(ISBLANK($E314),"",INDEX(Sheet1!$A:$J,MATCH(Index_Match!$E314,Sheet1!$A:$A,0),MATCH(Index_Match!M$1,Sheet1!$A$1:$J$1,0)))</f>
        <v>Middle Age</v>
      </c>
    </row>
    <row r="315" spans="2:13" x14ac:dyDescent="0.25">
      <c r="B315" s="20"/>
      <c r="C315" s="20"/>
      <c r="D315" s="20"/>
      <c r="E315" s="20" t="str">
        <v>Rubie</v>
      </c>
      <c r="F315" s="20" t="str">
        <f>IF(ISBLANK($E315),"",INDEX(Sheet1!$A:$J,MATCH(Index_Match!$E315,Sheet1!$A:$A,0),MATCH(Index_Match!F$1,Sheet1!$A$1:$J$1,0)))</f>
        <v>Female</v>
      </c>
      <c r="G315" s="20" t="str">
        <f>IF(ISBLANK($E315),"",INDEX(Sheet1!$A:$J,MATCH(Index_Match!$E315,Sheet1!$A:$A,0),MATCH(Index_Match!G$1,Sheet1!$A$1:$J$1,0)))</f>
        <v>Auditor</v>
      </c>
      <c r="H315" s="20" t="str">
        <f>IF(ISBLANK($E315),"",INDEX(Sheet1!$A:$J,MATCH(Index_Match!$E315,Sheet1!$A:$A,0),MATCH(Index_Match!H$1,Sheet1!$A$1:$J$1,0)))</f>
        <v>Single</v>
      </c>
      <c r="I315" s="23">
        <f>IF(ISBLANK($E315),"",INDEX(Sheet1!$A:$J,MATCH(Index_Match!$E315,Sheet1!$A:$A,0),MATCH(Index_Match!I$1,Sheet1!$A$1:$J$1,0)))</f>
        <v>1</v>
      </c>
      <c r="J315" s="20" t="str">
        <f>IF(ISBLANK($E315),"",INDEX(Sheet1!$A:$J,MATCH(Index_Match!$E315,Sheet1!$A:$A,0),MATCH(Index_Match!J$1,Sheet1!$A$1:$J$1,0)))</f>
        <v>Rubie Clark</v>
      </c>
      <c r="K315" s="23">
        <f>IF(ISBLANK($E315),"",INDEX(Sheet1!$A:$J,MATCH(Index_Match!$E315,Sheet1!$A:$A,0),MATCH(Index_Match!K$1,Sheet1!$A$1:$J$1,0)))</f>
        <v>1</v>
      </c>
      <c r="L315" s="20" t="str">
        <f>IF(ISBLANK($E315),"",INDEX(Sheet1!$A:$J,MATCH(Index_Match!$E315,Sheet1!$A:$A,0),MATCH(Index_Match!L$1,Sheet1!$A$1:$J$1,0)))</f>
        <v>Clark</v>
      </c>
      <c r="M315" s="20" t="str">
        <f>IF(ISBLANK($E315),"",INDEX(Sheet1!$A:$J,MATCH(Index_Match!$E315,Sheet1!$A:$A,0),MATCH(Index_Match!M$1,Sheet1!$A$1:$J$1,0)))</f>
        <v>Young</v>
      </c>
    </row>
    <row r="316" spans="2:13" x14ac:dyDescent="0.25">
      <c r="B316" s="20"/>
      <c r="C316" s="20"/>
      <c r="D316" s="20"/>
      <c r="E316" s="20" t="str">
        <v>Charlotte</v>
      </c>
      <c r="F316" s="20" t="str">
        <f>IF(ISBLANK($E316),"",INDEX(Sheet1!$A:$J,MATCH(Index_Match!$E316,Sheet1!$A:$A,0),MATCH(Index_Match!F$1,Sheet1!$A$1:$J$1,0)))</f>
        <v>Female</v>
      </c>
      <c r="G316" s="20" t="str">
        <f>IF(ISBLANK($E316),"",INDEX(Sheet1!$A:$J,MATCH(Index_Match!$E316,Sheet1!$A:$A,0),MATCH(Index_Match!G$1,Sheet1!$A$1:$J$1,0)))</f>
        <v>Programmer</v>
      </c>
      <c r="H316" s="20" t="str">
        <f>IF(ISBLANK($E316),"",INDEX(Sheet1!$A:$J,MATCH(Index_Match!$E316,Sheet1!$A:$A,0),MATCH(Index_Match!H$1,Sheet1!$A$1:$J$1,0)))</f>
        <v>Single</v>
      </c>
      <c r="I316" s="23">
        <f>IF(ISBLANK($E316),"",INDEX(Sheet1!$A:$J,MATCH(Index_Match!$E316,Sheet1!$A:$A,0),MATCH(Index_Match!I$1,Sheet1!$A$1:$J$1,0)))</f>
        <v>4</v>
      </c>
      <c r="J316" s="20" t="str">
        <f>IF(ISBLANK($E316),"",INDEX(Sheet1!$A:$J,MATCH(Index_Match!$E316,Sheet1!$A:$A,0),MATCH(Index_Match!J$1,Sheet1!$A$1:$J$1,0)))</f>
        <v>Charlotte Cunningham</v>
      </c>
      <c r="K316" s="23">
        <f>IF(ISBLANK($E316),"",INDEX(Sheet1!$A:$J,MATCH(Index_Match!$E316,Sheet1!$A:$A,0),MATCH(Index_Match!K$1,Sheet1!$A$1:$J$1,0)))</f>
        <v>4</v>
      </c>
      <c r="L316" s="20" t="str">
        <f>IF(ISBLANK($E316),"",INDEX(Sheet1!$A:$J,MATCH(Index_Match!$E316,Sheet1!$A:$A,0),MATCH(Index_Match!L$1,Sheet1!$A$1:$J$1,0)))</f>
        <v>Cunningham</v>
      </c>
      <c r="M316" s="20" t="str">
        <f>IF(ISBLANK($E316),"",INDEX(Sheet1!$A:$J,MATCH(Index_Match!$E316,Sheet1!$A:$A,0),MATCH(Index_Match!M$1,Sheet1!$A$1:$J$1,0)))</f>
        <v>Middle Age</v>
      </c>
    </row>
    <row r="317" spans="2:13" x14ac:dyDescent="0.25">
      <c r="B317" s="20"/>
      <c r="C317" s="20"/>
      <c r="D317" s="20"/>
      <c r="E317" s="20" t="str">
        <v>Myra</v>
      </c>
      <c r="F317" s="20" t="str">
        <f>IF(ISBLANK($E317),"",INDEX(Sheet1!$A:$J,MATCH(Index_Match!$E317,Sheet1!$A:$A,0),MATCH(Index_Match!F$1,Sheet1!$A$1:$J$1,0)))</f>
        <v>Female</v>
      </c>
      <c r="G317" s="20" t="str">
        <f>IF(ISBLANK($E317),"",INDEX(Sheet1!$A:$J,MATCH(Index_Match!$E317,Sheet1!$A:$A,0),MATCH(Index_Match!G$1,Sheet1!$A$1:$J$1,0)))</f>
        <v>Architect</v>
      </c>
      <c r="H317" s="20" t="str">
        <f>IF(ISBLANK($E317),"",INDEX(Sheet1!$A:$J,MATCH(Index_Match!$E317,Sheet1!$A:$A,0),MATCH(Index_Match!H$1,Sheet1!$A$1:$J$1,0)))</f>
        <v>Single</v>
      </c>
      <c r="I317" s="23">
        <f>IF(ISBLANK($E317),"",INDEX(Sheet1!$A:$J,MATCH(Index_Match!$E317,Sheet1!$A:$A,0),MATCH(Index_Match!I$1,Sheet1!$A$1:$J$1,0)))</f>
        <v>0</v>
      </c>
      <c r="J317" s="20" t="str">
        <f>IF(ISBLANK($E317),"",INDEX(Sheet1!$A:$J,MATCH(Index_Match!$E317,Sheet1!$A:$A,0),MATCH(Index_Match!J$1,Sheet1!$A$1:$J$1,0)))</f>
        <v>Myra Ryan</v>
      </c>
      <c r="K317" s="23">
        <f>IF(ISBLANK($E317),"",INDEX(Sheet1!$A:$J,MATCH(Index_Match!$E317,Sheet1!$A:$A,0),MATCH(Index_Match!K$1,Sheet1!$A$1:$J$1,0)))</f>
        <v>0</v>
      </c>
      <c r="L317" s="20" t="str">
        <f>IF(ISBLANK($E317),"",INDEX(Sheet1!$A:$J,MATCH(Index_Match!$E317,Sheet1!$A:$A,0),MATCH(Index_Match!L$1,Sheet1!$A$1:$J$1,0)))</f>
        <v>Ryan</v>
      </c>
      <c r="M317" s="20" t="str">
        <f>IF(ISBLANK($E317),"",INDEX(Sheet1!$A:$J,MATCH(Index_Match!$E317,Sheet1!$A:$A,0),MATCH(Index_Match!M$1,Sheet1!$A$1:$J$1,0)))</f>
        <v>Young</v>
      </c>
    </row>
    <row r="318" spans="2:13" x14ac:dyDescent="0.25">
      <c r="B318" s="20"/>
      <c r="C318" s="20"/>
      <c r="D318" s="20"/>
      <c r="E318" s="20" t="str">
        <v>Daisy</v>
      </c>
      <c r="F318" s="20" t="str">
        <f>IF(ISBLANK($E318),"",INDEX(Sheet1!$A:$J,MATCH(Index_Match!$E318,Sheet1!$A:$A,0),MATCH(Index_Match!F$1,Sheet1!$A$1:$J$1,0)))</f>
        <v>Female</v>
      </c>
      <c r="G318" s="20" t="str">
        <f>IF(ISBLANK($E318),"",INDEX(Sheet1!$A:$J,MATCH(Index_Match!$E318,Sheet1!$A:$A,0),MATCH(Index_Match!G$1,Sheet1!$A$1:$J$1,0)))</f>
        <v>Physicist</v>
      </c>
      <c r="H318" s="20" t="str">
        <f>IF(ISBLANK($E318),"",INDEX(Sheet1!$A:$J,MATCH(Index_Match!$E318,Sheet1!$A:$A,0),MATCH(Index_Match!H$1,Sheet1!$A$1:$J$1,0)))</f>
        <v>Single</v>
      </c>
      <c r="I318" s="23">
        <f>IF(ISBLANK($E318),"",INDEX(Sheet1!$A:$J,MATCH(Index_Match!$E318,Sheet1!$A:$A,0),MATCH(Index_Match!I$1,Sheet1!$A$1:$J$1,0)))</f>
        <v>4</v>
      </c>
      <c r="J318" s="20" t="str">
        <f>IF(ISBLANK($E318),"",INDEX(Sheet1!$A:$J,MATCH(Index_Match!$E318,Sheet1!$A:$A,0),MATCH(Index_Match!J$1,Sheet1!$A$1:$J$1,0)))</f>
        <v>Daisy Casey</v>
      </c>
      <c r="K318" s="23">
        <f>IF(ISBLANK($E318),"",INDEX(Sheet1!$A:$J,MATCH(Index_Match!$E318,Sheet1!$A:$A,0),MATCH(Index_Match!K$1,Sheet1!$A$1:$J$1,0)))</f>
        <v>4</v>
      </c>
      <c r="L318" s="20" t="str">
        <f>IF(ISBLANK($E318),"",INDEX(Sheet1!$A:$J,MATCH(Index_Match!$E318,Sheet1!$A:$A,0),MATCH(Index_Match!L$1,Sheet1!$A$1:$J$1,0)))</f>
        <v>Casey</v>
      </c>
      <c r="M318" s="20" t="str">
        <f>IF(ISBLANK($E318),"",INDEX(Sheet1!$A:$J,MATCH(Index_Match!$E318,Sheet1!$A:$A,0),MATCH(Index_Match!M$1,Sheet1!$A$1:$J$1,0)))</f>
        <v>Middle Age</v>
      </c>
    </row>
    <row r="319" spans="2:13" x14ac:dyDescent="0.25">
      <c r="B319" s="20"/>
      <c r="C319" s="20"/>
      <c r="D319" s="20"/>
      <c r="E319" s="20" t="str">
        <v>Naomi</v>
      </c>
      <c r="F319" s="20" t="str">
        <f>IF(ISBLANK($E319),"",INDEX(Sheet1!$A:$J,MATCH(Index_Match!$E319,Sheet1!$A:$A,0),MATCH(Index_Match!F$1,Sheet1!$A$1:$J$1,0)))</f>
        <v>Female</v>
      </c>
      <c r="G319" s="20" t="str">
        <f>IF(ISBLANK($E319),"",INDEX(Sheet1!$A:$J,MATCH(Index_Match!$E319,Sheet1!$A:$A,0),MATCH(Index_Match!G$1,Sheet1!$A$1:$J$1,0)))</f>
        <v>Photographer</v>
      </c>
      <c r="H319" s="20" t="str">
        <f>IF(ISBLANK($E319),"",INDEX(Sheet1!$A:$J,MATCH(Index_Match!$E319,Sheet1!$A:$A,0),MATCH(Index_Match!H$1,Sheet1!$A$1:$J$1,0)))</f>
        <v>Single</v>
      </c>
      <c r="I319" s="23">
        <f>IF(ISBLANK($E319),"",INDEX(Sheet1!$A:$J,MATCH(Index_Match!$E319,Sheet1!$A:$A,0),MATCH(Index_Match!I$1,Sheet1!$A$1:$J$1,0)))</f>
        <v>3</v>
      </c>
      <c r="J319" s="20" t="str">
        <f>IF(ISBLANK($E319),"",INDEX(Sheet1!$A:$J,MATCH(Index_Match!$E319,Sheet1!$A:$A,0),MATCH(Index_Match!J$1,Sheet1!$A$1:$J$1,0)))</f>
        <v>Naomi Barrett</v>
      </c>
      <c r="K319" s="23">
        <f>IF(ISBLANK($E319),"",INDEX(Sheet1!$A:$J,MATCH(Index_Match!$E319,Sheet1!$A:$A,0),MATCH(Index_Match!K$1,Sheet1!$A$1:$J$1,0)))</f>
        <v>3</v>
      </c>
      <c r="L319" s="20" t="str">
        <f>IF(ISBLANK($E319),"",INDEX(Sheet1!$A:$J,MATCH(Index_Match!$E319,Sheet1!$A:$A,0),MATCH(Index_Match!L$1,Sheet1!$A$1:$J$1,0)))</f>
        <v>Barrett</v>
      </c>
      <c r="M319" s="20" t="str">
        <f>IF(ISBLANK($E319),"",INDEX(Sheet1!$A:$J,MATCH(Index_Match!$E319,Sheet1!$A:$A,0),MATCH(Index_Match!M$1,Sheet1!$A$1:$J$1,0)))</f>
        <v>Middle Age</v>
      </c>
    </row>
    <row r="320" spans="2:13" x14ac:dyDescent="0.25">
      <c r="B320" s="20"/>
      <c r="C320" s="20"/>
      <c r="D320" s="20"/>
      <c r="E320" s="20" t="str">
        <v>Alisa</v>
      </c>
      <c r="F320" s="20" t="str">
        <f>IF(ISBLANK($E320),"",INDEX(Sheet1!$A:$J,MATCH(Index_Match!$E320,Sheet1!$A:$A,0),MATCH(Index_Match!F$1,Sheet1!$A$1:$J$1,0)))</f>
        <v>Female</v>
      </c>
      <c r="G320" s="20" t="str">
        <f>IF(ISBLANK($E320),"",INDEX(Sheet1!$A:$J,MATCH(Index_Match!$E320,Sheet1!$A:$A,0),MATCH(Index_Match!G$1,Sheet1!$A$1:$J$1,0)))</f>
        <v>Fine Artist</v>
      </c>
      <c r="H320" s="20" t="str">
        <f>IF(ISBLANK($E320),"",INDEX(Sheet1!$A:$J,MATCH(Index_Match!$E320,Sheet1!$A:$A,0),MATCH(Index_Match!H$1,Sheet1!$A$1:$J$1,0)))</f>
        <v>Single</v>
      </c>
      <c r="I320" s="23">
        <f>IF(ISBLANK($E320),"",INDEX(Sheet1!$A:$J,MATCH(Index_Match!$E320,Sheet1!$A:$A,0),MATCH(Index_Match!I$1,Sheet1!$A$1:$J$1,0)))</f>
        <v>4</v>
      </c>
      <c r="J320" s="20" t="str">
        <f>IF(ISBLANK($E320),"",INDEX(Sheet1!$A:$J,MATCH(Index_Match!$E320,Sheet1!$A:$A,0),MATCH(Index_Match!J$1,Sheet1!$A$1:$J$1,0)))</f>
        <v>Alisa Wright</v>
      </c>
      <c r="K320" s="23">
        <f>IF(ISBLANK($E320),"",INDEX(Sheet1!$A:$J,MATCH(Index_Match!$E320,Sheet1!$A:$A,0),MATCH(Index_Match!K$1,Sheet1!$A$1:$J$1,0)))</f>
        <v>4</v>
      </c>
      <c r="L320" s="20" t="str">
        <f>IF(ISBLANK($E320),"",INDEX(Sheet1!$A:$J,MATCH(Index_Match!$E320,Sheet1!$A:$A,0),MATCH(Index_Match!L$1,Sheet1!$A$1:$J$1,0)))</f>
        <v>Wright</v>
      </c>
      <c r="M320" s="20" t="str">
        <f>IF(ISBLANK($E320),"",INDEX(Sheet1!$A:$J,MATCH(Index_Match!$E320,Sheet1!$A:$A,0),MATCH(Index_Match!M$1,Sheet1!$A$1:$J$1,0)))</f>
        <v>Middle Age</v>
      </c>
    </row>
    <row r="321" spans="2:13" x14ac:dyDescent="0.25">
      <c r="B321" s="20"/>
      <c r="C321" s="20"/>
      <c r="D321" s="20"/>
      <c r="E321" s="20" t="str">
        <v>Mary</v>
      </c>
      <c r="F321" s="20" t="str">
        <f>IF(ISBLANK($E321),"",INDEX(Sheet1!$A:$J,MATCH(Index_Match!$E321,Sheet1!$A:$A,0),MATCH(Index_Match!F$1,Sheet1!$A$1:$J$1,0)))</f>
        <v>Female</v>
      </c>
      <c r="G321" s="20" t="str">
        <f>IF(ISBLANK($E321),"",INDEX(Sheet1!$A:$J,MATCH(Index_Match!$E321,Sheet1!$A:$A,0),MATCH(Index_Match!G$1,Sheet1!$A$1:$J$1,0)))</f>
        <v>Meteorologist</v>
      </c>
      <c r="H321" s="20" t="str">
        <f>IF(ISBLANK($E321),"",INDEX(Sheet1!$A:$J,MATCH(Index_Match!$E321,Sheet1!$A:$A,0),MATCH(Index_Match!H$1,Sheet1!$A$1:$J$1,0)))</f>
        <v>Married</v>
      </c>
      <c r="I321" s="23">
        <f>IF(ISBLANK($E321),"",INDEX(Sheet1!$A:$J,MATCH(Index_Match!$E321,Sheet1!$A:$A,0),MATCH(Index_Match!I$1,Sheet1!$A$1:$J$1,0)))</f>
        <v>4</v>
      </c>
      <c r="J321" s="20" t="str">
        <f>IF(ISBLANK($E321),"",INDEX(Sheet1!$A:$J,MATCH(Index_Match!$E321,Sheet1!$A:$A,0),MATCH(Index_Match!J$1,Sheet1!$A$1:$J$1,0)))</f>
        <v>Mary Stevens</v>
      </c>
      <c r="K321" s="23">
        <f>IF(ISBLANK($E321),"",INDEX(Sheet1!$A:$J,MATCH(Index_Match!$E321,Sheet1!$A:$A,0),MATCH(Index_Match!K$1,Sheet1!$A$1:$J$1,0)))</f>
        <v>4</v>
      </c>
      <c r="L321" s="20" t="str">
        <f>IF(ISBLANK($E321),"",INDEX(Sheet1!$A:$J,MATCH(Index_Match!$E321,Sheet1!$A:$A,0),MATCH(Index_Match!L$1,Sheet1!$A$1:$J$1,0)))</f>
        <v>Stevens</v>
      </c>
      <c r="M321" s="20" t="str">
        <f>IF(ISBLANK($E321),"",INDEX(Sheet1!$A:$J,MATCH(Index_Match!$E321,Sheet1!$A:$A,0),MATCH(Index_Match!M$1,Sheet1!$A$1:$J$1,0)))</f>
        <v>Young</v>
      </c>
    </row>
    <row r="322" spans="2:13" x14ac:dyDescent="0.25">
      <c r="B322" s="20"/>
      <c r="C322" s="20"/>
      <c r="D322" s="20"/>
      <c r="E322" s="20" t="str">
        <v>Sabrina</v>
      </c>
      <c r="F322" s="20" t="str">
        <f>IF(ISBLANK($E322),"",INDEX(Sheet1!$A:$J,MATCH(Index_Match!$E322,Sheet1!$A:$A,0),MATCH(Index_Match!F$1,Sheet1!$A$1:$J$1,0)))</f>
        <v>Female</v>
      </c>
      <c r="G322" s="20" t="str">
        <f>IF(ISBLANK($E322),"",INDEX(Sheet1!$A:$J,MATCH(Index_Match!$E322,Sheet1!$A:$A,0),MATCH(Index_Match!G$1,Sheet1!$A$1:$J$1,0)))</f>
        <v>Graphic Designer</v>
      </c>
      <c r="H322" s="20" t="str">
        <f>IF(ISBLANK($E322),"",INDEX(Sheet1!$A:$J,MATCH(Index_Match!$E322,Sheet1!$A:$A,0),MATCH(Index_Match!H$1,Sheet1!$A$1:$J$1,0)))</f>
        <v>Married</v>
      </c>
      <c r="I322" s="23">
        <f>IF(ISBLANK($E322),"",INDEX(Sheet1!$A:$J,MATCH(Index_Match!$E322,Sheet1!$A:$A,0),MATCH(Index_Match!I$1,Sheet1!$A$1:$J$1,0)))</f>
        <v>1</v>
      </c>
      <c r="J322" s="20" t="str">
        <f>IF(ISBLANK($E322),"",INDEX(Sheet1!$A:$J,MATCH(Index_Match!$E322,Sheet1!$A:$A,0),MATCH(Index_Match!J$1,Sheet1!$A$1:$J$1,0)))</f>
        <v>Sabrina Higgins</v>
      </c>
      <c r="K322" s="23">
        <f>IF(ISBLANK($E322),"",INDEX(Sheet1!$A:$J,MATCH(Index_Match!$E322,Sheet1!$A:$A,0),MATCH(Index_Match!K$1,Sheet1!$A$1:$J$1,0)))</f>
        <v>1</v>
      </c>
      <c r="L322" s="20" t="str">
        <f>IF(ISBLANK($E322),"",INDEX(Sheet1!$A:$J,MATCH(Index_Match!$E322,Sheet1!$A:$A,0),MATCH(Index_Match!L$1,Sheet1!$A$1:$J$1,0)))</f>
        <v>Higgins</v>
      </c>
      <c r="M322" s="20" t="str">
        <f>IF(ISBLANK($E322),"",INDEX(Sheet1!$A:$J,MATCH(Index_Match!$E322,Sheet1!$A:$A,0),MATCH(Index_Match!M$1,Sheet1!$A$1:$J$1,0)))</f>
        <v>Old</v>
      </c>
    </row>
    <row r="323" spans="2:13" x14ac:dyDescent="0.25">
      <c r="B323" s="20"/>
      <c r="C323" s="20"/>
      <c r="D323" s="20"/>
      <c r="E323" s="20" t="str">
        <v>Honey</v>
      </c>
      <c r="F323" s="20" t="str">
        <f>IF(ISBLANK($E323),"",INDEX(Sheet1!$A:$J,MATCH(Index_Match!$E323,Sheet1!$A:$A,0),MATCH(Index_Match!F$1,Sheet1!$A$1:$J$1,0)))</f>
        <v>Female</v>
      </c>
      <c r="G323" s="20" t="str">
        <f>IF(ISBLANK($E323),"",INDEX(Sheet1!$A:$J,MATCH(Index_Match!$E323,Sheet1!$A:$A,0),MATCH(Index_Match!G$1,Sheet1!$A$1:$J$1,0)))</f>
        <v>Photographer</v>
      </c>
      <c r="H323" s="20" t="str">
        <f>IF(ISBLANK($E323),"",INDEX(Sheet1!$A:$J,MATCH(Index_Match!$E323,Sheet1!$A:$A,0),MATCH(Index_Match!H$1,Sheet1!$A$1:$J$1,0)))</f>
        <v>Single</v>
      </c>
      <c r="I323" s="23">
        <f>IF(ISBLANK($E323),"",INDEX(Sheet1!$A:$J,MATCH(Index_Match!$E323,Sheet1!$A:$A,0),MATCH(Index_Match!I$1,Sheet1!$A$1:$J$1,0)))</f>
        <v>5</v>
      </c>
      <c r="J323" s="20" t="str">
        <f>IF(ISBLANK($E323),"",INDEX(Sheet1!$A:$J,MATCH(Index_Match!$E323,Sheet1!$A:$A,0),MATCH(Index_Match!J$1,Sheet1!$A$1:$J$1,0)))</f>
        <v>Honey Turner</v>
      </c>
      <c r="K323" s="23">
        <f>IF(ISBLANK($E323),"",INDEX(Sheet1!$A:$J,MATCH(Index_Match!$E323,Sheet1!$A:$A,0),MATCH(Index_Match!K$1,Sheet1!$A$1:$J$1,0)))</f>
        <v>5</v>
      </c>
      <c r="L323" s="20" t="str">
        <f>IF(ISBLANK($E323),"",INDEX(Sheet1!$A:$J,MATCH(Index_Match!$E323,Sheet1!$A:$A,0),MATCH(Index_Match!L$1,Sheet1!$A$1:$J$1,0)))</f>
        <v>Turner</v>
      </c>
      <c r="M323" s="20" t="str">
        <f>IF(ISBLANK($E323),"",INDEX(Sheet1!$A:$J,MATCH(Index_Match!$E323,Sheet1!$A:$A,0),MATCH(Index_Match!M$1,Sheet1!$A$1:$J$1,0)))</f>
        <v>Old</v>
      </c>
    </row>
    <row r="324" spans="2:13" x14ac:dyDescent="0.25">
      <c r="B324" s="20"/>
      <c r="C324" s="20"/>
      <c r="D324" s="20"/>
      <c r="E324" s="20" t="str">
        <v>Stella</v>
      </c>
      <c r="F324" s="20" t="str">
        <f>IF(ISBLANK($E324),"",INDEX(Sheet1!$A:$J,MATCH(Index_Match!$E324,Sheet1!$A:$A,0),MATCH(Index_Match!F$1,Sheet1!$A$1:$J$1,0)))</f>
        <v>Female</v>
      </c>
      <c r="G324" s="20" t="str">
        <f>IF(ISBLANK($E324),"",INDEX(Sheet1!$A:$J,MATCH(Index_Match!$E324,Sheet1!$A:$A,0),MATCH(Index_Match!G$1,Sheet1!$A$1:$J$1,0)))</f>
        <v>Social Worker</v>
      </c>
      <c r="H324" s="20" t="str">
        <f>IF(ISBLANK($E324),"",INDEX(Sheet1!$A:$J,MATCH(Index_Match!$E324,Sheet1!$A:$A,0),MATCH(Index_Match!H$1,Sheet1!$A$1:$J$1,0)))</f>
        <v>Married</v>
      </c>
      <c r="I324" s="23">
        <f>IF(ISBLANK($E324),"",INDEX(Sheet1!$A:$J,MATCH(Index_Match!$E324,Sheet1!$A:$A,0),MATCH(Index_Match!I$1,Sheet1!$A$1:$J$1,0)))</f>
        <v>5</v>
      </c>
      <c r="J324" s="20" t="str">
        <f>IF(ISBLANK($E324),"",INDEX(Sheet1!$A:$J,MATCH(Index_Match!$E324,Sheet1!$A:$A,0),MATCH(Index_Match!J$1,Sheet1!$A$1:$J$1,0)))</f>
        <v>Stella Ferguson</v>
      </c>
      <c r="K324" s="23">
        <f>IF(ISBLANK($E324),"",INDEX(Sheet1!$A:$J,MATCH(Index_Match!$E324,Sheet1!$A:$A,0),MATCH(Index_Match!K$1,Sheet1!$A$1:$J$1,0)))</f>
        <v>5</v>
      </c>
      <c r="L324" s="20" t="str">
        <f>IF(ISBLANK($E324),"",INDEX(Sheet1!$A:$J,MATCH(Index_Match!$E324,Sheet1!$A:$A,0),MATCH(Index_Match!L$1,Sheet1!$A$1:$J$1,0)))</f>
        <v>Ferguson</v>
      </c>
      <c r="M324" s="20" t="str">
        <f>IF(ISBLANK($E324),"",INDEX(Sheet1!$A:$J,MATCH(Index_Match!$E324,Sheet1!$A:$A,0),MATCH(Index_Match!M$1,Sheet1!$A$1:$J$1,0)))</f>
        <v>Middle Age</v>
      </c>
    </row>
    <row r="325" spans="2:13" x14ac:dyDescent="0.25">
      <c r="B325" s="20"/>
      <c r="C325" s="20"/>
      <c r="D325" s="20"/>
      <c r="E325" s="20" t="str">
        <v>Mary</v>
      </c>
      <c r="F325" s="20" t="str">
        <f>IF(ISBLANK($E325),"",INDEX(Sheet1!$A:$J,MATCH(Index_Match!$E325,Sheet1!$A:$A,0),MATCH(Index_Match!F$1,Sheet1!$A$1:$J$1,0)))</f>
        <v>Female</v>
      </c>
      <c r="G325" s="20" t="str">
        <f>IF(ISBLANK($E325),"",INDEX(Sheet1!$A:$J,MATCH(Index_Match!$E325,Sheet1!$A:$A,0),MATCH(Index_Match!G$1,Sheet1!$A$1:$J$1,0)))</f>
        <v>Meteorologist</v>
      </c>
      <c r="H325" s="20" t="str">
        <f>IF(ISBLANK($E325),"",INDEX(Sheet1!$A:$J,MATCH(Index_Match!$E325,Sheet1!$A:$A,0),MATCH(Index_Match!H$1,Sheet1!$A$1:$J$1,0)))</f>
        <v>Married</v>
      </c>
      <c r="I325" s="23">
        <f>IF(ISBLANK($E325),"",INDEX(Sheet1!$A:$J,MATCH(Index_Match!$E325,Sheet1!$A:$A,0),MATCH(Index_Match!I$1,Sheet1!$A$1:$J$1,0)))</f>
        <v>4</v>
      </c>
      <c r="J325" s="20" t="str">
        <f>IF(ISBLANK($E325),"",INDEX(Sheet1!$A:$J,MATCH(Index_Match!$E325,Sheet1!$A:$A,0),MATCH(Index_Match!J$1,Sheet1!$A$1:$J$1,0)))</f>
        <v>Mary Stevens</v>
      </c>
      <c r="K325" s="23">
        <f>IF(ISBLANK($E325),"",INDEX(Sheet1!$A:$J,MATCH(Index_Match!$E325,Sheet1!$A:$A,0),MATCH(Index_Match!K$1,Sheet1!$A$1:$J$1,0)))</f>
        <v>4</v>
      </c>
      <c r="L325" s="20" t="str">
        <f>IF(ISBLANK($E325),"",INDEX(Sheet1!$A:$J,MATCH(Index_Match!$E325,Sheet1!$A:$A,0),MATCH(Index_Match!L$1,Sheet1!$A$1:$J$1,0)))</f>
        <v>Stevens</v>
      </c>
      <c r="M325" s="20" t="str">
        <f>IF(ISBLANK($E325),"",INDEX(Sheet1!$A:$J,MATCH(Index_Match!$E325,Sheet1!$A:$A,0),MATCH(Index_Match!M$1,Sheet1!$A$1:$J$1,0)))</f>
        <v>Young</v>
      </c>
    </row>
    <row r="326" spans="2:13" x14ac:dyDescent="0.25">
      <c r="B326" s="20"/>
      <c r="C326" s="20"/>
      <c r="D326" s="20"/>
      <c r="E326" s="20" t="str">
        <v>Alissa</v>
      </c>
      <c r="F326" s="20" t="str">
        <f>IF(ISBLANK($E326),"",INDEX(Sheet1!$A:$J,MATCH(Index_Match!$E326,Sheet1!$A:$A,0),MATCH(Index_Match!F$1,Sheet1!$A$1:$J$1,0)))</f>
        <v>Female</v>
      </c>
      <c r="G326" s="20" t="str">
        <f>IF(ISBLANK($E326),"",INDEX(Sheet1!$A:$J,MATCH(Index_Match!$E326,Sheet1!$A:$A,0),MATCH(Index_Match!G$1,Sheet1!$A$1:$J$1,0)))</f>
        <v>Hairdresser</v>
      </c>
      <c r="H326" s="20" t="str">
        <f>IF(ISBLANK($E326),"",INDEX(Sheet1!$A:$J,MATCH(Index_Match!$E326,Sheet1!$A:$A,0),MATCH(Index_Match!H$1,Sheet1!$A$1:$J$1,0)))</f>
        <v>Single</v>
      </c>
      <c r="I326" s="23">
        <f>IF(ISBLANK($E326),"",INDEX(Sheet1!$A:$J,MATCH(Index_Match!$E326,Sheet1!$A:$A,0),MATCH(Index_Match!I$1,Sheet1!$A$1:$J$1,0)))</f>
        <v>0</v>
      </c>
      <c r="J326" s="20" t="str">
        <f>IF(ISBLANK($E326),"",INDEX(Sheet1!$A:$J,MATCH(Index_Match!$E326,Sheet1!$A:$A,0),MATCH(Index_Match!J$1,Sheet1!$A$1:$J$1,0)))</f>
        <v>Alissa Ferguson</v>
      </c>
      <c r="K326" s="23">
        <f>IF(ISBLANK($E326),"",INDEX(Sheet1!$A:$J,MATCH(Index_Match!$E326,Sheet1!$A:$A,0),MATCH(Index_Match!K$1,Sheet1!$A$1:$J$1,0)))</f>
        <v>0</v>
      </c>
      <c r="L326" s="20" t="str">
        <f>IF(ISBLANK($E326),"",INDEX(Sheet1!$A:$J,MATCH(Index_Match!$E326,Sheet1!$A:$A,0),MATCH(Index_Match!L$1,Sheet1!$A$1:$J$1,0)))</f>
        <v>Ferguson</v>
      </c>
      <c r="M326" s="20" t="str">
        <f>IF(ISBLANK($E326),"",INDEX(Sheet1!$A:$J,MATCH(Index_Match!$E326,Sheet1!$A:$A,0),MATCH(Index_Match!M$1,Sheet1!$A$1:$J$1,0)))</f>
        <v>Middle Age</v>
      </c>
    </row>
    <row r="327" spans="2:13" x14ac:dyDescent="0.25">
      <c r="B327" s="20"/>
      <c r="C327" s="20"/>
      <c r="D327" s="20"/>
      <c r="E327" s="20" t="str">
        <v>Caroline</v>
      </c>
      <c r="F327" s="20" t="str">
        <f>IF(ISBLANK($E327),"",INDEX(Sheet1!$A:$J,MATCH(Index_Match!$E327,Sheet1!$A:$A,0),MATCH(Index_Match!F$1,Sheet1!$A$1:$J$1,0)))</f>
        <v>Female</v>
      </c>
      <c r="G327" s="20" t="str">
        <f>IF(ISBLANK($E327),"",INDEX(Sheet1!$A:$J,MATCH(Index_Match!$E327,Sheet1!$A:$A,0),MATCH(Index_Match!G$1,Sheet1!$A$1:$J$1,0)))</f>
        <v>Interior Designer</v>
      </c>
      <c r="H327" s="20" t="str">
        <f>IF(ISBLANK($E327),"",INDEX(Sheet1!$A:$J,MATCH(Index_Match!$E327,Sheet1!$A:$A,0),MATCH(Index_Match!H$1,Sheet1!$A$1:$J$1,0)))</f>
        <v>Married</v>
      </c>
      <c r="I327" s="23">
        <f>IF(ISBLANK($E327),"",INDEX(Sheet1!$A:$J,MATCH(Index_Match!$E327,Sheet1!$A:$A,0),MATCH(Index_Match!I$1,Sheet1!$A$1:$J$1,0)))</f>
        <v>0</v>
      </c>
      <c r="J327" s="20" t="str">
        <f>IF(ISBLANK($E327),"",INDEX(Sheet1!$A:$J,MATCH(Index_Match!$E327,Sheet1!$A:$A,0),MATCH(Index_Match!J$1,Sheet1!$A$1:$J$1,0)))</f>
        <v>Caroline Alexander</v>
      </c>
      <c r="K327" s="23">
        <f>IF(ISBLANK($E327),"",INDEX(Sheet1!$A:$J,MATCH(Index_Match!$E327,Sheet1!$A:$A,0),MATCH(Index_Match!K$1,Sheet1!$A$1:$J$1,0)))</f>
        <v>0</v>
      </c>
      <c r="L327" s="20" t="str">
        <f>IF(ISBLANK($E327),"",INDEX(Sheet1!$A:$J,MATCH(Index_Match!$E327,Sheet1!$A:$A,0),MATCH(Index_Match!L$1,Sheet1!$A$1:$J$1,0)))</f>
        <v>Alexander</v>
      </c>
      <c r="M327" s="20" t="str">
        <f>IF(ISBLANK($E327),"",INDEX(Sheet1!$A:$J,MATCH(Index_Match!$E327,Sheet1!$A:$A,0),MATCH(Index_Match!M$1,Sheet1!$A$1:$J$1,0)))</f>
        <v>Old</v>
      </c>
    </row>
    <row r="328" spans="2:13" x14ac:dyDescent="0.25">
      <c r="B328" s="20"/>
      <c r="C328" s="20"/>
      <c r="D328" s="20"/>
      <c r="E328" s="20" t="str">
        <v>Jasmine</v>
      </c>
      <c r="F328" s="20" t="str">
        <f>IF(ISBLANK($E328),"",INDEX(Sheet1!$A:$J,MATCH(Index_Match!$E328,Sheet1!$A:$A,0),MATCH(Index_Match!F$1,Sheet1!$A$1:$J$1,0)))</f>
        <v>Female</v>
      </c>
      <c r="G328" s="20" t="str">
        <f>IF(ISBLANK($E328),"",INDEX(Sheet1!$A:$J,MATCH(Index_Match!$E328,Sheet1!$A:$A,0),MATCH(Index_Match!G$1,Sheet1!$A$1:$J$1,0)))</f>
        <v>Mechanic</v>
      </c>
      <c r="H328" s="20" t="str">
        <f>IF(ISBLANK($E328),"",INDEX(Sheet1!$A:$J,MATCH(Index_Match!$E328,Sheet1!$A:$A,0),MATCH(Index_Match!H$1,Sheet1!$A$1:$J$1,0)))</f>
        <v>Married</v>
      </c>
      <c r="I328" s="23">
        <f>IF(ISBLANK($E328),"",INDEX(Sheet1!$A:$J,MATCH(Index_Match!$E328,Sheet1!$A:$A,0),MATCH(Index_Match!I$1,Sheet1!$A$1:$J$1,0)))</f>
        <v>2</v>
      </c>
      <c r="J328" s="20" t="str">
        <f>IF(ISBLANK($E328),"",INDEX(Sheet1!$A:$J,MATCH(Index_Match!$E328,Sheet1!$A:$A,0),MATCH(Index_Match!J$1,Sheet1!$A$1:$J$1,0)))</f>
        <v>Jasmine Martin</v>
      </c>
      <c r="K328" s="23">
        <f>IF(ISBLANK($E328),"",INDEX(Sheet1!$A:$J,MATCH(Index_Match!$E328,Sheet1!$A:$A,0),MATCH(Index_Match!K$1,Sheet1!$A$1:$J$1,0)))</f>
        <v>2</v>
      </c>
      <c r="L328" s="20" t="str">
        <f>IF(ISBLANK($E328),"",INDEX(Sheet1!$A:$J,MATCH(Index_Match!$E328,Sheet1!$A:$A,0),MATCH(Index_Match!L$1,Sheet1!$A$1:$J$1,0)))</f>
        <v>Martin</v>
      </c>
      <c r="M328" s="20" t="str">
        <f>IF(ISBLANK($E328),"",INDEX(Sheet1!$A:$J,MATCH(Index_Match!$E328,Sheet1!$A:$A,0),MATCH(Index_Match!M$1,Sheet1!$A$1:$J$1,0)))</f>
        <v>Middle Age</v>
      </c>
    </row>
    <row r="329" spans="2:13" x14ac:dyDescent="0.25">
      <c r="B329" s="20"/>
      <c r="C329" s="20"/>
      <c r="D329" s="20"/>
      <c r="E329" s="20" t="str">
        <v>Tara</v>
      </c>
      <c r="F329" s="20" t="str">
        <f>IF(ISBLANK($E329),"",INDEX(Sheet1!$A:$J,MATCH(Index_Match!$E329,Sheet1!$A:$A,0),MATCH(Index_Match!F$1,Sheet1!$A$1:$J$1,0)))</f>
        <v>Female</v>
      </c>
      <c r="G329" s="20" t="str">
        <f>IF(ISBLANK($E329),"",INDEX(Sheet1!$A:$J,MATCH(Index_Match!$E329,Sheet1!$A:$A,0),MATCH(Index_Match!G$1,Sheet1!$A$1:$J$1,0)))</f>
        <v>Jeweller</v>
      </c>
      <c r="H329" s="20" t="str">
        <f>IF(ISBLANK($E329),"",INDEX(Sheet1!$A:$J,MATCH(Index_Match!$E329,Sheet1!$A:$A,0),MATCH(Index_Match!H$1,Sheet1!$A$1:$J$1,0)))</f>
        <v>Married</v>
      </c>
      <c r="I329" s="23">
        <f>IF(ISBLANK($E329),"",INDEX(Sheet1!$A:$J,MATCH(Index_Match!$E329,Sheet1!$A:$A,0),MATCH(Index_Match!I$1,Sheet1!$A$1:$J$1,0)))</f>
        <v>4</v>
      </c>
      <c r="J329" s="20" t="str">
        <f>IF(ISBLANK($E329),"",INDEX(Sheet1!$A:$J,MATCH(Index_Match!$E329,Sheet1!$A:$A,0),MATCH(Index_Match!J$1,Sheet1!$A$1:$J$1,0)))</f>
        <v>Tara Brown</v>
      </c>
      <c r="K329" s="23">
        <f>IF(ISBLANK($E329),"",INDEX(Sheet1!$A:$J,MATCH(Index_Match!$E329,Sheet1!$A:$A,0),MATCH(Index_Match!K$1,Sheet1!$A$1:$J$1,0)))</f>
        <v>4</v>
      </c>
      <c r="L329" s="20" t="str">
        <f>IF(ISBLANK($E329),"",INDEX(Sheet1!$A:$J,MATCH(Index_Match!$E329,Sheet1!$A:$A,0),MATCH(Index_Match!L$1,Sheet1!$A$1:$J$1,0)))</f>
        <v>Brown</v>
      </c>
      <c r="M329" s="20" t="str">
        <f>IF(ISBLANK($E329),"",INDEX(Sheet1!$A:$J,MATCH(Index_Match!$E329,Sheet1!$A:$A,0),MATCH(Index_Match!M$1,Sheet1!$A$1:$J$1,0)))</f>
        <v>Young</v>
      </c>
    </row>
    <row r="330" spans="2:13" x14ac:dyDescent="0.25">
      <c r="B330" s="20"/>
      <c r="C330" s="20"/>
      <c r="D330" s="20"/>
      <c r="E330" s="20" t="str">
        <v>Charlotte</v>
      </c>
      <c r="F330" s="20" t="str">
        <f>IF(ISBLANK($E330),"",INDEX(Sheet1!$A:$J,MATCH(Index_Match!$E330,Sheet1!$A:$A,0),MATCH(Index_Match!F$1,Sheet1!$A$1:$J$1,0)))</f>
        <v>Female</v>
      </c>
      <c r="G330" s="20" t="str">
        <f>IF(ISBLANK($E330),"",INDEX(Sheet1!$A:$J,MATCH(Index_Match!$E330,Sheet1!$A:$A,0),MATCH(Index_Match!G$1,Sheet1!$A$1:$J$1,0)))</f>
        <v>Programmer</v>
      </c>
      <c r="H330" s="20" t="str">
        <f>IF(ISBLANK($E330),"",INDEX(Sheet1!$A:$J,MATCH(Index_Match!$E330,Sheet1!$A:$A,0),MATCH(Index_Match!H$1,Sheet1!$A$1:$J$1,0)))</f>
        <v>Single</v>
      </c>
      <c r="I330" s="23">
        <f>IF(ISBLANK($E330),"",INDEX(Sheet1!$A:$J,MATCH(Index_Match!$E330,Sheet1!$A:$A,0),MATCH(Index_Match!I$1,Sheet1!$A$1:$J$1,0)))</f>
        <v>4</v>
      </c>
      <c r="J330" s="20" t="str">
        <f>IF(ISBLANK($E330),"",INDEX(Sheet1!$A:$J,MATCH(Index_Match!$E330,Sheet1!$A:$A,0),MATCH(Index_Match!J$1,Sheet1!$A$1:$J$1,0)))</f>
        <v>Charlotte Cunningham</v>
      </c>
      <c r="K330" s="23">
        <f>IF(ISBLANK($E330),"",INDEX(Sheet1!$A:$J,MATCH(Index_Match!$E330,Sheet1!$A:$A,0),MATCH(Index_Match!K$1,Sheet1!$A$1:$J$1,0)))</f>
        <v>4</v>
      </c>
      <c r="L330" s="20" t="str">
        <f>IF(ISBLANK($E330),"",INDEX(Sheet1!$A:$J,MATCH(Index_Match!$E330,Sheet1!$A:$A,0),MATCH(Index_Match!L$1,Sheet1!$A$1:$J$1,0)))</f>
        <v>Cunningham</v>
      </c>
      <c r="M330" s="20" t="str">
        <f>IF(ISBLANK($E330),"",INDEX(Sheet1!$A:$J,MATCH(Index_Match!$E330,Sheet1!$A:$A,0),MATCH(Index_Match!M$1,Sheet1!$A$1:$J$1,0)))</f>
        <v>Middle Age</v>
      </c>
    </row>
    <row r="331" spans="2:13" x14ac:dyDescent="0.25">
      <c r="B331" s="20"/>
      <c r="C331" s="20"/>
      <c r="D331" s="20"/>
      <c r="E331" s="20" t="str">
        <v>Daisy</v>
      </c>
      <c r="F331" s="20" t="str">
        <f>IF(ISBLANK($E331),"",INDEX(Sheet1!$A:$J,MATCH(Index_Match!$E331,Sheet1!$A:$A,0),MATCH(Index_Match!F$1,Sheet1!$A$1:$J$1,0)))</f>
        <v>Female</v>
      </c>
      <c r="G331" s="20" t="str">
        <f>IF(ISBLANK($E331),"",INDEX(Sheet1!$A:$J,MATCH(Index_Match!$E331,Sheet1!$A:$A,0),MATCH(Index_Match!G$1,Sheet1!$A$1:$J$1,0)))</f>
        <v>Physicist</v>
      </c>
      <c r="H331" s="20" t="str">
        <f>IF(ISBLANK($E331),"",INDEX(Sheet1!$A:$J,MATCH(Index_Match!$E331,Sheet1!$A:$A,0),MATCH(Index_Match!H$1,Sheet1!$A$1:$J$1,0)))</f>
        <v>Single</v>
      </c>
      <c r="I331" s="23">
        <f>IF(ISBLANK($E331),"",INDEX(Sheet1!$A:$J,MATCH(Index_Match!$E331,Sheet1!$A:$A,0),MATCH(Index_Match!I$1,Sheet1!$A$1:$J$1,0)))</f>
        <v>4</v>
      </c>
      <c r="J331" s="20" t="str">
        <f>IF(ISBLANK($E331),"",INDEX(Sheet1!$A:$J,MATCH(Index_Match!$E331,Sheet1!$A:$A,0),MATCH(Index_Match!J$1,Sheet1!$A$1:$J$1,0)))</f>
        <v>Daisy Casey</v>
      </c>
      <c r="K331" s="23">
        <f>IF(ISBLANK($E331),"",INDEX(Sheet1!$A:$J,MATCH(Index_Match!$E331,Sheet1!$A:$A,0),MATCH(Index_Match!K$1,Sheet1!$A$1:$J$1,0)))</f>
        <v>4</v>
      </c>
      <c r="L331" s="20" t="str">
        <f>IF(ISBLANK($E331),"",INDEX(Sheet1!$A:$J,MATCH(Index_Match!$E331,Sheet1!$A:$A,0),MATCH(Index_Match!L$1,Sheet1!$A$1:$J$1,0)))</f>
        <v>Casey</v>
      </c>
      <c r="M331" s="20" t="str">
        <f>IF(ISBLANK($E331),"",INDEX(Sheet1!$A:$J,MATCH(Index_Match!$E331,Sheet1!$A:$A,0),MATCH(Index_Match!M$1,Sheet1!$A$1:$J$1,0)))</f>
        <v>Middle Age</v>
      </c>
    </row>
    <row r="332" spans="2:13" x14ac:dyDescent="0.25">
      <c r="B332" s="20"/>
      <c r="C332" s="20"/>
      <c r="D332" s="20"/>
      <c r="E332" s="20" t="str">
        <v>Florrie</v>
      </c>
      <c r="F332" s="20" t="str">
        <f>IF(ISBLANK($E332),"",INDEX(Sheet1!$A:$J,MATCH(Index_Match!$E332,Sheet1!$A:$A,0),MATCH(Index_Match!F$1,Sheet1!$A$1:$J$1,0)))</f>
        <v>Female</v>
      </c>
      <c r="G332" s="20" t="str">
        <f>IF(ISBLANK($E332),"",INDEX(Sheet1!$A:$J,MATCH(Index_Match!$E332,Sheet1!$A:$A,0),MATCH(Index_Match!G$1,Sheet1!$A$1:$J$1,0)))</f>
        <v>Biochemist</v>
      </c>
      <c r="H332" s="20" t="str">
        <f>IF(ISBLANK($E332),"",INDEX(Sheet1!$A:$J,MATCH(Index_Match!$E332,Sheet1!$A:$A,0),MATCH(Index_Match!H$1,Sheet1!$A$1:$J$1,0)))</f>
        <v>Single</v>
      </c>
      <c r="I332" s="23">
        <f>IF(ISBLANK($E332),"",INDEX(Sheet1!$A:$J,MATCH(Index_Match!$E332,Sheet1!$A:$A,0),MATCH(Index_Match!I$1,Sheet1!$A$1:$J$1,0)))</f>
        <v>4</v>
      </c>
      <c r="J332" s="20" t="str">
        <f>IF(ISBLANK($E332),"",INDEX(Sheet1!$A:$J,MATCH(Index_Match!$E332,Sheet1!$A:$A,0),MATCH(Index_Match!J$1,Sheet1!$A$1:$J$1,0)))</f>
        <v>Florrie Campbell</v>
      </c>
      <c r="K332" s="23">
        <f>IF(ISBLANK($E332),"",INDEX(Sheet1!$A:$J,MATCH(Index_Match!$E332,Sheet1!$A:$A,0),MATCH(Index_Match!K$1,Sheet1!$A$1:$J$1,0)))</f>
        <v>4</v>
      </c>
      <c r="L332" s="20" t="str">
        <f>IF(ISBLANK($E332),"",INDEX(Sheet1!$A:$J,MATCH(Index_Match!$E332,Sheet1!$A:$A,0),MATCH(Index_Match!L$1,Sheet1!$A$1:$J$1,0)))</f>
        <v>Campbell</v>
      </c>
      <c r="M332" s="20" t="str">
        <f>IF(ISBLANK($E332),"",INDEX(Sheet1!$A:$J,MATCH(Index_Match!$E332,Sheet1!$A:$A,0),MATCH(Index_Match!M$1,Sheet1!$A$1:$J$1,0)))</f>
        <v>Middle Age</v>
      </c>
    </row>
    <row r="333" spans="2:13" x14ac:dyDescent="0.25">
      <c r="B333" s="20"/>
      <c r="C333" s="20"/>
      <c r="D333" s="20"/>
      <c r="E333" s="20" t="str">
        <v>Arianna</v>
      </c>
      <c r="F333" s="20" t="str">
        <f>IF(ISBLANK($E333),"",INDEX(Sheet1!$A:$J,MATCH(Index_Match!$E333,Sheet1!$A:$A,0),MATCH(Index_Match!F$1,Sheet1!$A$1:$J$1,0)))</f>
        <v>Female</v>
      </c>
      <c r="G333" s="20" t="str">
        <f>IF(ISBLANK($E333),"",INDEX(Sheet1!$A:$J,MATCH(Index_Match!$E333,Sheet1!$A:$A,0),MATCH(Index_Match!G$1,Sheet1!$A$1:$J$1,0)))</f>
        <v>Biochemist</v>
      </c>
      <c r="H333" s="20" t="str">
        <f>IF(ISBLANK($E333),"",INDEX(Sheet1!$A:$J,MATCH(Index_Match!$E333,Sheet1!$A:$A,0),MATCH(Index_Match!H$1,Sheet1!$A$1:$J$1,0)))</f>
        <v>Married</v>
      </c>
      <c r="I333" s="23">
        <f>IF(ISBLANK($E333),"",INDEX(Sheet1!$A:$J,MATCH(Index_Match!$E333,Sheet1!$A:$A,0),MATCH(Index_Match!I$1,Sheet1!$A$1:$J$1,0)))</f>
        <v>0</v>
      </c>
      <c r="J333" s="20" t="str">
        <f>IF(ISBLANK($E333),"",INDEX(Sheet1!$A:$J,MATCH(Index_Match!$E333,Sheet1!$A:$A,0),MATCH(Index_Match!J$1,Sheet1!$A$1:$J$1,0)))</f>
        <v>Arianna Hall</v>
      </c>
      <c r="K333" s="23">
        <f>IF(ISBLANK($E333),"",INDEX(Sheet1!$A:$J,MATCH(Index_Match!$E333,Sheet1!$A:$A,0),MATCH(Index_Match!K$1,Sheet1!$A$1:$J$1,0)))</f>
        <v>0</v>
      </c>
      <c r="L333" s="20" t="str">
        <f>IF(ISBLANK($E333),"",INDEX(Sheet1!$A:$J,MATCH(Index_Match!$E333,Sheet1!$A:$A,0),MATCH(Index_Match!L$1,Sheet1!$A$1:$J$1,0)))</f>
        <v>Hall</v>
      </c>
      <c r="M333" s="20" t="str">
        <f>IF(ISBLANK($E333),"",INDEX(Sheet1!$A:$J,MATCH(Index_Match!$E333,Sheet1!$A:$A,0),MATCH(Index_Match!M$1,Sheet1!$A$1:$J$1,0)))</f>
        <v>Old</v>
      </c>
    </row>
    <row r="334" spans="2:13" x14ac:dyDescent="0.25">
      <c r="B334" s="20"/>
      <c r="C334" s="20"/>
      <c r="D334" s="20"/>
      <c r="E334" s="20" t="str">
        <v>Lily</v>
      </c>
      <c r="F334" s="20" t="str">
        <f>IF(ISBLANK($E334),"",INDEX(Sheet1!$A:$J,MATCH(Index_Match!$E334,Sheet1!$A:$A,0),MATCH(Index_Match!F$1,Sheet1!$A$1:$J$1,0)))</f>
        <v>Female</v>
      </c>
      <c r="G334" s="20" t="str">
        <f>IF(ISBLANK($E334),"",INDEX(Sheet1!$A:$J,MATCH(Index_Match!$E334,Sheet1!$A:$A,0),MATCH(Index_Match!G$1,Sheet1!$A$1:$J$1,0)))</f>
        <v>Actor</v>
      </c>
      <c r="H334" s="20" t="str">
        <f>IF(ISBLANK($E334),"",INDEX(Sheet1!$A:$J,MATCH(Index_Match!$E334,Sheet1!$A:$A,0),MATCH(Index_Match!H$1,Sheet1!$A$1:$J$1,0)))</f>
        <v>Single</v>
      </c>
      <c r="I334" s="23">
        <f>IF(ISBLANK($E334),"",INDEX(Sheet1!$A:$J,MATCH(Index_Match!$E334,Sheet1!$A:$A,0),MATCH(Index_Match!I$1,Sheet1!$A$1:$J$1,0)))</f>
        <v>5</v>
      </c>
      <c r="J334" s="20" t="str">
        <f>IF(ISBLANK($E334),"",INDEX(Sheet1!$A:$J,MATCH(Index_Match!$E334,Sheet1!$A:$A,0),MATCH(Index_Match!J$1,Sheet1!$A$1:$J$1,0)))</f>
        <v>Lily Henderson</v>
      </c>
      <c r="K334" s="23">
        <f>IF(ISBLANK($E334),"",INDEX(Sheet1!$A:$J,MATCH(Index_Match!$E334,Sheet1!$A:$A,0),MATCH(Index_Match!K$1,Sheet1!$A$1:$J$1,0)))</f>
        <v>5</v>
      </c>
      <c r="L334" s="20" t="str">
        <f>IF(ISBLANK($E334),"",INDEX(Sheet1!$A:$J,MATCH(Index_Match!$E334,Sheet1!$A:$A,0),MATCH(Index_Match!L$1,Sheet1!$A$1:$J$1,0)))</f>
        <v>Henderson</v>
      </c>
      <c r="M334" s="20" t="str">
        <f>IF(ISBLANK($E334),"",INDEX(Sheet1!$A:$J,MATCH(Index_Match!$E334,Sheet1!$A:$A,0),MATCH(Index_Match!M$1,Sheet1!$A$1:$J$1,0)))</f>
        <v>Middle Age</v>
      </c>
    </row>
    <row r="335" spans="2:13" x14ac:dyDescent="0.25">
      <c r="B335" s="20"/>
      <c r="C335" s="20"/>
      <c r="D335" s="20"/>
      <c r="E335" s="20" t="str">
        <v>Annabella</v>
      </c>
      <c r="F335" s="20" t="str">
        <f>IF(ISBLANK($E335),"",INDEX(Sheet1!$A:$J,MATCH(Index_Match!$E335,Sheet1!$A:$A,0),MATCH(Index_Match!F$1,Sheet1!$A$1:$J$1,0)))</f>
        <v>Female</v>
      </c>
      <c r="G335" s="20" t="str">
        <f>IF(ISBLANK($E335),"",INDEX(Sheet1!$A:$J,MATCH(Index_Match!$E335,Sheet1!$A:$A,0),MATCH(Index_Match!G$1,Sheet1!$A$1:$J$1,0)))</f>
        <v>Composer</v>
      </c>
      <c r="H335" s="20" t="str">
        <f>IF(ISBLANK($E335),"",INDEX(Sheet1!$A:$J,MATCH(Index_Match!$E335,Sheet1!$A:$A,0),MATCH(Index_Match!H$1,Sheet1!$A$1:$J$1,0)))</f>
        <v>Married</v>
      </c>
      <c r="I335" s="23">
        <f>IF(ISBLANK($E335),"",INDEX(Sheet1!$A:$J,MATCH(Index_Match!$E335,Sheet1!$A:$A,0),MATCH(Index_Match!I$1,Sheet1!$A$1:$J$1,0)))</f>
        <v>5</v>
      </c>
      <c r="J335" s="20" t="str">
        <f>IF(ISBLANK($E335),"",INDEX(Sheet1!$A:$J,MATCH(Index_Match!$E335,Sheet1!$A:$A,0),MATCH(Index_Match!J$1,Sheet1!$A$1:$J$1,0)))</f>
        <v>Annabella Parker</v>
      </c>
      <c r="K335" s="23">
        <f>IF(ISBLANK($E335),"",INDEX(Sheet1!$A:$J,MATCH(Index_Match!$E335,Sheet1!$A:$A,0),MATCH(Index_Match!K$1,Sheet1!$A$1:$J$1,0)))</f>
        <v>5</v>
      </c>
      <c r="L335" s="20" t="str">
        <f>IF(ISBLANK($E335),"",INDEX(Sheet1!$A:$J,MATCH(Index_Match!$E335,Sheet1!$A:$A,0),MATCH(Index_Match!L$1,Sheet1!$A$1:$J$1,0)))</f>
        <v>Parker</v>
      </c>
      <c r="M335" s="20" t="str">
        <f>IF(ISBLANK($E335),"",INDEX(Sheet1!$A:$J,MATCH(Index_Match!$E335,Sheet1!$A:$A,0),MATCH(Index_Match!M$1,Sheet1!$A$1:$J$1,0)))</f>
        <v>Middle Age</v>
      </c>
    </row>
    <row r="336" spans="2:13" x14ac:dyDescent="0.25">
      <c r="B336" s="20"/>
      <c r="C336" s="20"/>
      <c r="D336" s="20"/>
      <c r="E336" s="20" t="str">
        <v>Nicole</v>
      </c>
      <c r="F336" s="20" t="str">
        <f>IF(ISBLANK($E336),"",INDEX(Sheet1!$A:$J,MATCH(Index_Match!$E336,Sheet1!$A:$A,0),MATCH(Index_Match!F$1,Sheet1!$A$1:$J$1,0)))</f>
        <v>Female</v>
      </c>
      <c r="G336" s="20" t="str">
        <f>IF(ISBLANK($E336),"",INDEX(Sheet1!$A:$J,MATCH(Index_Match!$E336,Sheet1!$A:$A,0),MATCH(Index_Match!G$1,Sheet1!$A$1:$J$1,0)))</f>
        <v>Aeroplane Pilot</v>
      </c>
      <c r="H336" s="20" t="str">
        <f>IF(ISBLANK($E336),"",INDEX(Sheet1!$A:$J,MATCH(Index_Match!$E336,Sheet1!$A:$A,0),MATCH(Index_Match!H$1,Sheet1!$A$1:$J$1,0)))</f>
        <v>Married</v>
      </c>
      <c r="I336" s="23">
        <f>IF(ISBLANK($E336),"",INDEX(Sheet1!$A:$J,MATCH(Index_Match!$E336,Sheet1!$A:$A,0),MATCH(Index_Match!I$1,Sheet1!$A$1:$J$1,0)))</f>
        <v>0</v>
      </c>
      <c r="J336" s="20" t="str">
        <f>IF(ISBLANK($E336),"",INDEX(Sheet1!$A:$J,MATCH(Index_Match!$E336,Sheet1!$A:$A,0),MATCH(Index_Match!J$1,Sheet1!$A$1:$J$1,0)))</f>
        <v>Nicole Morgan</v>
      </c>
      <c r="K336" s="23">
        <f>IF(ISBLANK($E336),"",INDEX(Sheet1!$A:$J,MATCH(Index_Match!$E336,Sheet1!$A:$A,0),MATCH(Index_Match!K$1,Sheet1!$A$1:$J$1,0)))</f>
        <v>0</v>
      </c>
      <c r="L336" s="20" t="str">
        <f>IF(ISBLANK($E336),"",INDEX(Sheet1!$A:$J,MATCH(Index_Match!$E336,Sheet1!$A:$A,0),MATCH(Index_Match!L$1,Sheet1!$A$1:$J$1,0)))</f>
        <v>Morgan</v>
      </c>
      <c r="M336" s="20" t="str">
        <f>IF(ISBLANK($E336),"",INDEX(Sheet1!$A:$J,MATCH(Index_Match!$E336,Sheet1!$A:$A,0),MATCH(Index_Match!M$1,Sheet1!$A$1:$J$1,0)))</f>
        <v>Middle Age</v>
      </c>
    </row>
    <row r="337" spans="2:13" x14ac:dyDescent="0.25">
      <c r="B337" s="20"/>
      <c r="C337" s="20"/>
      <c r="D337" s="20"/>
      <c r="E337" s="20" t="str">
        <v>Tara</v>
      </c>
      <c r="F337" s="20" t="str">
        <f>IF(ISBLANK($E337),"",INDEX(Sheet1!$A:$J,MATCH(Index_Match!$E337,Sheet1!$A:$A,0),MATCH(Index_Match!F$1,Sheet1!$A$1:$J$1,0)))</f>
        <v>Female</v>
      </c>
      <c r="G337" s="20" t="str">
        <f>IF(ISBLANK($E337),"",INDEX(Sheet1!$A:$J,MATCH(Index_Match!$E337,Sheet1!$A:$A,0),MATCH(Index_Match!G$1,Sheet1!$A$1:$J$1,0)))</f>
        <v>Jeweller</v>
      </c>
      <c r="H337" s="20" t="str">
        <f>IF(ISBLANK($E337),"",INDEX(Sheet1!$A:$J,MATCH(Index_Match!$E337,Sheet1!$A:$A,0),MATCH(Index_Match!H$1,Sheet1!$A$1:$J$1,0)))</f>
        <v>Married</v>
      </c>
      <c r="I337" s="23">
        <f>IF(ISBLANK($E337),"",INDEX(Sheet1!$A:$J,MATCH(Index_Match!$E337,Sheet1!$A:$A,0),MATCH(Index_Match!I$1,Sheet1!$A$1:$J$1,0)))</f>
        <v>4</v>
      </c>
      <c r="J337" s="20" t="str">
        <f>IF(ISBLANK($E337),"",INDEX(Sheet1!$A:$J,MATCH(Index_Match!$E337,Sheet1!$A:$A,0),MATCH(Index_Match!J$1,Sheet1!$A$1:$J$1,0)))</f>
        <v>Tara Brown</v>
      </c>
      <c r="K337" s="23">
        <f>IF(ISBLANK($E337),"",INDEX(Sheet1!$A:$J,MATCH(Index_Match!$E337,Sheet1!$A:$A,0),MATCH(Index_Match!K$1,Sheet1!$A$1:$J$1,0)))</f>
        <v>4</v>
      </c>
      <c r="L337" s="20" t="str">
        <f>IF(ISBLANK($E337),"",INDEX(Sheet1!$A:$J,MATCH(Index_Match!$E337,Sheet1!$A:$A,0),MATCH(Index_Match!L$1,Sheet1!$A$1:$J$1,0)))</f>
        <v>Brown</v>
      </c>
      <c r="M337" s="20" t="str">
        <f>IF(ISBLANK($E337),"",INDEX(Sheet1!$A:$J,MATCH(Index_Match!$E337,Sheet1!$A:$A,0),MATCH(Index_Match!M$1,Sheet1!$A$1:$J$1,0)))</f>
        <v>Young</v>
      </c>
    </row>
    <row r="338" spans="2:13" x14ac:dyDescent="0.25">
      <c r="B338" s="20"/>
      <c r="C338" s="20"/>
      <c r="D338" s="20"/>
      <c r="E338" s="20" t="str">
        <v>Adrianna</v>
      </c>
      <c r="F338" s="20" t="str">
        <f>IF(ISBLANK($E338),"",INDEX(Sheet1!$A:$J,MATCH(Index_Match!$E338,Sheet1!$A:$A,0),MATCH(Index_Match!F$1,Sheet1!$A$1:$J$1,0)))</f>
        <v>Female</v>
      </c>
      <c r="G338" s="20" t="str">
        <f>IF(ISBLANK($E338),"",INDEX(Sheet1!$A:$J,MATCH(Index_Match!$E338,Sheet1!$A:$A,0),MATCH(Index_Match!G$1,Sheet1!$A$1:$J$1,0)))</f>
        <v>Botanist</v>
      </c>
      <c r="H338" s="20" t="str">
        <f>IF(ISBLANK($E338),"",INDEX(Sheet1!$A:$J,MATCH(Index_Match!$E338,Sheet1!$A:$A,0),MATCH(Index_Match!H$1,Sheet1!$A$1:$J$1,0)))</f>
        <v>Single</v>
      </c>
      <c r="I338" s="23">
        <f>IF(ISBLANK($E338),"",INDEX(Sheet1!$A:$J,MATCH(Index_Match!$E338,Sheet1!$A:$A,0),MATCH(Index_Match!I$1,Sheet1!$A$1:$J$1,0)))</f>
        <v>1</v>
      </c>
      <c r="J338" s="20" t="str">
        <f>IF(ISBLANK($E338),"",INDEX(Sheet1!$A:$J,MATCH(Index_Match!$E338,Sheet1!$A:$A,0),MATCH(Index_Match!J$1,Sheet1!$A$1:$J$1,0)))</f>
        <v>Adrianna Bennett</v>
      </c>
      <c r="K338" s="23">
        <f>IF(ISBLANK($E338),"",INDEX(Sheet1!$A:$J,MATCH(Index_Match!$E338,Sheet1!$A:$A,0),MATCH(Index_Match!K$1,Sheet1!$A$1:$J$1,0)))</f>
        <v>1</v>
      </c>
      <c r="L338" s="20" t="str">
        <f>IF(ISBLANK($E338),"",INDEX(Sheet1!$A:$J,MATCH(Index_Match!$E338,Sheet1!$A:$A,0),MATCH(Index_Match!L$1,Sheet1!$A$1:$J$1,0)))</f>
        <v>Bennett</v>
      </c>
      <c r="M338" s="20" t="str">
        <f>IF(ISBLANK($E338),"",INDEX(Sheet1!$A:$J,MATCH(Index_Match!$E338,Sheet1!$A:$A,0),MATCH(Index_Match!M$1,Sheet1!$A$1:$J$1,0)))</f>
        <v>Middle Age</v>
      </c>
    </row>
    <row r="339" spans="2:13" x14ac:dyDescent="0.25">
      <c r="B339" s="20"/>
      <c r="C339" s="20"/>
      <c r="D339" s="20"/>
      <c r="E339" s="20" t="str">
        <v>Lana</v>
      </c>
      <c r="F339" s="20" t="str">
        <f>IF(ISBLANK($E339),"",INDEX(Sheet1!$A:$J,MATCH(Index_Match!$E339,Sheet1!$A:$A,0),MATCH(Index_Match!F$1,Sheet1!$A$1:$J$1,0)))</f>
        <v>Female</v>
      </c>
      <c r="G339" s="20" t="str">
        <f>IF(ISBLANK($E339),"",INDEX(Sheet1!$A:$J,MATCH(Index_Match!$E339,Sheet1!$A:$A,0),MATCH(Index_Match!G$1,Sheet1!$A$1:$J$1,0)))</f>
        <v>Interior Designer</v>
      </c>
      <c r="H339" s="20" t="str">
        <f>IF(ISBLANK($E339),"",INDEX(Sheet1!$A:$J,MATCH(Index_Match!$E339,Sheet1!$A:$A,0),MATCH(Index_Match!H$1,Sheet1!$A$1:$J$1,0)))</f>
        <v>Single</v>
      </c>
      <c r="I339" s="23">
        <f>IF(ISBLANK($E339),"",INDEX(Sheet1!$A:$J,MATCH(Index_Match!$E339,Sheet1!$A:$A,0),MATCH(Index_Match!I$1,Sheet1!$A$1:$J$1,0)))</f>
        <v>4</v>
      </c>
      <c r="J339" s="20" t="str">
        <f>IF(ISBLANK($E339),"",INDEX(Sheet1!$A:$J,MATCH(Index_Match!$E339,Sheet1!$A:$A,0),MATCH(Index_Match!J$1,Sheet1!$A$1:$J$1,0)))</f>
        <v>Lana Martin</v>
      </c>
      <c r="K339" s="23">
        <f>IF(ISBLANK($E339),"",INDEX(Sheet1!$A:$J,MATCH(Index_Match!$E339,Sheet1!$A:$A,0),MATCH(Index_Match!K$1,Sheet1!$A$1:$J$1,0)))</f>
        <v>4</v>
      </c>
      <c r="L339" s="20" t="str">
        <f>IF(ISBLANK($E339),"",INDEX(Sheet1!$A:$J,MATCH(Index_Match!$E339,Sheet1!$A:$A,0),MATCH(Index_Match!L$1,Sheet1!$A$1:$J$1,0)))</f>
        <v>Martin</v>
      </c>
      <c r="M339" s="20" t="str">
        <f>IF(ISBLANK($E339),"",INDEX(Sheet1!$A:$J,MATCH(Index_Match!$E339,Sheet1!$A:$A,0),MATCH(Index_Match!M$1,Sheet1!$A$1:$J$1,0)))</f>
        <v>Middle Age</v>
      </c>
    </row>
    <row r="340" spans="2:13" x14ac:dyDescent="0.25">
      <c r="B340" s="20"/>
      <c r="C340" s="20"/>
      <c r="D340" s="20"/>
      <c r="E340" s="20" t="str">
        <v>Ada</v>
      </c>
      <c r="F340" s="20" t="str">
        <f>IF(ISBLANK($E340),"",INDEX(Sheet1!$A:$J,MATCH(Index_Match!$E340,Sheet1!$A:$A,0),MATCH(Index_Match!F$1,Sheet1!$A$1:$J$1,0)))</f>
        <v>Female</v>
      </c>
      <c r="G340" s="20" t="str">
        <f>IF(ISBLANK($E340),"",INDEX(Sheet1!$A:$J,MATCH(Index_Match!$E340,Sheet1!$A:$A,0),MATCH(Index_Match!G$1,Sheet1!$A$1:$J$1,0)))</f>
        <v>Fashion Designer</v>
      </c>
      <c r="H340" s="20" t="str">
        <f>IF(ISBLANK($E340),"",INDEX(Sheet1!$A:$J,MATCH(Index_Match!$E340,Sheet1!$A:$A,0),MATCH(Index_Match!H$1,Sheet1!$A$1:$J$1,0)))</f>
        <v>Married</v>
      </c>
      <c r="I340" s="23">
        <f>IF(ISBLANK($E340),"",INDEX(Sheet1!$A:$J,MATCH(Index_Match!$E340,Sheet1!$A:$A,0),MATCH(Index_Match!I$1,Sheet1!$A$1:$J$1,0)))</f>
        <v>5</v>
      </c>
      <c r="J340" s="20" t="str">
        <f>IF(ISBLANK($E340),"",INDEX(Sheet1!$A:$J,MATCH(Index_Match!$E340,Sheet1!$A:$A,0),MATCH(Index_Match!J$1,Sheet1!$A$1:$J$1,0)))</f>
        <v>Ada Hall</v>
      </c>
      <c r="K340" s="23">
        <f>IF(ISBLANK($E340),"",INDEX(Sheet1!$A:$J,MATCH(Index_Match!$E340,Sheet1!$A:$A,0),MATCH(Index_Match!K$1,Sheet1!$A$1:$J$1,0)))</f>
        <v>5</v>
      </c>
      <c r="L340" s="20" t="str">
        <f>IF(ISBLANK($E340),"",INDEX(Sheet1!$A:$J,MATCH(Index_Match!$E340,Sheet1!$A:$A,0),MATCH(Index_Match!L$1,Sheet1!$A$1:$J$1,0)))</f>
        <v>Hall</v>
      </c>
      <c r="M340" s="20" t="str">
        <f>IF(ISBLANK($E340),"",INDEX(Sheet1!$A:$J,MATCH(Index_Match!$E340,Sheet1!$A:$A,0),MATCH(Index_Match!M$1,Sheet1!$A$1:$J$1,0)))</f>
        <v>Middle Age</v>
      </c>
    </row>
    <row r="341" spans="2:13" x14ac:dyDescent="0.25">
      <c r="B341" s="20"/>
      <c r="C341" s="20"/>
      <c r="D341" s="20"/>
      <c r="E341" s="20" t="str">
        <v>Sofia</v>
      </c>
      <c r="F341" s="20" t="str">
        <f>IF(ISBLANK($E341),"",INDEX(Sheet1!$A:$J,MATCH(Index_Match!$E341,Sheet1!$A:$A,0),MATCH(Index_Match!F$1,Sheet1!$A$1:$J$1,0)))</f>
        <v>Female</v>
      </c>
      <c r="G341" s="20" t="str">
        <f>IF(ISBLANK($E341),"",INDEX(Sheet1!$A:$J,MATCH(Index_Match!$E341,Sheet1!$A:$A,0),MATCH(Index_Match!G$1,Sheet1!$A$1:$J$1,0)))</f>
        <v>Cook</v>
      </c>
      <c r="H341" s="20" t="str">
        <f>IF(ISBLANK($E341),"",INDEX(Sheet1!$A:$J,MATCH(Index_Match!$E341,Sheet1!$A:$A,0),MATCH(Index_Match!H$1,Sheet1!$A$1:$J$1,0)))</f>
        <v>Married</v>
      </c>
      <c r="I341" s="23">
        <f>IF(ISBLANK($E341),"",INDEX(Sheet1!$A:$J,MATCH(Index_Match!$E341,Sheet1!$A:$A,0),MATCH(Index_Match!I$1,Sheet1!$A$1:$J$1,0)))</f>
        <v>5</v>
      </c>
      <c r="J341" s="20" t="str">
        <f>IF(ISBLANK($E341),"",INDEX(Sheet1!$A:$J,MATCH(Index_Match!$E341,Sheet1!$A:$A,0),MATCH(Index_Match!J$1,Sheet1!$A$1:$J$1,0)))</f>
        <v>Sofia Barnes</v>
      </c>
      <c r="K341" s="23">
        <f>IF(ISBLANK($E341),"",INDEX(Sheet1!$A:$J,MATCH(Index_Match!$E341,Sheet1!$A:$A,0),MATCH(Index_Match!K$1,Sheet1!$A$1:$J$1,0)))</f>
        <v>5</v>
      </c>
      <c r="L341" s="20" t="str">
        <f>IF(ISBLANK($E341),"",INDEX(Sheet1!$A:$J,MATCH(Index_Match!$E341,Sheet1!$A:$A,0),MATCH(Index_Match!L$1,Sheet1!$A$1:$J$1,0)))</f>
        <v>Barnes</v>
      </c>
      <c r="M341" s="20" t="str">
        <f>IF(ISBLANK($E341),"",INDEX(Sheet1!$A:$J,MATCH(Index_Match!$E341,Sheet1!$A:$A,0),MATCH(Index_Match!M$1,Sheet1!$A$1:$J$1,0)))</f>
        <v>Old</v>
      </c>
    </row>
    <row r="342" spans="2:13" x14ac:dyDescent="0.25">
      <c r="B342" s="20"/>
      <c r="C342" s="20"/>
      <c r="D342" s="20"/>
      <c r="E342" s="20" t="str">
        <v>Sienna</v>
      </c>
      <c r="F342" s="20" t="str">
        <f>IF(ISBLANK($E342),"",INDEX(Sheet1!$A:$J,MATCH(Index_Match!$E342,Sheet1!$A:$A,0),MATCH(Index_Match!F$1,Sheet1!$A$1:$J$1,0)))</f>
        <v>Female</v>
      </c>
      <c r="G342" s="20" t="str">
        <f>IF(ISBLANK($E342),"",INDEX(Sheet1!$A:$J,MATCH(Index_Match!$E342,Sheet1!$A:$A,0),MATCH(Index_Match!G$1,Sheet1!$A$1:$J$1,0)))</f>
        <v>Biochemist</v>
      </c>
      <c r="H342" s="20" t="str">
        <f>IF(ISBLANK($E342),"",INDEX(Sheet1!$A:$J,MATCH(Index_Match!$E342,Sheet1!$A:$A,0),MATCH(Index_Match!H$1,Sheet1!$A$1:$J$1,0)))</f>
        <v>Single</v>
      </c>
      <c r="I342" s="23">
        <f>IF(ISBLANK($E342),"",INDEX(Sheet1!$A:$J,MATCH(Index_Match!$E342,Sheet1!$A:$A,0),MATCH(Index_Match!I$1,Sheet1!$A$1:$J$1,0)))</f>
        <v>1</v>
      </c>
      <c r="J342" s="20" t="str">
        <f>IF(ISBLANK($E342),"",INDEX(Sheet1!$A:$J,MATCH(Index_Match!$E342,Sheet1!$A:$A,0),MATCH(Index_Match!J$1,Sheet1!$A$1:$J$1,0)))</f>
        <v>Sienna Baker</v>
      </c>
      <c r="K342" s="23">
        <f>IF(ISBLANK($E342),"",INDEX(Sheet1!$A:$J,MATCH(Index_Match!$E342,Sheet1!$A:$A,0),MATCH(Index_Match!K$1,Sheet1!$A$1:$J$1,0)))</f>
        <v>1</v>
      </c>
      <c r="L342" s="20" t="str">
        <f>IF(ISBLANK($E342),"",INDEX(Sheet1!$A:$J,MATCH(Index_Match!$E342,Sheet1!$A:$A,0),MATCH(Index_Match!L$1,Sheet1!$A$1:$J$1,0)))</f>
        <v>Baker</v>
      </c>
      <c r="M342" s="20" t="str">
        <f>IF(ISBLANK($E342),"",INDEX(Sheet1!$A:$J,MATCH(Index_Match!$E342,Sheet1!$A:$A,0),MATCH(Index_Match!M$1,Sheet1!$A$1:$J$1,0)))</f>
        <v>Young</v>
      </c>
    </row>
    <row r="343" spans="2:13" x14ac:dyDescent="0.25">
      <c r="B343" s="20"/>
      <c r="C343" s="20"/>
      <c r="D343" s="20"/>
      <c r="E343" s="20" t="str">
        <v>Heather</v>
      </c>
      <c r="F343" s="20" t="str">
        <f>IF(ISBLANK($E343),"",INDEX(Sheet1!$A:$J,MATCH(Index_Match!$E343,Sheet1!$A:$A,0),MATCH(Index_Match!F$1,Sheet1!$A$1:$J$1,0)))</f>
        <v>Female</v>
      </c>
      <c r="G343" s="20" t="str">
        <f>IF(ISBLANK($E343),"",INDEX(Sheet1!$A:$J,MATCH(Index_Match!$E343,Sheet1!$A:$A,0),MATCH(Index_Match!G$1,Sheet1!$A$1:$J$1,0)))</f>
        <v>Carpenter</v>
      </c>
      <c r="H343" s="20" t="str">
        <f>IF(ISBLANK($E343),"",INDEX(Sheet1!$A:$J,MATCH(Index_Match!$E343,Sheet1!$A:$A,0),MATCH(Index_Match!H$1,Sheet1!$A$1:$J$1,0)))</f>
        <v>Single</v>
      </c>
      <c r="I343" s="23">
        <f>IF(ISBLANK($E343),"",INDEX(Sheet1!$A:$J,MATCH(Index_Match!$E343,Sheet1!$A:$A,0),MATCH(Index_Match!I$1,Sheet1!$A$1:$J$1,0)))</f>
        <v>5</v>
      </c>
      <c r="J343" s="20" t="str">
        <f>IF(ISBLANK($E343),"",INDEX(Sheet1!$A:$J,MATCH(Index_Match!$E343,Sheet1!$A:$A,0),MATCH(Index_Match!J$1,Sheet1!$A$1:$J$1,0)))</f>
        <v>Heather Perry</v>
      </c>
      <c r="K343" s="23">
        <f>IF(ISBLANK($E343),"",INDEX(Sheet1!$A:$J,MATCH(Index_Match!$E343,Sheet1!$A:$A,0),MATCH(Index_Match!K$1,Sheet1!$A$1:$J$1,0)))</f>
        <v>5</v>
      </c>
      <c r="L343" s="20" t="str">
        <f>IF(ISBLANK($E343),"",INDEX(Sheet1!$A:$J,MATCH(Index_Match!$E343,Sheet1!$A:$A,0),MATCH(Index_Match!L$1,Sheet1!$A$1:$J$1,0)))</f>
        <v>Perry</v>
      </c>
      <c r="M343" s="20" t="str">
        <f>IF(ISBLANK($E343),"",INDEX(Sheet1!$A:$J,MATCH(Index_Match!$E343,Sheet1!$A:$A,0),MATCH(Index_Match!M$1,Sheet1!$A$1:$J$1,0)))</f>
        <v>Middle Age</v>
      </c>
    </row>
    <row r="344" spans="2:13" x14ac:dyDescent="0.25">
      <c r="B344" s="20"/>
      <c r="C344" s="20"/>
      <c r="D344" s="20"/>
      <c r="E344" s="20" t="str">
        <v>Ada</v>
      </c>
      <c r="F344" s="20" t="str">
        <f>IF(ISBLANK($E344),"",INDEX(Sheet1!$A:$J,MATCH(Index_Match!$E344,Sheet1!$A:$A,0),MATCH(Index_Match!F$1,Sheet1!$A$1:$J$1,0)))</f>
        <v>Female</v>
      </c>
      <c r="G344" s="20" t="str">
        <f>IF(ISBLANK($E344),"",INDEX(Sheet1!$A:$J,MATCH(Index_Match!$E344,Sheet1!$A:$A,0),MATCH(Index_Match!G$1,Sheet1!$A$1:$J$1,0)))</f>
        <v>Fashion Designer</v>
      </c>
      <c r="H344" s="20" t="str">
        <f>IF(ISBLANK($E344),"",INDEX(Sheet1!$A:$J,MATCH(Index_Match!$E344,Sheet1!$A:$A,0),MATCH(Index_Match!H$1,Sheet1!$A$1:$J$1,0)))</f>
        <v>Married</v>
      </c>
      <c r="I344" s="23">
        <f>IF(ISBLANK($E344),"",INDEX(Sheet1!$A:$J,MATCH(Index_Match!$E344,Sheet1!$A:$A,0),MATCH(Index_Match!I$1,Sheet1!$A$1:$J$1,0)))</f>
        <v>5</v>
      </c>
      <c r="J344" s="20" t="str">
        <f>IF(ISBLANK($E344),"",INDEX(Sheet1!$A:$J,MATCH(Index_Match!$E344,Sheet1!$A:$A,0),MATCH(Index_Match!J$1,Sheet1!$A$1:$J$1,0)))</f>
        <v>Ada Hall</v>
      </c>
      <c r="K344" s="23">
        <f>IF(ISBLANK($E344),"",INDEX(Sheet1!$A:$J,MATCH(Index_Match!$E344,Sheet1!$A:$A,0),MATCH(Index_Match!K$1,Sheet1!$A$1:$J$1,0)))</f>
        <v>5</v>
      </c>
      <c r="L344" s="20" t="str">
        <f>IF(ISBLANK($E344),"",INDEX(Sheet1!$A:$J,MATCH(Index_Match!$E344,Sheet1!$A:$A,0),MATCH(Index_Match!L$1,Sheet1!$A$1:$J$1,0)))</f>
        <v>Hall</v>
      </c>
      <c r="M344" s="20" t="str">
        <f>IF(ISBLANK($E344),"",INDEX(Sheet1!$A:$J,MATCH(Index_Match!$E344,Sheet1!$A:$A,0),MATCH(Index_Match!M$1,Sheet1!$A$1:$J$1,0)))</f>
        <v>Middle Age</v>
      </c>
    </row>
    <row r="345" spans="2:13" x14ac:dyDescent="0.25">
      <c r="B345" s="20"/>
      <c r="C345" s="20"/>
      <c r="D345" s="20"/>
      <c r="E345" s="20" t="str">
        <v>Joyce</v>
      </c>
      <c r="F345" s="20" t="str">
        <f>IF(ISBLANK($E345),"",INDEX(Sheet1!$A:$J,MATCH(Index_Match!$E345,Sheet1!$A:$A,0),MATCH(Index_Match!F$1,Sheet1!$A$1:$J$1,0)))</f>
        <v>Female</v>
      </c>
      <c r="G345" s="20" t="str">
        <f>IF(ISBLANK($E345),"",INDEX(Sheet1!$A:$J,MATCH(Index_Match!$E345,Sheet1!$A:$A,0),MATCH(Index_Match!G$1,Sheet1!$A$1:$J$1,0)))</f>
        <v>Baker</v>
      </c>
      <c r="H345" s="20" t="str">
        <f>IF(ISBLANK($E345),"",INDEX(Sheet1!$A:$J,MATCH(Index_Match!$E345,Sheet1!$A:$A,0),MATCH(Index_Match!H$1,Sheet1!$A$1:$J$1,0)))</f>
        <v>Single</v>
      </c>
      <c r="I345" s="23">
        <f>IF(ISBLANK($E345),"",INDEX(Sheet1!$A:$J,MATCH(Index_Match!$E345,Sheet1!$A:$A,0),MATCH(Index_Match!I$1,Sheet1!$A$1:$J$1,0)))</f>
        <v>5</v>
      </c>
      <c r="J345" s="20" t="str">
        <f>IF(ISBLANK($E345),"",INDEX(Sheet1!$A:$J,MATCH(Index_Match!$E345,Sheet1!$A:$A,0),MATCH(Index_Match!J$1,Sheet1!$A$1:$J$1,0)))</f>
        <v>Joyce Johnson</v>
      </c>
      <c r="K345" s="23">
        <f>IF(ISBLANK($E345),"",INDEX(Sheet1!$A:$J,MATCH(Index_Match!$E345,Sheet1!$A:$A,0),MATCH(Index_Match!K$1,Sheet1!$A$1:$J$1,0)))</f>
        <v>5</v>
      </c>
      <c r="L345" s="20" t="str">
        <f>IF(ISBLANK($E345),"",INDEX(Sheet1!$A:$J,MATCH(Index_Match!$E345,Sheet1!$A:$A,0),MATCH(Index_Match!L$1,Sheet1!$A$1:$J$1,0)))</f>
        <v>Johnson</v>
      </c>
      <c r="M345" s="20" t="str">
        <f>IF(ISBLANK($E345),"",INDEX(Sheet1!$A:$J,MATCH(Index_Match!$E345,Sheet1!$A:$A,0),MATCH(Index_Match!M$1,Sheet1!$A$1:$J$1,0)))</f>
        <v>Middle Age</v>
      </c>
    </row>
    <row r="346" spans="2:13" x14ac:dyDescent="0.25">
      <c r="B346" s="20"/>
      <c r="C346" s="20"/>
      <c r="D346" s="20"/>
      <c r="E346" s="20" t="str">
        <v>Catherine</v>
      </c>
      <c r="F346" s="20" t="str">
        <f>IF(ISBLANK($E346),"",INDEX(Sheet1!$A:$J,MATCH(Index_Match!$E346,Sheet1!$A:$A,0),MATCH(Index_Match!F$1,Sheet1!$A$1:$J$1,0)))</f>
        <v>Female</v>
      </c>
      <c r="G346" s="20" t="str">
        <f>IF(ISBLANK($E346),"",INDEX(Sheet1!$A:$J,MATCH(Index_Match!$E346,Sheet1!$A:$A,0),MATCH(Index_Match!G$1,Sheet1!$A$1:$J$1,0)))</f>
        <v>Jeweller</v>
      </c>
      <c r="H346" s="20" t="str">
        <f>IF(ISBLANK($E346),"",INDEX(Sheet1!$A:$J,MATCH(Index_Match!$E346,Sheet1!$A:$A,0),MATCH(Index_Match!H$1,Sheet1!$A$1:$J$1,0)))</f>
        <v>Single</v>
      </c>
      <c r="I346" s="23">
        <f>IF(ISBLANK($E346),"",INDEX(Sheet1!$A:$J,MATCH(Index_Match!$E346,Sheet1!$A:$A,0),MATCH(Index_Match!I$1,Sheet1!$A$1:$J$1,0)))</f>
        <v>3</v>
      </c>
      <c r="J346" s="20" t="str">
        <f>IF(ISBLANK($E346),"",INDEX(Sheet1!$A:$J,MATCH(Index_Match!$E346,Sheet1!$A:$A,0),MATCH(Index_Match!J$1,Sheet1!$A$1:$J$1,0)))</f>
        <v>Catherine Sullivan</v>
      </c>
      <c r="K346" s="23">
        <f>IF(ISBLANK($E346),"",INDEX(Sheet1!$A:$J,MATCH(Index_Match!$E346,Sheet1!$A:$A,0),MATCH(Index_Match!K$1,Sheet1!$A$1:$J$1,0)))</f>
        <v>3</v>
      </c>
      <c r="L346" s="20" t="str">
        <f>IF(ISBLANK($E346),"",INDEX(Sheet1!$A:$J,MATCH(Index_Match!$E346,Sheet1!$A:$A,0),MATCH(Index_Match!L$1,Sheet1!$A$1:$J$1,0)))</f>
        <v>Sullivan</v>
      </c>
      <c r="M346" s="20" t="str">
        <f>IF(ISBLANK($E346),"",INDEX(Sheet1!$A:$J,MATCH(Index_Match!$E346,Sheet1!$A:$A,0),MATCH(Index_Match!M$1,Sheet1!$A$1:$J$1,0)))</f>
        <v>Young</v>
      </c>
    </row>
    <row r="347" spans="2:13" x14ac:dyDescent="0.25">
      <c r="B347" s="20"/>
      <c r="C347" s="20"/>
      <c r="D347" s="20"/>
      <c r="E347" s="20" t="str">
        <v>Carina</v>
      </c>
      <c r="F347" s="20" t="str">
        <f>IF(ISBLANK($E347),"",INDEX(Sheet1!$A:$J,MATCH(Index_Match!$E347,Sheet1!$A:$A,0),MATCH(Index_Match!F$1,Sheet1!$A$1:$J$1,0)))</f>
        <v>Female</v>
      </c>
      <c r="G347" s="20" t="str">
        <f>IF(ISBLANK($E347),"",INDEX(Sheet1!$A:$J,MATCH(Index_Match!$E347,Sheet1!$A:$A,0),MATCH(Index_Match!G$1,Sheet1!$A$1:$J$1,0)))</f>
        <v>Aeroplane Pilot</v>
      </c>
      <c r="H347" s="20" t="str">
        <f>IF(ISBLANK($E347),"",INDEX(Sheet1!$A:$J,MATCH(Index_Match!$E347,Sheet1!$A:$A,0),MATCH(Index_Match!H$1,Sheet1!$A$1:$J$1,0)))</f>
        <v>Married</v>
      </c>
      <c r="I347" s="23">
        <f>IF(ISBLANK($E347),"",INDEX(Sheet1!$A:$J,MATCH(Index_Match!$E347,Sheet1!$A:$A,0),MATCH(Index_Match!I$1,Sheet1!$A$1:$J$1,0)))</f>
        <v>4</v>
      </c>
      <c r="J347" s="20" t="str">
        <f>IF(ISBLANK($E347),"",INDEX(Sheet1!$A:$J,MATCH(Index_Match!$E347,Sheet1!$A:$A,0),MATCH(Index_Match!J$1,Sheet1!$A$1:$J$1,0)))</f>
        <v>Carina Williams</v>
      </c>
      <c r="K347" s="23">
        <f>IF(ISBLANK($E347),"",INDEX(Sheet1!$A:$J,MATCH(Index_Match!$E347,Sheet1!$A:$A,0),MATCH(Index_Match!K$1,Sheet1!$A$1:$J$1,0)))</f>
        <v>4</v>
      </c>
      <c r="L347" s="20" t="str">
        <f>IF(ISBLANK($E347),"",INDEX(Sheet1!$A:$J,MATCH(Index_Match!$E347,Sheet1!$A:$A,0),MATCH(Index_Match!L$1,Sheet1!$A$1:$J$1,0)))</f>
        <v>Williams</v>
      </c>
      <c r="M347" s="20" t="str">
        <f>IF(ISBLANK($E347),"",INDEX(Sheet1!$A:$J,MATCH(Index_Match!$E347,Sheet1!$A:$A,0),MATCH(Index_Match!M$1,Sheet1!$A$1:$J$1,0)))</f>
        <v>Young</v>
      </c>
    </row>
    <row r="348" spans="2:13" x14ac:dyDescent="0.25">
      <c r="B348" s="20"/>
      <c r="C348" s="20"/>
      <c r="D348" s="20"/>
      <c r="E348" s="20" t="str">
        <v>Tiana</v>
      </c>
      <c r="F348" s="20" t="str">
        <f>IF(ISBLANK($E348),"",INDEX(Sheet1!$A:$J,MATCH(Index_Match!$E348,Sheet1!$A:$A,0),MATCH(Index_Match!F$1,Sheet1!$A$1:$J$1,0)))</f>
        <v>Female</v>
      </c>
      <c r="G348" s="20" t="str">
        <f>IF(ISBLANK($E348),"",INDEX(Sheet1!$A:$J,MATCH(Index_Match!$E348,Sheet1!$A:$A,0),MATCH(Index_Match!G$1,Sheet1!$A$1:$J$1,0)))</f>
        <v>Composer</v>
      </c>
      <c r="H348" s="20" t="str">
        <f>IF(ISBLANK($E348),"",INDEX(Sheet1!$A:$J,MATCH(Index_Match!$E348,Sheet1!$A:$A,0),MATCH(Index_Match!H$1,Sheet1!$A$1:$J$1,0)))</f>
        <v>Single</v>
      </c>
      <c r="I348" s="23">
        <f>IF(ISBLANK($E348),"",INDEX(Sheet1!$A:$J,MATCH(Index_Match!$E348,Sheet1!$A:$A,0),MATCH(Index_Match!I$1,Sheet1!$A$1:$J$1,0)))</f>
        <v>4</v>
      </c>
      <c r="J348" s="20" t="str">
        <f>IF(ISBLANK($E348),"",INDEX(Sheet1!$A:$J,MATCH(Index_Match!$E348,Sheet1!$A:$A,0),MATCH(Index_Match!J$1,Sheet1!$A$1:$J$1,0)))</f>
        <v>Tiana Wright</v>
      </c>
      <c r="K348" s="23">
        <f>IF(ISBLANK($E348),"",INDEX(Sheet1!$A:$J,MATCH(Index_Match!$E348,Sheet1!$A:$A,0),MATCH(Index_Match!K$1,Sheet1!$A$1:$J$1,0)))</f>
        <v>4</v>
      </c>
      <c r="L348" s="20" t="str">
        <f>IF(ISBLANK($E348),"",INDEX(Sheet1!$A:$J,MATCH(Index_Match!$E348,Sheet1!$A:$A,0),MATCH(Index_Match!L$1,Sheet1!$A$1:$J$1,0)))</f>
        <v>Wright</v>
      </c>
      <c r="M348" s="20" t="str">
        <f>IF(ISBLANK($E348),"",INDEX(Sheet1!$A:$J,MATCH(Index_Match!$E348,Sheet1!$A:$A,0),MATCH(Index_Match!M$1,Sheet1!$A$1:$J$1,0)))</f>
        <v>Old</v>
      </c>
    </row>
    <row r="349" spans="2:13" x14ac:dyDescent="0.25">
      <c r="B349" s="20"/>
      <c r="C349" s="20"/>
      <c r="D349" s="20"/>
      <c r="E349" s="20" t="str">
        <v>Lilianna</v>
      </c>
      <c r="F349" s="20" t="str">
        <f>IF(ISBLANK($E349),"",INDEX(Sheet1!$A:$J,MATCH(Index_Match!$E349,Sheet1!$A:$A,0),MATCH(Index_Match!F$1,Sheet1!$A$1:$J$1,0)))</f>
        <v>Female</v>
      </c>
      <c r="G349" s="20" t="str">
        <f>IF(ISBLANK($E349),"",INDEX(Sheet1!$A:$J,MATCH(Index_Match!$E349,Sheet1!$A:$A,0),MATCH(Index_Match!G$1,Sheet1!$A$1:$J$1,0)))</f>
        <v>Veterinarian</v>
      </c>
      <c r="H349" s="20" t="str">
        <f>IF(ISBLANK($E349),"",INDEX(Sheet1!$A:$J,MATCH(Index_Match!$E349,Sheet1!$A:$A,0),MATCH(Index_Match!H$1,Sheet1!$A$1:$J$1,0)))</f>
        <v>Married</v>
      </c>
      <c r="I349" s="23">
        <f>IF(ISBLANK($E349),"",INDEX(Sheet1!$A:$J,MATCH(Index_Match!$E349,Sheet1!$A:$A,0),MATCH(Index_Match!I$1,Sheet1!$A$1:$J$1,0)))</f>
        <v>4</v>
      </c>
      <c r="J349" s="20" t="str">
        <f>IF(ISBLANK($E349),"",INDEX(Sheet1!$A:$J,MATCH(Index_Match!$E349,Sheet1!$A:$A,0),MATCH(Index_Match!J$1,Sheet1!$A$1:$J$1,0)))</f>
        <v>Lilianna Morrison</v>
      </c>
      <c r="K349" s="23">
        <f>IF(ISBLANK($E349),"",INDEX(Sheet1!$A:$J,MATCH(Index_Match!$E349,Sheet1!$A:$A,0),MATCH(Index_Match!K$1,Sheet1!$A$1:$J$1,0)))</f>
        <v>4</v>
      </c>
      <c r="L349" s="20" t="str">
        <f>IF(ISBLANK($E349),"",INDEX(Sheet1!$A:$J,MATCH(Index_Match!$E349,Sheet1!$A:$A,0),MATCH(Index_Match!L$1,Sheet1!$A$1:$J$1,0)))</f>
        <v>Morrison</v>
      </c>
      <c r="M349" s="20" t="str">
        <f>IF(ISBLANK($E349),"",INDEX(Sheet1!$A:$J,MATCH(Index_Match!$E349,Sheet1!$A:$A,0),MATCH(Index_Match!M$1,Sheet1!$A$1:$J$1,0)))</f>
        <v>Old</v>
      </c>
    </row>
    <row r="350" spans="2:13" x14ac:dyDescent="0.25">
      <c r="B350" s="20"/>
      <c r="C350" s="20"/>
      <c r="D350" s="20"/>
      <c r="E350" s="20" t="str">
        <v>Jasmine</v>
      </c>
      <c r="F350" s="20" t="str">
        <f>IF(ISBLANK($E350),"",INDEX(Sheet1!$A:$J,MATCH(Index_Match!$E350,Sheet1!$A:$A,0),MATCH(Index_Match!F$1,Sheet1!$A$1:$J$1,0)))</f>
        <v>Female</v>
      </c>
      <c r="G350" s="20" t="str">
        <f>IF(ISBLANK($E350),"",INDEX(Sheet1!$A:$J,MATCH(Index_Match!$E350,Sheet1!$A:$A,0),MATCH(Index_Match!G$1,Sheet1!$A$1:$J$1,0)))</f>
        <v>Mechanic</v>
      </c>
      <c r="H350" s="20" t="str">
        <f>IF(ISBLANK($E350),"",INDEX(Sheet1!$A:$J,MATCH(Index_Match!$E350,Sheet1!$A:$A,0),MATCH(Index_Match!H$1,Sheet1!$A$1:$J$1,0)))</f>
        <v>Married</v>
      </c>
      <c r="I350" s="23">
        <f>IF(ISBLANK($E350),"",INDEX(Sheet1!$A:$J,MATCH(Index_Match!$E350,Sheet1!$A:$A,0),MATCH(Index_Match!I$1,Sheet1!$A$1:$J$1,0)))</f>
        <v>2</v>
      </c>
      <c r="J350" s="20" t="str">
        <f>IF(ISBLANK($E350),"",INDEX(Sheet1!$A:$J,MATCH(Index_Match!$E350,Sheet1!$A:$A,0),MATCH(Index_Match!J$1,Sheet1!$A$1:$J$1,0)))</f>
        <v>Jasmine Martin</v>
      </c>
      <c r="K350" s="23">
        <f>IF(ISBLANK($E350),"",INDEX(Sheet1!$A:$J,MATCH(Index_Match!$E350,Sheet1!$A:$A,0),MATCH(Index_Match!K$1,Sheet1!$A$1:$J$1,0)))</f>
        <v>2</v>
      </c>
      <c r="L350" s="20" t="str">
        <f>IF(ISBLANK($E350),"",INDEX(Sheet1!$A:$J,MATCH(Index_Match!$E350,Sheet1!$A:$A,0),MATCH(Index_Match!L$1,Sheet1!$A$1:$J$1,0)))</f>
        <v>Martin</v>
      </c>
      <c r="M350" s="20" t="str">
        <f>IF(ISBLANK($E350),"",INDEX(Sheet1!$A:$J,MATCH(Index_Match!$E350,Sheet1!$A:$A,0),MATCH(Index_Match!M$1,Sheet1!$A$1:$J$1,0)))</f>
        <v>Middle Age</v>
      </c>
    </row>
    <row r="351" spans="2:13" x14ac:dyDescent="0.25">
      <c r="B351" s="20"/>
      <c r="C351" s="20"/>
      <c r="D351" s="20"/>
      <c r="E351" s="20" t="str">
        <v>Adrianna</v>
      </c>
      <c r="F351" s="20" t="str">
        <f>IF(ISBLANK($E351),"",INDEX(Sheet1!$A:$J,MATCH(Index_Match!$E351,Sheet1!$A:$A,0),MATCH(Index_Match!F$1,Sheet1!$A$1:$J$1,0)))</f>
        <v>Female</v>
      </c>
      <c r="G351" s="20" t="str">
        <f>IF(ISBLANK($E351),"",INDEX(Sheet1!$A:$J,MATCH(Index_Match!$E351,Sheet1!$A:$A,0),MATCH(Index_Match!G$1,Sheet1!$A$1:$J$1,0)))</f>
        <v>Botanist</v>
      </c>
      <c r="H351" s="20" t="str">
        <f>IF(ISBLANK($E351),"",INDEX(Sheet1!$A:$J,MATCH(Index_Match!$E351,Sheet1!$A:$A,0),MATCH(Index_Match!H$1,Sheet1!$A$1:$J$1,0)))</f>
        <v>Single</v>
      </c>
      <c r="I351" s="23">
        <f>IF(ISBLANK($E351),"",INDEX(Sheet1!$A:$J,MATCH(Index_Match!$E351,Sheet1!$A:$A,0),MATCH(Index_Match!I$1,Sheet1!$A$1:$J$1,0)))</f>
        <v>1</v>
      </c>
      <c r="J351" s="20" t="str">
        <f>IF(ISBLANK($E351),"",INDEX(Sheet1!$A:$J,MATCH(Index_Match!$E351,Sheet1!$A:$A,0),MATCH(Index_Match!J$1,Sheet1!$A$1:$J$1,0)))</f>
        <v>Adrianna Bennett</v>
      </c>
      <c r="K351" s="23">
        <f>IF(ISBLANK($E351),"",INDEX(Sheet1!$A:$J,MATCH(Index_Match!$E351,Sheet1!$A:$A,0),MATCH(Index_Match!K$1,Sheet1!$A$1:$J$1,0)))</f>
        <v>1</v>
      </c>
      <c r="L351" s="20" t="str">
        <f>IF(ISBLANK($E351),"",INDEX(Sheet1!$A:$J,MATCH(Index_Match!$E351,Sheet1!$A:$A,0),MATCH(Index_Match!L$1,Sheet1!$A$1:$J$1,0)))</f>
        <v>Bennett</v>
      </c>
      <c r="M351" s="20" t="str">
        <f>IF(ISBLANK($E351),"",INDEX(Sheet1!$A:$J,MATCH(Index_Match!$E351,Sheet1!$A:$A,0),MATCH(Index_Match!M$1,Sheet1!$A$1:$J$1,0)))</f>
        <v>Middle Age</v>
      </c>
    </row>
    <row r="352" spans="2:13" x14ac:dyDescent="0.25">
      <c r="B352" s="20"/>
      <c r="C352" s="20"/>
      <c r="D352" s="20"/>
      <c r="E352" s="20" t="str">
        <v>Jenna</v>
      </c>
      <c r="F352" s="20" t="str">
        <f>IF(ISBLANK($E352),"",INDEX(Sheet1!$A:$J,MATCH(Index_Match!$E352,Sheet1!$A:$A,0),MATCH(Index_Match!F$1,Sheet1!$A$1:$J$1,0)))</f>
        <v>Female</v>
      </c>
      <c r="G352" s="20" t="str">
        <f>IF(ISBLANK($E352),"",INDEX(Sheet1!$A:$J,MATCH(Index_Match!$E352,Sheet1!$A:$A,0),MATCH(Index_Match!G$1,Sheet1!$A$1:$J$1,0)))</f>
        <v>Baker</v>
      </c>
      <c r="H352" s="20" t="str">
        <f>IF(ISBLANK($E352),"",INDEX(Sheet1!$A:$J,MATCH(Index_Match!$E352,Sheet1!$A:$A,0),MATCH(Index_Match!H$1,Sheet1!$A$1:$J$1,0)))</f>
        <v>Single</v>
      </c>
      <c r="I352" s="23">
        <f>IF(ISBLANK($E352),"",INDEX(Sheet1!$A:$J,MATCH(Index_Match!$E352,Sheet1!$A:$A,0),MATCH(Index_Match!I$1,Sheet1!$A$1:$J$1,0)))</f>
        <v>1</v>
      </c>
      <c r="J352" s="20" t="str">
        <f>IF(ISBLANK($E352),"",INDEX(Sheet1!$A:$J,MATCH(Index_Match!$E352,Sheet1!$A:$A,0),MATCH(Index_Match!J$1,Sheet1!$A$1:$J$1,0)))</f>
        <v>Jenna Ellis</v>
      </c>
      <c r="K352" s="23">
        <f>IF(ISBLANK($E352),"",INDEX(Sheet1!$A:$J,MATCH(Index_Match!$E352,Sheet1!$A:$A,0),MATCH(Index_Match!K$1,Sheet1!$A$1:$J$1,0)))</f>
        <v>1</v>
      </c>
      <c r="L352" s="20" t="str">
        <f>IF(ISBLANK($E352),"",INDEX(Sheet1!$A:$J,MATCH(Index_Match!$E352,Sheet1!$A:$A,0),MATCH(Index_Match!L$1,Sheet1!$A$1:$J$1,0)))</f>
        <v>Ellis</v>
      </c>
      <c r="M352" s="20" t="str">
        <f>IF(ISBLANK($E352),"",INDEX(Sheet1!$A:$J,MATCH(Index_Match!$E352,Sheet1!$A:$A,0),MATCH(Index_Match!M$1,Sheet1!$A$1:$J$1,0)))</f>
        <v>Old</v>
      </c>
    </row>
    <row r="353" spans="2:13" x14ac:dyDescent="0.25">
      <c r="B353" s="20"/>
      <c r="C353" s="20"/>
      <c r="D353" s="20"/>
      <c r="E353" s="20" t="str">
        <v>Gianna</v>
      </c>
      <c r="F353" s="20" t="str">
        <f>IF(ISBLANK($E353),"",INDEX(Sheet1!$A:$J,MATCH(Index_Match!$E353,Sheet1!$A:$A,0),MATCH(Index_Match!F$1,Sheet1!$A$1:$J$1,0)))</f>
        <v>Female</v>
      </c>
      <c r="G353" s="20" t="str">
        <f>IF(ISBLANK($E353),"",INDEX(Sheet1!$A:$J,MATCH(Index_Match!$E353,Sheet1!$A:$A,0),MATCH(Index_Match!G$1,Sheet1!$A$1:$J$1,0)))</f>
        <v>Teacher</v>
      </c>
      <c r="H353" s="20" t="str">
        <f>IF(ISBLANK($E353),"",INDEX(Sheet1!$A:$J,MATCH(Index_Match!$E353,Sheet1!$A:$A,0),MATCH(Index_Match!H$1,Sheet1!$A$1:$J$1,0)))</f>
        <v>Single</v>
      </c>
      <c r="I353" s="23">
        <f>IF(ISBLANK($E353),"",INDEX(Sheet1!$A:$J,MATCH(Index_Match!$E353,Sheet1!$A:$A,0),MATCH(Index_Match!I$1,Sheet1!$A$1:$J$1,0)))</f>
        <v>2</v>
      </c>
      <c r="J353" s="20" t="str">
        <f>IF(ISBLANK($E353),"",INDEX(Sheet1!$A:$J,MATCH(Index_Match!$E353,Sheet1!$A:$A,0),MATCH(Index_Match!J$1,Sheet1!$A$1:$J$1,0)))</f>
        <v>Gianna West</v>
      </c>
      <c r="K353" s="23">
        <f>IF(ISBLANK($E353),"",INDEX(Sheet1!$A:$J,MATCH(Index_Match!$E353,Sheet1!$A:$A,0),MATCH(Index_Match!K$1,Sheet1!$A$1:$J$1,0)))</f>
        <v>2</v>
      </c>
      <c r="L353" s="20" t="str">
        <f>IF(ISBLANK($E353),"",INDEX(Sheet1!$A:$J,MATCH(Index_Match!$E353,Sheet1!$A:$A,0),MATCH(Index_Match!L$1,Sheet1!$A$1:$J$1,0)))</f>
        <v>West</v>
      </c>
      <c r="M353" s="20" t="str">
        <f>IF(ISBLANK($E353),"",INDEX(Sheet1!$A:$J,MATCH(Index_Match!$E353,Sheet1!$A:$A,0),MATCH(Index_Match!M$1,Sheet1!$A$1:$J$1,0)))</f>
        <v>Young</v>
      </c>
    </row>
    <row r="354" spans="2:13" x14ac:dyDescent="0.25">
      <c r="B354" s="20"/>
      <c r="C354" s="20"/>
      <c r="D354" s="20"/>
      <c r="E354" s="20" t="str">
        <v>April</v>
      </c>
      <c r="F354" s="20" t="str">
        <f>IF(ISBLANK($E354),"",INDEX(Sheet1!$A:$J,MATCH(Index_Match!$E354,Sheet1!$A:$A,0),MATCH(Index_Match!F$1,Sheet1!$A$1:$J$1,0)))</f>
        <v>Female</v>
      </c>
      <c r="G354" s="20" t="str">
        <f>IF(ISBLANK($E354),"",INDEX(Sheet1!$A:$J,MATCH(Index_Match!$E354,Sheet1!$A:$A,0),MATCH(Index_Match!G$1,Sheet1!$A$1:$J$1,0)))</f>
        <v>Fashion Designer</v>
      </c>
      <c r="H354" s="20" t="str">
        <f>IF(ISBLANK($E354),"",INDEX(Sheet1!$A:$J,MATCH(Index_Match!$E354,Sheet1!$A:$A,0),MATCH(Index_Match!H$1,Sheet1!$A$1:$J$1,0)))</f>
        <v>Married</v>
      </c>
      <c r="I354" s="23">
        <f>IF(ISBLANK($E354),"",INDEX(Sheet1!$A:$J,MATCH(Index_Match!$E354,Sheet1!$A:$A,0),MATCH(Index_Match!I$1,Sheet1!$A$1:$J$1,0)))</f>
        <v>3</v>
      </c>
      <c r="J354" s="20" t="str">
        <f>IF(ISBLANK($E354),"",INDEX(Sheet1!$A:$J,MATCH(Index_Match!$E354,Sheet1!$A:$A,0),MATCH(Index_Match!J$1,Sheet1!$A$1:$J$1,0)))</f>
        <v>April Kelley</v>
      </c>
      <c r="K354" s="23">
        <f>IF(ISBLANK($E354),"",INDEX(Sheet1!$A:$J,MATCH(Index_Match!$E354,Sheet1!$A:$A,0),MATCH(Index_Match!K$1,Sheet1!$A$1:$J$1,0)))</f>
        <v>3</v>
      </c>
      <c r="L354" s="20" t="str">
        <f>IF(ISBLANK($E354),"",INDEX(Sheet1!$A:$J,MATCH(Index_Match!$E354,Sheet1!$A:$A,0),MATCH(Index_Match!L$1,Sheet1!$A$1:$J$1,0)))</f>
        <v>Kelley</v>
      </c>
      <c r="M354" s="20" t="str">
        <f>IF(ISBLANK($E354),"",INDEX(Sheet1!$A:$J,MATCH(Index_Match!$E354,Sheet1!$A:$A,0),MATCH(Index_Match!M$1,Sheet1!$A$1:$J$1,0)))</f>
        <v>Old</v>
      </c>
    </row>
    <row r="355" spans="2:13" x14ac:dyDescent="0.25">
      <c r="B355" s="20"/>
      <c r="C355" s="20"/>
      <c r="D355" s="20"/>
      <c r="E355" s="20" t="str">
        <v>Cadie</v>
      </c>
      <c r="F355" s="20" t="str">
        <f>IF(ISBLANK($E355),"",INDEX(Sheet1!$A:$J,MATCH(Index_Match!$E355,Sheet1!$A:$A,0),MATCH(Index_Match!F$1,Sheet1!$A$1:$J$1,0)))</f>
        <v>Female</v>
      </c>
      <c r="G355" s="20" t="str">
        <f>IF(ISBLANK($E355),"",INDEX(Sheet1!$A:$J,MATCH(Index_Match!$E355,Sheet1!$A:$A,0),MATCH(Index_Match!G$1,Sheet1!$A$1:$J$1,0)))</f>
        <v>Auditor</v>
      </c>
      <c r="H355" s="20" t="str">
        <f>IF(ISBLANK($E355),"",INDEX(Sheet1!$A:$J,MATCH(Index_Match!$E355,Sheet1!$A:$A,0),MATCH(Index_Match!H$1,Sheet1!$A$1:$J$1,0)))</f>
        <v>Married</v>
      </c>
      <c r="I355" s="23">
        <f>IF(ISBLANK($E355),"",INDEX(Sheet1!$A:$J,MATCH(Index_Match!$E355,Sheet1!$A:$A,0),MATCH(Index_Match!I$1,Sheet1!$A$1:$J$1,0)))</f>
        <v>2</v>
      </c>
      <c r="J355" s="20" t="str">
        <f>IF(ISBLANK($E355),"",INDEX(Sheet1!$A:$J,MATCH(Index_Match!$E355,Sheet1!$A:$A,0),MATCH(Index_Match!J$1,Sheet1!$A$1:$J$1,0)))</f>
        <v>Cadie Taylor</v>
      </c>
      <c r="K355" s="23">
        <f>IF(ISBLANK($E355),"",INDEX(Sheet1!$A:$J,MATCH(Index_Match!$E355,Sheet1!$A:$A,0),MATCH(Index_Match!K$1,Sheet1!$A$1:$J$1,0)))</f>
        <v>2</v>
      </c>
      <c r="L355" s="20" t="str">
        <f>IF(ISBLANK($E355),"",INDEX(Sheet1!$A:$J,MATCH(Index_Match!$E355,Sheet1!$A:$A,0),MATCH(Index_Match!L$1,Sheet1!$A$1:$J$1,0)))</f>
        <v>Taylor</v>
      </c>
      <c r="M355" s="20" t="str">
        <f>IF(ISBLANK($E355),"",INDEX(Sheet1!$A:$J,MATCH(Index_Match!$E355,Sheet1!$A:$A,0),MATCH(Index_Match!M$1,Sheet1!$A$1:$J$1,0)))</f>
        <v>Young</v>
      </c>
    </row>
    <row r="356" spans="2:13" x14ac:dyDescent="0.25">
      <c r="B356" s="20"/>
      <c r="C356" s="20"/>
      <c r="D356" s="20"/>
      <c r="E356" s="20" t="str">
        <v>Lily</v>
      </c>
      <c r="F356" s="20" t="str">
        <f>IF(ISBLANK($E356),"",INDEX(Sheet1!$A:$J,MATCH(Index_Match!$E356,Sheet1!$A:$A,0),MATCH(Index_Match!F$1,Sheet1!$A$1:$J$1,0)))</f>
        <v>Female</v>
      </c>
      <c r="G356" s="20" t="str">
        <f>IF(ISBLANK($E356),"",INDEX(Sheet1!$A:$J,MATCH(Index_Match!$E356,Sheet1!$A:$A,0),MATCH(Index_Match!G$1,Sheet1!$A$1:$J$1,0)))</f>
        <v>Actor</v>
      </c>
      <c r="H356" s="20" t="str">
        <f>IF(ISBLANK($E356),"",INDEX(Sheet1!$A:$J,MATCH(Index_Match!$E356,Sheet1!$A:$A,0),MATCH(Index_Match!H$1,Sheet1!$A$1:$J$1,0)))</f>
        <v>Single</v>
      </c>
      <c r="I356" s="23">
        <f>IF(ISBLANK($E356),"",INDEX(Sheet1!$A:$J,MATCH(Index_Match!$E356,Sheet1!$A:$A,0),MATCH(Index_Match!I$1,Sheet1!$A$1:$J$1,0)))</f>
        <v>5</v>
      </c>
      <c r="J356" s="20" t="str">
        <f>IF(ISBLANK($E356),"",INDEX(Sheet1!$A:$J,MATCH(Index_Match!$E356,Sheet1!$A:$A,0),MATCH(Index_Match!J$1,Sheet1!$A$1:$J$1,0)))</f>
        <v>Lily Henderson</v>
      </c>
      <c r="K356" s="23">
        <f>IF(ISBLANK($E356),"",INDEX(Sheet1!$A:$J,MATCH(Index_Match!$E356,Sheet1!$A:$A,0),MATCH(Index_Match!K$1,Sheet1!$A$1:$J$1,0)))</f>
        <v>5</v>
      </c>
      <c r="L356" s="20" t="str">
        <f>IF(ISBLANK($E356),"",INDEX(Sheet1!$A:$J,MATCH(Index_Match!$E356,Sheet1!$A:$A,0),MATCH(Index_Match!L$1,Sheet1!$A$1:$J$1,0)))</f>
        <v>Henderson</v>
      </c>
      <c r="M356" s="20" t="str">
        <f>IF(ISBLANK($E356),"",INDEX(Sheet1!$A:$J,MATCH(Index_Match!$E356,Sheet1!$A:$A,0),MATCH(Index_Match!M$1,Sheet1!$A$1:$J$1,0)))</f>
        <v>Middle Age</v>
      </c>
    </row>
    <row r="357" spans="2:13" x14ac:dyDescent="0.25">
      <c r="B357" s="20"/>
      <c r="C357" s="20"/>
      <c r="D357" s="20"/>
      <c r="E357" s="20" t="str">
        <v>Fiona</v>
      </c>
      <c r="F357" s="20" t="str">
        <f>IF(ISBLANK($E357),"",INDEX(Sheet1!$A:$J,MATCH(Index_Match!$E357,Sheet1!$A:$A,0),MATCH(Index_Match!F$1,Sheet1!$A$1:$J$1,0)))</f>
        <v>Female</v>
      </c>
      <c r="G357" s="20" t="str">
        <f>IF(ISBLANK($E357),"",INDEX(Sheet1!$A:$J,MATCH(Index_Match!$E357,Sheet1!$A:$A,0),MATCH(Index_Match!G$1,Sheet1!$A$1:$J$1,0)))</f>
        <v>Hairdresser</v>
      </c>
      <c r="H357" s="20" t="str">
        <f>IF(ISBLANK($E357),"",INDEX(Sheet1!$A:$J,MATCH(Index_Match!$E357,Sheet1!$A:$A,0),MATCH(Index_Match!H$1,Sheet1!$A$1:$J$1,0)))</f>
        <v>Married</v>
      </c>
      <c r="I357" s="23">
        <f>IF(ISBLANK($E357),"",INDEX(Sheet1!$A:$J,MATCH(Index_Match!$E357,Sheet1!$A:$A,0),MATCH(Index_Match!I$1,Sheet1!$A$1:$J$1,0)))</f>
        <v>0</v>
      </c>
      <c r="J357" s="20" t="str">
        <f>IF(ISBLANK($E357),"",INDEX(Sheet1!$A:$J,MATCH(Index_Match!$E357,Sheet1!$A:$A,0),MATCH(Index_Match!J$1,Sheet1!$A$1:$J$1,0)))</f>
        <v>Fiona Phillips</v>
      </c>
      <c r="K357" s="23">
        <f>IF(ISBLANK($E357),"",INDEX(Sheet1!$A:$J,MATCH(Index_Match!$E357,Sheet1!$A:$A,0),MATCH(Index_Match!K$1,Sheet1!$A$1:$J$1,0)))</f>
        <v>0</v>
      </c>
      <c r="L357" s="20" t="str">
        <f>IF(ISBLANK($E357),"",INDEX(Sheet1!$A:$J,MATCH(Index_Match!$E357,Sheet1!$A:$A,0),MATCH(Index_Match!L$1,Sheet1!$A$1:$J$1,0)))</f>
        <v>Phillips</v>
      </c>
      <c r="M357" s="20" t="str">
        <f>IF(ISBLANK($E357),"",INDEX(Sheet1!$A:$J,MATCH(Index_Match!$E357,Sheet1!$A:$A,0),MATCH(Index_Match!M$1,Sheet1!$A$1:$J$1,0)))</f>
        <v>Middle Age</v>
      </c>
    </row>
    <row r="358" spans="2:13" x14ac:dyDescent="0.25">
      <c r="B358" s="20"/>
      <c r="C358" s="20"/>
      <c r="D358" s="20"/>
      <c r="E358" s="20" t="str">
        <v>Fiona</v>
      </c>
      <c r="F358" s="20" t="str">
        <f>IF(ISBLANK($E358),"",INDEX(Sheet1!$A:$J,MATCH(Index_Match!$E358,Sheet1!$A:$A,0),MATCH(Index_Match!F$1,Sheet1!$A$1:$J$1,0)))</f>
        <v>Female</v>
      </c>
      <c r="G358" s="20" t="str">
        <f>IF(ISBLANK($E358),"",INDEX(Sheet1!$A:$J,MATCH(Index_Match!$E358,Sheet1!$A:$A,0),MATCH(Index_Match!G$1,Sheet1!$A$1:$J$1,0)))</f>
        <v>Hairdresser</v>
      </c>
      <c r="H358" s="20" t="str">
        <f>IF(ISBLANK($E358),"",INDEX(Sheet1!$A:$J,MATCH(Index_Match!$E358,Sheet1!$A:$A,0),MATCH(Index_Match!H$1,Sheet1!$A$1:$J$1,0)))</f>
        <v>Married</v>
      </c>
      <c r="I358" s="23">
        <f>IF(ISBLANK($E358),"",INDEX(Sheet1!$A:$J,MATCH(Index_Match!$E358,Sheet1!$A:$A,0),MATCH(Index_Match!I$1,Sheet1!$A$1:$J$1,0)))</f>
        <v>0</v>
      </c>
      <c r="J358" s="20" t="str">
        <f>IF(ISBLANK($E358),"",INDEX(Sheet1!$A:$J,MATCH(Index_Match!$E358,Sheet1!$A:$A,0),MATCH(Index_Match!J$1,Sheet1!$A$1:$J$1,0)))</f>
        <v>Fiona Phillips</v>
      </c>
      <c r="K358" s="23">
        <f>IF(ISBLANK($E358),"",INDEX(Sheet1!$A:$J,MATCH(Index_Match!$E358,Sheet1!$A:$A,0),MATCH(Index_Match!K$1,Sheet1!$A$1:$J$1,0)))</f>
        <v>0</v>
      </c>
      <c r="L358" s="20" t="str">
        <f>IF(ISBLANK($E358),"",INDEX(Sheet1!$A:$J,MATCH(Index_Match!$E358,Sheet1!$A:$A,0),MATCH(Index_Match!L$1,Sheet1!$A$1:$J$1,0)))</f>
        <v>Phillips</v>
      </c>
      <c r="M358" s="20" t="str">
        <f>IF(ISBLANK($E358),"",INDEX(Sheet1!$A:$J,MATCH(Index_Match!$E358,Sheet1!$A:$A,0),MATCH(Index_Match!M$1,Sheet1!$A$1:$J$1,0)))</f>
        <v>Middle Age</v>
      </c>
    </row>
    <row r="359" spans="2:13" x14ac:dyDescent="0.25">
      <c r="B359" s="20"/>
      <c r="C359" s="20"/>
      <c r="D359" s="20"/>
      <c r="E359" s="20" t="str">
        <v>Melissa</v>
      </c>
      <c r="F359" s="20" t="str">
        <f>IF(ISBLANK($E359),"",INDEX(Sheet1!$A:$J,MATCH(Index_Match!$E359,Sheet1!$A:$A,0),MATCH(Index_Match!F$1,Sheet1!$A$1:$J$1,0)))</f>
        <v>Female</v>
      </c>
      <c r="G359" s="20" t="str">
        <f>IF(ISBLANK($E359),"",INDEX(Sheet1!$A:$J,MATCH(Index_Match!$E359,Sheet1!$A:$A,0),MATCH(Index_Match!G$1,Sheet1!$A$1:$J$1,0)))</f>
        <v>Baker</v>
      </c>
      <c r="H359" s="20" t="str">
        <f>IF(ISBLANK($E359),"",INDEX(Sheet1!$A:$J,MATCH(Index_Match!$E359,Sheet1!$A:$A,0),MATCH(Index_Match!H$1,Sheet1!$A$1:$J$1,0)))</f>
        <v>Single</v>
      </c>
      <c r="I359" s="23">
        <f>IF(ISBLANK($E359),"",INDEX(Sheet1!$A:$J,MATCH(Index_Match!$E359,Sheet1!$A:$A,0),MATCH(Index_Match!I$1,Sheet1!$A$1:$J$1,0)))</f>
        <v>5</v>
      </c>
      <c r="J359" s="20" t="str">
        <f>IF(ISBLANK($E359),"",INDEX(Sheet1!$A:$J,MATCH(Index_Match!$E359,Sheet1!$A:$A,0),MATCH(Index_Match!J$1,Sheet1!$A$1:$J$1,0)))</f>
        <v>Melissa Howard</v>
      </c>
      <c r="K359" s="23">
        <f>IF(ISBLANK($E359),"",INDEX(Sheet1!$A:$J,MATCH(Index_Match!$E359,Sheet1!$A:$A,0),MATCH(Index_Match!K$1,Sheet1!$A$1:$J$1,0)))</f>
        <v>5</v>
      </c>
      <c r="L359" s="20" t="str">
        <f>IF(ISBLANK($E359),"",INDEX(Sheet1!$A:$J,MATCH(Index_Match!$E359,Sheet1!$A:$A,0),MATCH(Index_Match!L$1,Sheet1!$A$1:$J$1,0)))</f>
        <v>Howard</v>
      </c>
      <c r="M359" s="20" t="str">
        <f>IF(ISBLANK($E359),"",INDEX(Sheet1!$A:$J,MATCH(Index_Match!$E359,Sheet1!$A:$A,0),MATCH(Index_Match!M$1,Sheet1!$A$1:$J$1,0)))</f>
        <v>Young</v>
      </c>
    </row>
    <row r="360" spans="2:13" x14ac:dyDescent="0.25">
      <c r="B360" s="20"/>
      <c r="C360" s="20"/>
      <c r="D360" s="20"/>
      <c r="E360" s="20" t="str">
        <v>Deanna</v>
      </c>
      <c r="F360" s="20" t="str">
        <f>IF(ISBLANK($E360),"",INDEX(Sheet1!$A:$J,MATCH(Index_Match!$E360,Sheet1!$A:$A,0),MATCH(Index_Match!F$1,Sheet1!$A$1:$J$1,0)))</f>
        <v>Female</v>
      </c>
      <c r="G360" s="20" t="str">
        <f>IF(ISBLANK($E360),"",INDEX(Sheet1!$A:$J,MATCH(Index_Match!$E360,Sheet1!$A:$A,0),MATCH(Index_Match!G$1,Sheet1!$A$1:$J$1,0)))</f>
        <v>Actor</v>
      </c>
      <c r="H360" s="20" t="str">
        <f>IF(ISBLANK($E360),"",INDEX(Sheet1!$A:$J,MATCH(Index_Match!$E360,Sheet1!$A:$A,0),MATCH(Index_Match!H$1,Sheet1!$A$1:$J$1,0)))</f>
        <v>Single</v>
      </c>
      <c r="I360" s="23">
        <f>IF(ISBLANK($E360),"",INDEX(Sheet1!$A:$J,MATCH(Index_Match!$E360,Sheet1!$A:$A,0),MATCH(Index_Match!I$1,Sheet1!$A$1:$J$1,0)))</f>
        <v>5</v>
      </c>
      <c r="J360" s="20" t="str">
        <f>IF(ISBLANK($E360),"",INDEX(Sheet1!$A:$J,MATCH(Index_Match!$E360,Sheet1!$A:$A,0),MATCH(Index_Match!J$1,Sheet1!$A$1:$J$1,0)))</f>
        <v>Deanna Spencer</v>
      </c>
      <c r="K360" s="23">
        <f>IF(ISBLANK($E360),"",INDEX(Sheet1!$A:$J,MATCH(Index_Match!$E360,Sheet1!$A:$A,0),MATCH(Index_Match!K$1,Sheet1!$A$1:$J$1,0)))</f>
        <v>5</v>
      </c>
      <c r="L360" s="20" t="str">
        <f>IF(ISBLANK($E360),"",INDEX(Sheet1!$A:$J,MATCH(Index_Match!$E360,Sheet1!$A:$A,0),MATCH(Index_Match!L$1,Sheet1!$A$1:$J$1,0)))</f>
        <v>Spencer</v>
      </c>
      <c r="M360" s="20" t="str">
        <f>IF(ISBLANK($E360),"",INDEX(Sheet1!$A:$J,MATCH(Index_Match!$E360,Sheet1!$A:$A,0),MATCH(Index_Match!M$1,Sheet1!$A$1:$J$1,0)))</f>
        <v>Old</v>
      </c>
    </row>
    <row r="361" spans="2:13" x14ac:dyDescent="0.25">
      <c r="B361" s="20"/>
      <c r="C361" s="20"/>
      <c r="D361" s="20"/>
      <c r="E361" s="20" t="str">
        <v>Rubie</v>
      </c>
      <c r="F361" s="20" t="str">
        <f>IF(ISBLANK($E361),"",INDEX(Sheet1!$A:$J,MATCH(Index_Match!$E361,Sheet1!$A:$A,0),MATCH(Index_Match!F$1,Sheet1!$A$1:$J$1,0)))</f>
        <v>Female</v>
      </c>
      <c r="G361" s="20" t="str">
        <f>IF(ISBLANK($E361),"",INDEX(Sheet1!$A:$J,MATCH(Index_Match!$E361,Sheet1!$A:$A,0),MATCH(Index_Match!G$1,Sheet1!$A$1:$J$1,0)))</f>
        <v>Auditor</v>
      </c>
      <c r="H361" s="20" t="str">
        <f>IF(ISBLANK($E361),"",INDEX(Sheet1!$A:$J,MATCH(Index_Match!$E361,Sheet1!$A:$A,0),MATCH(Index_Match!H$1,Sheet1!$A$1:$J$1,0)))</f>
        <v>Single</v>
      </c>
      <c r="I361" s="23">
        <f>IF(ISBLANK($E361),"",INDEX(Sheet1!$A:$J,MATCH(Index_Match!$E361,Sheet1!$A:$A,0),MATCH(Index_Match!I$1,Sheet1!$A$1:$J$1,0)))</f>
        <v>1</v>
      </c>
      <c r="J361" s="20" t="str">
        <f>IF(ISBLANK($E361),"",INDEX(Sheet1!$A:$J,MATCH(Index_Match!$E361,Sheet1!$A:$A,0),MATCH(Index_Match!J$1,Sheet1!$A$1:$J$1,0)))</f>
        <v>Rubie Clark</v>
      </c>
      <c r="K361" s="23">
        <f>IF(ISBLANK($E361),"",INDEX(Sheet1!$A:$J,MATCH(Index_Match!$E361,Sheet1!$A:$A,0),MATCH(Index_Match!K$1,Sheet1!$A$1:$J$1,0)))</f>
        <v>1</v>
      </c>
      <c r="L361" s="20" t="str">
        <f>IF(ISBLANK($E361),"",INDEX(Sheet1!$A:$J,MATCH(Index_Match!$E361,Sheet1!$A:$A,0),MATCH(Index_Match!L$1,Sheet1!$A$1:$J$1,0)))</f>
        <v>Clark</v>
      </c>
      <c r="M361" s="20" t="str">
        <f>IF(ISBLANK($E361),"",INDEX(Sheet1!$A:$J,MATCH(Index_Match!$E361,Sheet1!$A:$A,0),MATCH(Index_Match!M$1,Sheet1!$A$1:$J$1,0)))</f>
        <v>Young</v>
      </c>
    </row>
    <row r="362" spans="2:13" x14ac:dyDescent="0.25">
      <c r="B362" s="20"/>
      <c r="C362" s="20"/>
      <c r="D362" s="20"/>
      <c r="E362" s="20" t="str">
        <v>Victoria</v>
      </c>
      <c r="F362" s="20" t="str">
        <f>IF(ISBLANK($E362),"",INDEX(Sheet1!$A:$J,MATCH(Index_Match!$E362,Sheet1!$A:$A,0),MATCH(Index_Match!F$1,Sheet1!$A$1:$J$1,0)))</f>
        <v>Female</v>
      </c>
      <c r="G362" s="20" t="str">
        <f>IF(ISBLANK($E362),"",INDEX(Sheet1!$A:$J,MATCH(Index_Match!$E362,Sheet1!$A:$A,0),MATCH(Index_Match!G$1,Sheet1!$A$1:$J$1,0)))</f>
        <v>Salesman</v>
      </c>
      <c r="H362" s="20" t="str">
        <f>IF(ISBLANK($E362),"",INDEX(Sheet1!$A:$J,MATCH(Index_Match!$E362,Sheet1!$A:$A,0),MATCH(Index_Match!H$1,Sheet1!$A$1:$J$1,0)))</f>
        <v>Married</v>
      </c>
      <c r="I362" s="23">
        <f>IF(ISBLANK($E362),"",INDEX(Sheet1!$A:$J,MATCH(Index_Match!$E362,Sheet1!$A:$A,0),MATCH(Index_Match!I$1,Sheet1!$A$1:$J$1,0)))</f>
        <v>3</v>
      </c>
      <c r="J362" s="20" t="str">
        <f>IF(ISBLANK($E362),"",INDEX(Sheet1!$A:$J,MATCH(Index_Match!$E362,Sheet1!$A:$A,0),MATCH(Index_Match!J$1,Sheet1!$A$1:$J$1,0)))</f>
        <v>Victoria Foster</v>
      </c>
      <c r="K362" s="23">
        <f>IF(ISBLANK($E362),"",INDEX(Sheet1!$A:$J,MATCH(Index_Match!$E362,Sheet1!$A:$A,0),MATCH(Index_Match!K$1,Sheet1!$A$1:$J$1,0)))</f>
        <v>3</v>
      </c>
      <c r="L362" s="20" t="str">
        <f>IF(ISBLANK($E362),"",INDEX(Sheet1!$A:$J,MATCH(Index_Match!$E362,Sheet1!$A:$A,0),MATCH(Index_Match!L$1,Sheet1!$A$1:$J$1,0)))</f>
        <v>Foster</v>
      </c>
      <c r="M362" s="20" t="str">
        <f>IF(ISBLANK($E362),"",INDEX(Sheet1!$A:$J,MATCH(Index_Match!$E362,Sheet1!$A:$A,0),MATCH(Index_Match!M$1,Sheet1!$A$1:$J$1,0)))</f>
        <v>Young</v>
      </c>
    </row>
    <row r="363" spans="2:13" x14ac:dyDescent="0.25">
      <c r="B363" s="20"/>
      <c r="C363" s="20"/>
      <c r="D363" s="20"/>
      <c r="E363" s="20" t="str">
        <v>Catherine</v>
      </c>
      <c r="F363" s="20" t="str">
        <f>IF(ISBLANK($E363),"",INDEX(Sheet1!$A:$J,MATCH(Index_Match!$E363,Sheet1!$A:$A,0),MATCH(Index_Match!F$1,Sheet1!$A$1:$J$1,0)))</f>
        <v>Female</v>
      </c>
      <c r="G363" s="20" t="str">
        <f>IF(ISBLANK($E363),"",INDEX(Sheet1!$A:$J,MATCH(Index_Match!$E363,Sheet1!$A:$A,0),MATCH(Index_Match!G$1,Sheet1!$A$1:$J$1,0)))</f>
        <v>Jeweller</v>
      </c>
      <c r="H363" s="20" t="str">
        <f>IF(ISBLANK($E363),"",INDEX(Sheet1!$A:$J,MATCH(Index_Match!$E363,Sheet1!$A:$A,0),MATCH(Index_Match!H$1,Sheet1!$A$1:$J$1,0)))</f>
        <v>Single</v>
      </c>
      <c r="I363" s="23">
        <f>IF(ISBLANK($E363),"",INDEX(Sheet1!$A:$J,MATCH(Index_Match!$E363,Sheet1!$A:$A,0),MATCH(Index_Match!I$1,Sheet1!$A$1:$J$1,0)))</f>
        <v>3</v>
      </c>
      <c r="J363" s="20" t="str">
        <f>IF(ISBLANK($E363),"",INDEX(Sheet1!$A:$J,MATCH(Index_Match!$E363,Sheet1!$A:$A,0),MATCH(Index_Match!J$1,Sheet1!$A$1:$J$1,0)))</f>
        <v>Catherine Sullivan</v>
      </c>
      <c r="K363" s="23">
        <f>IF(ISBLANK($E363),"",INDEX(Sheet1!$A:$J,MATCH(Index_Match!$E363,Sheet1!$A:$A,0),MATCH(Index_Match!K$1,Sheet1!$A$1:$J$1,0)))</f>
        <v>3</v>
      </c>
      <c r="L363" s="20" t="str">
        <f>IF(ISBLANK($E363),"",INDEX(Sheet1!$A:$J,MATCH(Index_Match!$E363,Sheet1!$A:$A,0),MATCH(Index_Match!L$1,Sheet1!$A$1:$J$1,0)))</f>
        <v>Sullivan</v>
      </c>
      <c r="M363" s="20" t="str">
        <f>IF(ISBLANK($E363),"",INDEX(Sheet1!$A:$J,MATCH(Index_Match!$E363,Sheet1!$A:$A,0),MATCH(Index_Match!M$1,Sheet1!$A$1:$J$1,0)))</f>
        <v>Young</v>
      </c>
    </row>
    <row r="364" spans="2:13" x14ac:dyDescent="0.25">
      <c r="B364" s="20"/>
      <c r="C364" s="20"/>
      <c r="D364" s="20"/>
      <c r="E364" s="20" t="str">
        <v>Heather</v>
      </c>
      <c r="F364" s="20" t="str">
        <f>IF(ISBLANK($E364),"",INDEX(Sheet1!$A:$J,MATCH(Index_Match!$E364,Sheet1!$A:$A,0),MATCH(Index_Match!F$1,Sheet1!$A$1:$J$1,0)))</f>
        <v>Female</v>
      </c>
      <c r="G364" s="20" t="str">
        <f>IF(ISBLANK($E364),"",INDEX(Sheet1!$A:$J,MATCH(Index_Match!$E364,Sheet1!$A:$A,0),MATCH(Index_Match!G$1,Sheet1!$A$1:$J$1,0)))</f>
        <v>Carpenter</v>
      </c>
      <c r="H364" s="20" t="str">
        <f>IF(ISBLANK($E364),"",INDEX(Sheet1!$A:$J,MATCH(Index_Match!$E364,Sheet1!$A:$A,0),MATCH(Index_Match!H$1,Sheet1!$A$1:$J$1,0)))</f>
        <v>Single</v>
      </c>
      <c r="I364" s="23">
        <f>IF(ISBLANK($E364),"",INDEX(Sheet1!$A:$J,MATCH(Index_Match!$E364,Sheet1!$A:$A,0),MATCH(Index_Match!I$1,Sheet1!$A$1:$J$1,0)))</f>
        <v>5</v>
      </c>
      <c r="J364" s="20" t="str">
        <f>IF(ISBLANK($E364),"",INDEX(Sheet1!$A:$J,MATCH(Index_Match!$E364,Sheet1!$A:$A,0),MATCH(Index_Match!J$1,Sheet1!$A$1:$J$1,0)))</f>
        <v>Heather Perry</v>
      </c>
      <c r="K364" s="23">
        <f>IF(ISBLANK($E364),"",INDEX(Sheet1!$A:$J,MATCH(Index_Match!$E364,Sheet1!$A:$A,0),MATCH(Index_Match!K$1,Sheet1!$A$1:$J$1,0)))</f>
        <v>5</v>
      </c>
      <c r="L364" s="20" t="str">
        <f>IF(ISBLANK($E364),"",INDEX(Sheet1!$A:$J,MATCH(Index_Match!$E364,Sheet1!$A:$A,0),MATCH(Index_Match!L$1,Sheet1!$A$1:$J$1,0)))</f>
        <v>Perry</v>
      </c>
      <c r="M364" s="20" t="str">
        <f>IF(ISBLANK($E364),"",INDEX(Sheet1!$A:$J,MATCH(Index_Match!$E364,Sheet1!$A:$A,0),MATCH(Index_Match!M$1,Sheet1!$A$1:$J$1,0)))</f>
        <v>Middle Age</v>
      </c>
    </row>
    <row r="365" spans="2:13" x14ac:dyDescent="0.25">
      <c r="B365" s="20"/>
      <c r="C365" s="20"/>
      <c r="D365" s="20"/>
      <c r="E365" s="20" t="str">
        <v>Lucy</v>
      </c>
      <c r="F365" s="20" t="str">
        <f>IF(ISBLANK($E365),"",INDEX(Sheet1!$A:$J,MATCH(Index_Match!$E365,Sheet1!$A:$A,0),MATCH(Index_Match!F$1,Sheet1!$A$1:$J$1,0)))</f>
        <v>Female</v>
      </c>
      <c r="G365" s="20" t="str">
        <f>IF(ISBLANK($E365),"",INDEX(Sheet1!$A:$J,MATCH(Index_Match!$E365,Sheet1!$A:$A,0),MATCH(Index_Match!G$1,Sheet1!$A$1:$J$1,0)))</f>
        <v>Manager</v>
      </c>
      <c r="H365" s="20" t="str">
        <f>IF(ISBLANK($E365),"",INDEX(Sheet1!$A:$J,MATCH(Index_Match!$E365,Sheet1!$A:$A,0),MATCH(Index_Match!H$1,Sheet1!$A$1:$J$1,0)))</f>
        <v>Single</v>
      </c>
      <c r="I365" s="23">
        <f>IF(ISBLANK($E365),"",INDEX(Sheet1!$A:$J,MATCH(Index_Match!$E365,Sheet1!$A:$A,0),MATCH(Index_Match!I$1,Sheet1!$A$1:$J$1,0)))</f>
        <v>0</v>
      </c>
      <c r="J365" s="20" t="str">
        <f>IF(ISBLANK($E365),"",INDEX(Sheet1!$A:$J,MATCH(Index_Match!$E365,Sheet1!$A:$A,0),MATCH(Index_Match!J$1,Sheet1!$A$1:$J$1,0)))</f>
        <v>Lucy Anderson</v>
      </c>
      <c r="K365" s="23">
        <f>IF(ISBLANK($E365),"",INDEX(Sheet1!$A:$J,MATCH(Index_Match!$E365,Sheet1!$A:$A,0),MATCH(Index_Match!K$1,Sheet1!$A$1:$J$1,0)))</f>
        <v>0</v>
      </c>
      <c r="L365" s="20" t="str">
        <f>IF(ISBLANK($E365),"",INDEX(Sheet1!$A:$J,MATCH(Index_Match!$E365,Sheet1!$A:$A,0),MATCH(Index_Match!L$1,Sheet1!$A$1:$J$1,0)))</f>
        <v>Anderson</v>
      </c>
      <c r="M365" s="20" t="str">
        <f>IF(ISBLANK($E365),"",INDEX(Sheet1!$A:$J,MATCH(Index_Match!$E365,Sheet1!$A:$A,0),MATCH(Index_Match!M$1,Sheet1!$A$1:$J$1,0)))</f>
        <v>Old</v>
      </c>
    </row>
    <row r="366" spans="2:13" x14ac:dyDescent="0.25">
      <c r="B366" s="20"/>
      <c r="C366" s="20"/>
      <c r="D366" s="20"/>
      <c r="E366" s="20" t="str">
        <v>Connie</v>
      </c>
      <c r="F366" s="20" t="str">
        <f>IF(ISBLANK($E366),"",INDEX(Sheet1!$A:$J,MATCH(Index_Match!$E366,Sheet1!$A:$A,0),MATCH(Index_Match!F$1,Sheet1!$A$1:$J$1,0)))</f>
        <v>Female</v>
      </c>
      <c r="G366" s="20" t="str">
        <f>IF(ISBLANK($E366),"",INDEX(Sheet1!$A:$J,MATCH(Index_Match!$E366,Sheet1!$A:$A,0),MATCH(Index_Match!G$1,Sheet1!$A$1:$J$1,0)))</f>
        <v>Economist</v>
      </c>
      <c r="H366" s="20" t="str">
        <f>IF(ISBLANK($E366),"",INDEX(Sheet1!$A:$J,MATCH(Index_Match!$E366,Sheet1!$A:$A,0),MATCH(Index_Match!H$1,Sheet1!$A$1:$J$1,0)))</f>
        <v>Single</v>
      </c>
      <c r="I366" s="23">
        <f>IF(ISBLANK($E366),"",INDEX(Sheet1!$A:$J,MATCH(Index_Match!$E366,Sheet1!$A:$A,0),MATCH(Index_Match!I$1,Sheet1!$A$1:$J$1,0)))</f>
        <v>1</v>
      </c>
      <c r="J366" s="20" t="str">
        <f>IF(ISBLANK($E366),"",INDEX(Sheet1!$A:$J,MATCH(Index_Match!$E366,Sheet1!$A:$A,0),MATCH(Index_Match!J$1,Sheet1!$A$1:$J$1,0)))</f>
        <v>Connie Martin</v>
      </c>
      <c r="K366" s="23">
        <f>IF(ISBLANK($E366),"",INDEX(Sheet1!$A:$J,MATCH(Index_Match!$E366,Sheet1!$A:$A,0),MATCH(Index_Match!K$1,Sheet1!$A$1:$J$1,0)))</f>
        <v>1</v>
      </c>
      <c r="L366" s="20" t="str">
        <f>IF(ISBLANK($E366),"",INDEX(Sheet1!$A:$J,MATCH(Index_Match!$E366,Sheet1!$A:$A,0),MATCH(Index_Match!L$1,Sheet1!$A$1:$J$1,0)))</f>
        <v>Martin</v>
      </c>
      <c r="M366" s="20" t="str">
        <f>IF(ISBLANK($E366),"",INDEX(Sheet1!$A:$J,MATCH(Index_Match!$E366,Sheet1!$A:$A,0),MATCH(Index_Match!M$1,Sheet1!$A$1:$J$1,0)))</f>
        <v>Old</v>
      </c>
    </row>
    <row r="367" spans="2:13" x14ac:dyDescent="0.25">
      <c r="B367" s="20"/>
      <c r="C367" s="20"/>
      <c r="D367" s="20"/>
      <c r="E367" s="20" t="str">
        <v>Ada</v>
      </c>
      <c r="F367" s="20" t="str">
        <f>IF(ISBLANK($E367),"",INDEX(Sheet1!$A:$J,MATCH(Index_Match!$E367,Sheet1!$A:$A,0),MATCH(Index_Match!F$1,Sheet1!$A$1:$J$1,0)))</f>
        <v>Female</v>
      </c>
      <c r="G367" s="20" t="str">
        <f>IF(ISBLANK($E367),"",INDEX(Sheet1!$A:$J,MATCH(Index_Match!$E367,Sheet1!$A:$A,0),MATCH(Index_Match!G$1,Sheet1!$A$1:$J$1,0)))</f>
        <v>Fashion Designer</v>
      </c>
      <c r="H367" s="20" t="str">
        <f>IF(ISBLANK($E367),"",INDEX(Sheet1!$A:$J,MATCH(Index_Match!$E367,Sheet1!$A:$A,0),MATCH(Index_Match!H$1,Sheet1!$A$1:$J$1,0)))</f>
        <v>Married</v>
      </c>
      <c r="I367" s="23">
        <f>IF(ISBLANK($E367),"",INDEX(Sheet1!$A:$J,MATCH(Index_Match!$E367,Sheet1!$A:$A,0),MATCH(Index_Match!I$1,Sheet1!$A$1:$J$1,0)))</f>
        <v>5</v>
      </c>
      <c r="J367" s="20" t="str">
        <f>IF(ISBLANK($E367),"",INDEX(Sheet1!$A:$J,MATCH(Index_Match!$E367,Sheet1!$A:$A,0),MATCH(Index_Match!J$1,Sheet1!$A$1:$J$1,0)))</f>
        <v>Ada Hall</v>
      </c>
      <c r="K367" s="23">
        <f>IF(ISBLANK($E367),"",INDEX(Sheet1!$A:$J,MATCH(Index_Match!$E367,Sheet1!$A:$A,0),MATCH(Index_Match!K$1,Sheet1!$A$1:$J$1,0)))</f>
        <v>5</v>
      </c>
      <c r="L367" s="20" t="str">
        <f>IF(ISBLANK($E367),"",INDEX(Sheet1!$A:$J,MATCH(Index_Match!$E367,Sheet1!$A:$A,0),MATCH(Index_Match!L$1,Sheet1!$A$1:$J$1,0)))</f>
        <v>Hall</v>
      </c>
      <c r="M367" s="20" t="str">
        <f>IF(ISBLANK($E367),"",INDEX(Sheet1!$A:$J,MATCH(Index_Match!$E367,Sheet1!$A:$A,0),MATCH(Index_Match!M$1,Sheet1!$A$1:$J$1,0)))</f>
        <v>Middle Age</v>
      </c>
    </row>
    <row r="368" spans="2:13" x14ac:dyDescent="0.25">
      <c r="B368" s="20"/>
      <c r="C368" s="20"/>
      <c r="D368" s="20"/>
      <c r="E368" s="20" t="str">
        <v>Nicole</v>
      </c>
      <c r="F368" s="20" t="str">
        <f>IF(ISBLANK($E368),"",INDEX(Sheet1!$A:$J,MATCH(Index_Match!$E368,Sheet1!$A:$A,0),MATCH(Index_Match!F$1,Sheet1!$A$1:$J$1,0)))</f>
        <v>Female</v>
      </c>
      <c r="G368" s="20" t="str">
        <f>IF(ISBLANK($E368),"",INDEX(Sheet1!$A:$J,MATCH(Index_Match!$E368,Sheet1!$A:$A,0),MATCH(Index_Match!G$1,Sheet1!$A$1:$J$1,0)))</f>
        <v>Aeroplane Pilot</v>
      </c>
      <c r="H368" s="20" t="str">
        <f>IF(ISBLANK($E368),"",INDEX(Sheet1!$A:$J,MATCH(Index_Match!$E368,Sheet1!$A:$A,0),MATCH(Index_Match!H$1,Sheet1!$A$1:$J$1,0)))</f>
        <v>Married</v>
      </c>
      <c r="I368" s="23">
        <f>IF(ISBLANK($E368),"",INDEX(Sheet1!$A:$J,MATCH(Index_Match!$E368,Sheet1!$A:$A,0),MATCH(Index_Match!I$1,Sheet1!$A$1:$J$1,0)))</f>
        <v>0</v>
      </c>
      <c r="J368" s="20" t="str">
        <f>IF(ISBLANK($E368),"",INDEX(Sheet1!$A:$J,MATCH(Index_Match!$E368,Sheet1!$A:$A,0),MATCH(Index_Match!J$1,Sheet1!$A$1:$J$1,0)))</f>
        <v>Nicole Morgan</v>
      </c>
      <c r="K368" s="23">
        <f>IF(ISBLANK($E368),"",INDEX(Sheet1!$A:$J,MATCH(Index_Match!$E368,Sheet1!$A:$A,0),MATCH(Index_Match!K$1,Sheet1!$A$1:$J$1,0)))</f>
        <v>0</v>
      </c>
      <c r="L368" s="20" t="str">
        <f>IF(ISBLANK($E368),"",INDEX(Sheet1!$A:$J,MATCH(Index_Match!$E368,Sheet1!$A:$A,0),MATCH(Index_Match!L$1,Sheet1!$A$1:$J$1,0)))</f>
        <v>Morgan</v>
      </c>
      <c r="M368" s="20" t="str">
        <f>IF(ISBLANK($E368),"",INDEX(Sheet1!$A:$J,MATCH(Index_Match!$E368,Sheet1!$A:$A,0),MATCH(Index_Match!M$1,Sheet1!$A$1:$J$1,0)))</f>
        <v>Middle Age</v>
      </c>
    </row>
    <row r="369" spans="2:13" x14ac:dyDescent="0.25">
      <c r="B369" s="20"/>
      <c r="C369" s="20"/>
      <c r="D369" s="20"/>
      <c r="E369" s="20" t="str">
        <v>Emma</v>
      </c>
      <c r="F369" s="20" t="str">
        <f>IF(ISBLANK($E369),"",INDEX(Sheet1!$A:$J,MATCH(Index_Match!$E369,Sheet1!$A:$A,0),MATCH(Index_Match!F$1,Sheet1!$A$1:$J$1,0)))</f>
        <v>Female</v>
      </c>
      <c r="G369" s="20" t="str">
        <f>IF(ISBLANK($E369),"",INDEX(Sheet1!$A:$J,MATCH(Index_Match!$E369,Sheet1!$A:$A,0),MATCH(Index_Match!G$1,Sheet1!$A$1:$J$1,0)))</f>
        <v>Baker</v>
      </c>
      <c r="H369" s="20" t="str">
        <f>IF(ISBLANK($E369),"",INDEX(Sheet1!$A:$J,MATCH(Index_Match!$E369,Sheet1!$A:$A,0),MATCH(Index_Match!H$1,Sheet1!$A$1:$J$1,0)))</f>
        <v>Married</v>
      </c>
      <c r="I369" s="23">
        <f>IF(ISBLANK($E369),"",INDEX(Sheet1!$A:$J,MATCH(Index_Match!$E369,Sheet1!$A:$A,0),MATCH(Index_Match!I$1,Sheet1!$A$1:$J$1,0)))</f>
        <v>2</v>
      </c>
      <c r="J369" s="20" t="str">
        <f>IF(ISBLANK($E369),"",INDEX(Sheet1!$A:$J,MATCH(Index_Match!$E369,Sheet1!$A:$A,0),MATCH(Index_Match!J$1,Sheet1!$A$1:$J$1,0)))</f>
        <v>Emma Farrell</v>
      </c>
      <c r="K369" s="23">
        <f>IF(ISBLANK($E369),"",INDEX(Sheet1!$A:$J,MATCH(Index_Match!$E369,Sheet1!$A:$A,0),MATCH(Index_Match!K$1,Sheet1!$A$1:$J$1,0)))</f>
        <v>2</v>
      </c>
      <c r="L369" s="20" t="str">
        <f>IF(ISBLANK($E369),"",INDEX(Sheet1!$A:$J,MATCH(Index_Match!$E369,Sheet1!$A:$A,0),MATCH(Index_Match!L$1,Sheet1!$A$1:$J$1,0)))</f>
        <v>Farrell</v>
      </c>
      <c r="M369" s="20" t="str">
        <f>IF(ISBLANK($E369),"",INDEX(Sheet1!$A:$J,MATCH(Index_Match!$E369,Sheet1!$A:$A,0),MATCH(Index_Match!M$1,Sheet1!$A$1:$J$1,0)))</f>
        <v>Middle Age</v>
      </c>
    </row>
    <row r="370" spans="2:13" x14ac:dyDescent="0.25">
      <c r="B370" s="20"/>
      <c r="C370" s="20"/>
      <c r="D370" s="20"/>
      <c r="E370" s="20" t="str">
        <v>Olivia</v>
      </c>
      <c r="F370" s="20" t="str">
        <f>IF(ISBLANK($E370),"",INDEX(Sheet1!$A:$J,MATCH(Index_Match!$E370,Sheet1!$A:$A,0),MATCH(Index_Match!F$1,Sheet1!$A$1:$J$1,0)))</f>
        <v>Female</v>
      </c>
      <c r="G370" s="20" t="str">
        <f>IF(ISBLANK($E370),"",INDEX(Sheet1!$A:$J,MATCH(Index_Match!$E370,Sheet1!$A:$A,0),MATCH(Index_Match!G$1,Sheet1!$A$1:$J$1,0)))</f>
        <v>Firefighter</v>
      </c>
      <c r="H370" s="20" t="str">
        <f>IF(ISBLANK($E370),"",INDEX(Sheet1!$A:$J,MATCH(Index_Match!$E370,Sheet1!$A:$A,0),MATCH(Index_Match!H$1,Sheet1!$A$1:$J$1,0)))</f>
        <v>Single</v>
      </c>
      <c r="I370" s="23">
        <f>IF(ISBLANK($E370),"",INDEX(Sheet1!$A:$J,MATCH(Index_Match!$E370,Sheet1!$A:$A,0),MATCH(Index_Match!I$1,Sheet1!$A$1:$J$1,0)))</f>
        <v>3</v>
      </c>
      <c r="J370" s="20" t="str">
        <f>IF(ISBLANK($E370),"",INDEX(Sheet1!$A:$J,MATCH(Index_Match!$E370,Sheet1!$A:$A,0),MATCH(Index_Match!J$1,Sheet1!$A$1:$J$1,0)))</f>
        <v>Olivia Taylor</v>
      </c>
      <c r="K370" s="23">
        <f>IF(ISBLANK($E370),"",INDEX(Sheet1!$A:$J,MATCH(Index_Match!$E370,Sheet1!$A:$A,0),MATCH(Index_Match!K$1,Sheet1!$A$1:$J$1,0)))</f>
        <v>3</v>
      </c>
      <c r="L370" s="20" t="str">
        <f>IF(ISBLANK($E370),"",INDEX(Sheet1!$A:$J,MATCH(Index_Match!$E370,Sheet1!$A:$A,0),MATCH(Index_Match!L$1,Sheet1!$A$1:$J$1,0)))</f>
        <v>Taylor</v>
      </c>
      <c r="M370" s="20" t="str">
        <f>IF(ISBLANK($E370),"",INDEX(Sheet1!$A:$J,MATCH(Index_Match!$E370,Sheet1!$A:$A,0),MATCH(Index_Match!M$1,Sheet1!$A$1:$J$1,0)))</f>
        <v>Young</v>
      </c>
    </row>
    <row r="371" spans="2:13" x14ac:dyDescent="0.25">
      <c r="B371" s="20"/>
      <c r="C371" s="20"/>
      <c r="D371" s="20"/>
      <c r="E371" s="20" t="str">
        <v>Savana</v>
      </c>
      <c r="F371" s="20" t="str">
        <f>IF(ISBLANK($E371),"",INDEX(Sheet1!$A:$J,MATCH(Index_Match!$E371,Sheet1!$A:$A,0),MATCH(Index_Match!F$1,Sheet1!$A$1:$J$1,0)))</f>
        <v>Female</v>
      </c>
      <c r="G371" s="20" t="str">
        <f>IF(ISBLANK($E371),"",INDEX(Sheet1!$A:$J,MATCH(Index_Match!$E371,Sheet1!$A:$A,0),MATCH(Index_Match!G$1,Sheet1!$A$1:$J$1,0)))</f>
        <v>Accountant</v>
      </c>
      <c r="H371" s="20" t="str">
        <f>IF(ISBLANK($E371),"",INDEX(Sheet1!$A:$J,MATCH(Index_Match!$E371,Sheet1!$A:$A,0),MATCH(Index_Match!H$1,Sheet1!$A$1:$J$1,0)))</f>
        <v>Single</v>
      </c>
      <c r="I371" s="23">
        <f>IF(ISBLANK($E371),"",INDEX(Sheet1!$A:$J,MATCH(Index_Match!$E371,Sheet1!$A:$A,0),MATCH(Index_Match!I$1,Sheet1!$A$1:$J$1,0)))</f>
        <v>5</v>
      </c>
      <c r="J371" s="20" t="str">
        <f>IF(ISBLANK($E371),"",INDEX(Sheet1!$A:$J,MATCH(Index_Match!$E371,Sheet1!$A:$A,0),MATCH(Index_Match!J$1,Sheet1!$A$1:$J$1,0)))</f>
        <v>Savana Carroll</v>
      </c>
      <c r="K371" s="23">
        <f>IF(ISBLANK($E371),"",INDEX(Sheet1!$A:$J,MATCH(Index_Match!$E371,Sheet1!$A:$A,0),MATCH(Index_Match!K$1,Sheet1!$A$1:$J$1,0)))</f>
        <v>5</v>
      </c>
      <c r="L371" s="20" t="str">
        <f>IF(ISBLANK($E371),"",INDEX(Sheet1!$A:$J,MATCH(Index_Match!$E371,Sheet1!$A:$A,0),MATCH(Index_Match!L$1,Sheet1!$A$1:$J$1,0)))</f>
        <v>Carroll</v>
      </c>
      <c r="M371" s="20" t="str">
        <f>IF(ISBLANK($E371),"",INDEX(Sheet1!$A:$J,MATCH(Index_Match!$E371,Sheet1!$A:$A,0),MATCH(Index_Match!M$1,Sheet1!$A$1:$J$1,0)))</f>
        <v>Middle Age</v>
      </c>
    </row>
    <row r="372" spans="2:13" x14ac:dyDescent="0.25">
      <c r="B372" s="20"/>
      <c r="C372" s="20"/>
      <c r="D372" s="20"/>
      <c r="E372" s="20" t="str">
        <v>Sarah</v>
      </c>
      <c r="F372" s="20" t="str">
        <f>IF(ISBLANK($E372),"",INDEX(Sheet1!$A:$J,MATCH(Index_Match!$E372,Sheet1!$A:$A,0),MATCH(Index_Match!F$1,Sheet1!$A$1:$J$1,0)))</f>
        <v>Female</v>
      </c>
      <c r="G372" s="20" t="str">
        <f>IF(ISBLANK($E372),"",INDEX(Sheet1!$A:$J,MATCH(Index_Match!$E372,Sheet1!$A:$A,0),MATCH(Index_Match!G$1,Sheet1!$A$1:$J$1,0)))</f>
        <v>Lecturer</v>
      </c>
      <c r="H372" s="20" t="str">
        <f>IF(ISBLANK($E372),"",INDEX(Sheet1!$A:$J,MATCH(Index_Match!$E372,Sheet1!$A:$A,0),MATCH(Index_Match!H$1,Sheet1!$A$1:$J$1,0)))</f>
        <v>Single</v>
      </c>
      <c r="I372" s="23">
        <f>IF(ISBLANK($E372),"",INDEX(Sheet1!$A:$J,MATCH(Index_Match!$E372,Sheet1!$A:$A,0),MATCH(Index_Match!I$1,Sheet1!$A$1:$J$1,0)))</f>
        <v>4</v>
      </c>
      <c r="J372" s="20" t="str">
        <f>IF(ISBLANK($E372),"",INDEX(Sheet1!$A:$J,MATCH(Index_Match!$E372,Sheet1!$A:$A,0),MATCH(Index_Match!J$1,Sheet1!$A$1:$J$1,0)))</f>
        <v>Sarah Stevens</v>
      </c>
      <c r="K372" s="23">
        <f>IF(ISBLANK($E372),"",INDEX(Sheet1!$A:$J,MATCH(Index_Match!$E372,Sheet1!$A:$A,0),MATCH(Index_Match!K$1,Sheet1!$A$1:$J$1,0)))</f>
        <v>4</v>
      </c>
      <c r="L372" s="20" t="str">
        <f>IF(ISBLANK($E372),"",INDEX(Sheet1!$A:$J,MATCH(Index_Match!$E372,Sheet1!$A:$A,0),MATCH(Index_Match!L$1,Sheet1!$A$1:$J$1,0)))</f>
        <v>Stevens</v>
      </c>
      <c r="M372" s="20" t="str">
        <f>IF(ISBLANK($E372),"",INDEX(Sheet1!$A:$J,MATCH(Index_Match!$E372,Sheet1!$A:$A,0),MATCH(Index_Match!M$1,Sheet1!$A$1:$J$1,0)))</f>
        <v>Middle Age</v>
      </c>
    </row>
    <row r="373" spans="2:13" x14ac:dyDescent="0.25">
      <c r="B373" s="20"/>
      <c r="C373" s="20"/>
      <c r="D373" s="20"/>
      <c r="E373" s="20" t="str">
        <v>Anna</v>
      </c>
      <c r="F373" s="20" t="str">
        <f>IF(ISBLANK($E373),"",INDEX(Sheet1!$A:$J,MATCH(Index_Match!$E373,Sheet1!$A:$A,0),MATCH(Index_Match!F$1,Sheet1!$A$1:$J$1,0)))</f>
        <v>Female</v>
      </c>
      <c r="G373" s="20" t="str">
        <f>IF(ISBLANK($E373),"",INDEX(Sheet1!$A:$J,MATCH(Index_Match!$E373,Sheet1!$A:$A,0),MATCH(Index_Match!G$1,Sheet1!$A$1:$J$1,0)))</f>
        <v>Fine Artist</v>
      </c>
      <c r="H373" s="20" t="str">
        <f>IF(ISBLANK($E373),"",INDEX(Sheet1!$A:$J,MATCH(Index_Match!$E373,Sheet1!$A:$A,0),MATCH(Index_Match!H$1,Sheet1!$A$1:$J$1,0)))</f>
        <v>Single</v>
      </c>
      <c r="I373" s="23">
        <f>IF(ISBLANK($E373),"",INDEX(Sheet1!$A:$J,MATCH(Index_Match!$E373,Sheet1!$A:$A,0),MATCH(Index_Match!I$1,Sheet1!$A$1:$J$1,0)))</f>
        <v>2</v>
      </c>
      <c r="J373" s="20" t="str">
        <f>IF(ISBLANK($E373),"",INDEX(Sheet1!$A:$J,MATCH(Index_Match!$E373,Sheet1!$A:$A,0),MATCH(Index_Match!J$1,Sheet1!$A$1:$J$1,0)))</f>
        <v>Anna Smith</v>
      </c>
      <c r="K373" s="23">
        <f>IF(ISBLANK($E373),"",INDEX(Sheet1!$A:$J,MATCH(Index_Match!$E373,Sheet1!$A:$A,0),MATCH(Index_Match!K$1,Sheet1!$A$1:$J$1,0)))</f>
        <v>2</v>
      </c>
      <c r="L373" s="20" t="str">
        <f>IF(ISBLANK($E373),"",INDEX(Sheet1!$A:$J,MATCH(Index_Match!$E373,Sheet1!$A:$A,0),MATCH(Index_Match!L$1,Sheet1!$A$1:$J$1,0)))</f>
        <v>Smith</v>
      </c>
      <c r="M373" s="20" t="str">
        <f>IF(ISBLANK($E373),"",INDEX(Sheet1!$A:$J,MATCH(Index_Match!$E373,Sheet1!$A:$A,0),MATCH(Index_Match!M$1,Sheet1!$A$1:$J$1,0)))</f>
        <v>Old</v>
      </c>
    </row>
    <row r="374" spans="2:13" x14ac:dyDescent="0.25">
      <c r="B374" s="20"/>
      <c r="C374" s="20"/>
      <c r="D374" s="20"/>
      <c r="E374" s="20" t="str">
        <v>Alberta</v>
      </c>
      <c r="F374" s="20" t="str">
        <f>IF(ISBLANK($E374),"",INDEX(Sheet1!$A:$J,MATCH(Index_Match!$E374,Sheet1!$A:$A,0),MATCH(Index_Match!F$1,Sheet1!$A$1:$J$1,0)))</f>
        <v>Female</v>
      </c>
      <c r="G374" s="20" t="str">
        <f>IF(ISBLANK($E374),"",INDEX(Sheet1!$A:$J,MATCH(Index_Match!$E374,Sheet1!$A:$A,0),MATCH(Index_Match!G$1,Sheet1!$A$1:$J$1,0)))</f>
        <v>Hairdresser</v>
      </c>
      <c r="H374" s="20" t="str">
        <f>IF(ISBLANK($E374),"",INDEX(Sheet1!$A:$J,MATCH(Index_Match!$E374,Sheet1!$A:$A,0),MATCH(Index_Match!H$1,Sheet1!$A$1:$J$1,0)))</f>
        <v>Married</v>
      </c>
      <c r="I374" s="23">
        <f>IF(ISBLANK($E374),"",INDEX(Sheet1!$A:$J,MATCH(Index_Match!$E374,Sheet1!$A:$A,0),MATCH(Index_Match!I$1,Sheet1!$A$1:$J$1,0)))</f>
        <v>2</v>
      </c>
      <c r="J374" s="20" t="str">
        <f>IF(ISBLANK($E374),"",INDEX(Sheet1!$A:$J,MATCH(Index_Match!$E374,Sheet1!$A:$A,0),MATCH(Index_Match!J$1,Sheet1!$A$1:$J$1,0)))</f>
        <v>Alberta Murray</v>
      </c>
      <c r="K374" s="23">
        <f>IF(ISBLANK($E374),"",INDEX(Sheet1!$A:$J,MATCH(Index_Match!$E374,Sheet1!$A:$A,0),MATCH(Index_Match!K$1,Sheet1!$A$1:$J$1,0)))</f>
        <v>2</v>
      </c>
      <c r="L374" s="20" t="str">
        <f>IF(ISBLANK($E374),"",INDEX(Sheet1!$A:$J,MATCH(Index_Match!$E374,Sheet1!$A:$A,0),MATCH(Index_Match!L$1,Sheet1!$A$1:$J$1,0)))</f>
        <v>Murray</v>
      </c>
      <c r="M374" s="20" t="str">
        <f>IF(ISBLANK($E374),"",INDEX(Sheet1!$A:$J,MATCH(Index_Match!$E374,Sheet1!$A:$A,0),MATCH(Index_Match!M$1,Sheet1!$A$1:$J$1,0)))</f>
        <v>Old</v>
      </c>
    </row>
    <row r="375" spans="2:13" x14ac:dyDescent="0.25">
      <c r="B375" s="20"/>
      <c r="C375" s="20"/>
      <c r="D375" s="20"/>
      <c r="E375" s="20" t="str">
        <v>Hailey</v>
      </c>
      <c r="F375" s="20" t="str">
        <f>IF(ISBLANK($E375),"",INDEX(Sheet1!$A:$J,MATCH(Index_Match!$E375,Sheet1!$A:$A,0),MATCH(Index_Match!F$1,Sheet1!$A$1:$J$1,0)))</f>
        <v>Female</v>
      </c>
      <c r="G375" s="20" t="str">
        <f>IF(ISBLANK($E375),"",INDEX(Sheet1!$A:$J,MATCH(Index_Match!$E375,Sheet1!$A:$A,0),MATCH(Index_Match!G$1,Sheet1!$A$1:$J$1,0)))</f>
        <v>Insurer</v>
      </c>
      <c r="H375" s="20" t="str">
        <f>IF(ISBLANK($E375),"",INDEX(Sheet1!$A:$J,MATCH(Index_Match!$E375,Sheet1!$A:$A,0),MATCH(Index_Match!H$1,Sheet1!$A$1:$J$1,0)))</f>
        <v>Married</v>
      </c>
      <c r="I375" s="23">
        <f>IF(ISBLANK($E375),"",INDEX(Sheet1!$A:$J,MATCH(Index_Match!$E375,Sheet1!$A:$A,0),MATCH(Index_Match!I$1,Sheet1!$A$1:$J$1,0)))</f>
        <v>1</v>
      </c>
      <c r="J375" s="20" t="str">
        <f>IF(ISBLANK($E375),"",INDEX(Sheet1!$A:$J,MATCH(Index_Match!$E375,Sheet1!$A:$A,0),MATCH(Index_Match!J$1,Sheet1!$A$1:$J$1,0)))</f>
        <v>Hailey Cooper</v>
      </c>
      <c r="K375" s="23">
        <f>IF(ISBLANK($E375),"",INDEX(Sheet1!$A:$J,MATCH(Index_Match!$E375,Sheet1!$A:$A,0),MATCH(Index_Match!K$1,Sheet1!$A$1:$J$1,0)))</f>
        <v>1</v>
      </c>
      <c r="L375" s="20" t="str">
        <f>IF(ISBLANK($E375),"",INDEX(Sheet1!$A:$J,MATCH(Index_Match!$E375,Sheet1!$A:$A,0),MATCH(Index_Match!L$1,Sheet1!$A$1:$J$1,0)))</f>
        <v>Cooper</v>
      </c>
      <c r="M375" s="20" t="str">
        <f>IF(ISBLANK($E375),"",INDEX(Sheet1!$A:$J,MATCH(Index_Match!$E375,Sheet1!$A:$A,0),MATCH(Index_Match!M$1,Sheet1!$A$1:$J$1,0)))</f>
        <v>Old</v>
      </c>
    </row>
    <row r="376" spans="2:13" x14ac:dyDescent="0.25">
      <c r="B376" s="20"/>
      <c r="C376" s="20"/>
      <c r="D376" s="20"/>
      <c r="E376" s="20" t="str">
        <v>Stella</v>
      </c>
      <c r="F376" s="20" t="str">
        <f>IF(ISBLANK($E376),"",INDEX(Sheet1!$A:$J,MATCH(Index_Match!$E376,Sheet1!$A:$A,0),MATCH(Index_Match!F$1,Sheet1!$A$1:$J$1,0)))</f>
        <v>Female</v>
      </c>
      <c r="G376" s="20" t="str">
        <f>IF(ISBLANK($E376),"",INDEX(Sheet1!$A:$J,MATCH(Index_Match!$E376,Sheet1!$A:$A,0),MATCH(Index_Match!G$1,Sheet1!$A$1:$J$1,0)))</f>
        <v>Social Worker</v>
      </c>
      <c r="H376" s="20" t="str">
        <f>IF(ISBLANK($E376),"",INDEX(Sheet1!$A:$J,MATCH(Index_Match!$E376,Sheet1!$A:$A,0),MATCH(Index_Match!H$1,Sheet1!$A$1:$J$1,0)))</f>
        <v>Married</v>
      </c>
      <c r="I376" s="23">
        <f>IF(ISBLANK($E376),"",INDEX(Sheet1!$A:$J,MATCH(Index_Match!$E376,Sheet1!$A:$A,0),MATCH(Index_Match!I$1,Sheet1!$A$1:$J$1,0)))</f>
        <v>5</v>
      </c>
      <c r="J376" s="20" t="str">
        <f>IF(ISBLANK($E376),"",INDEX(Sheet1!$A:$J,MATCH(Index_Match!$E376,Sheet1!$A:$A,0),MATCH(Index_Match!J$1,Sheet1!$A$1:$J$1,0)))</f>
        <v>Stella Ferguson</v>
      </c>
      <c r="K376" s="23">
        <f>IF(ISBLANK($E376),"",INDEX(Sheet1!$A:$J,MATCH(Index_Match!$E376,Sheet1!$A:$A,0),MATCH(Index_Match!K$1,Sheet1!$A$1:$J$1,0)))</f>
        <v>5</v>
      </c>
      <c r="L376" s="20" t="str">
        <f>IF(ISBLANK($E376),"",INDEX(Sheet1!$A:$J,MATCH(Index_Match!$E376,Sheet1!$A:$A,0),MATCH(Index_Match!L$1,Sheet1!$A$1:$J$1,0)))</f>
        <v>Ferguson</v>
      </c>
      <c r="M376" s="20" t="str">
        <f>IF(ISBLANK($E376),"",INDEX(Sheet1!$A:$J,MATCH(Index_Match!$E376,Sheet1!$A:$A,0),MATCH(Index_Match!M$1,Sheet1!$A$1:$J$1,0)))</f>
        <v>Middle Age</v>
      </c>
    </row>
    <row r="377" spans="2:13" x14ac:dyDescent="0.25">
      <c r="B377" s="20"/>
      <c r="C377" s="20"/>
      <c r="D377" s="20"/>
      <c r="E377" s="20" t="str">
        <v>Savana</v>
      </c>
      <c r="F377" s="20" t="str">
        <f>IF(ISBLANK($E377),"",INDEX(Sheet1!$A:$J,MATCH(Index_Match!$E377,Sheet1!$A:$A,0),MATCH(Index_Match!F$1,Sheet1!$A$1:$J$1,0)))</f>
        <v>Female</v>
      </c>
      <c r="G377" s="20" t="str">
        <f>IF(ISBLANK($E377),"",INDEX(Sheet1!$A:$J,MATCH(Index_Match!$E377,Sheet1!$A:$A,0),MATCH(Index_Match!G$1,Sheet1!$A$1:$J$1,0)))</f>
        <v>Accountant</v>
      </c>
      <c r="H377" s="20" t="str">
        <f>IF(ISBLANK($E377),"",INDEX(Sheet1!$A:$J,MATCH(Index_Match!$E377,Sheet1!$A:$A,0),MATCH(Index_Match!H$1,Sheet1!$A$1:$J$1,0)))</f>
        <v>Single</v>
      </c>
      <c r="I377" s="23">
        <f>IF(ISBLANK($E377),"",INDEX(Sheet1!$A:$J,MATCH(Index_Match!$E377,Sheet1!$A:$A,0),MATCH(Index_Match!I$1,Sheet1!$A$1:$J$1,0)))</f>
        <v>5</v>
      </c>
      <c r="J377" s="20" t="str">
        <f>IF(ISBLANK($E377),"",INDEX(Sheet1!$A:$J,MATCH(Index_Match!$E377,Sheet1!$A:$A,0),MATCH(Index_Match!J$1,Sheet1!$A$1:$J$1,0)))</f>
        <v>Savana Carroll</v>
      </c>
      <c r="K377" s="23">
        <f>IF(ISBLANK($E377),"",INDEX(Sheet1!$A:$J,MATCH(Index_Match!$E377,Sheet1!$A:$A,0),MATCH(Index_Match!K$1,Sheet1!$A$1:$J$1,0)))</f>
        <v>5</v>
      </c>
      <c r="L377" s="20" t="str">
        <f>IF(ISBLANK($E377),"",INDEX(Sheet1!$A:$J,MATCH(Index_Match!$E377,Sheet1!$A:$A,0),MATCH(Index_Match!L$1,Sheet1!$A$1:$J$1,0)))</f>
        <v>Carroll</v>
      </c>
      <c r="M377" s="20" t="str">
        <f>IF(ISBLANK($E377),"",INDEX(Sheet1!$A:$J,MATCH(Index_Match!$E377,Sheet1!$A:$A,0),MATCH(Index_Match!M$1,Sheet1!$A$1:$J$1,0)))</f>
        <v>Middle Age</v>
      </c>
    </row>
    <row r="378" spans="2:13" x14ac:dyDescent="0.25">
      <c r="B378" s="20"/>
      <c r="C378" s="20"/>
      <c r="D378" s="20"/>
      <c r="E378" s="20" t="str">
        <v>Kirsten</v>
      </c>
      <c r="F378" s="20" t="str">
        <f>IF(ISBLANK($E378),"",INDEX(Sheet1!$A:$J,MATCH(Index_Match!$E378,Sheet1!$A:$A,0),MATCH(Index_Match!F$1,Sheet1!$A$1:$J$1,0)))</f>
        <v>Female</v>
      </c>
      <c r="G378" s="20" t="str">
        <f>IF(ISBLANK($E378),"",INDEX(Sheet1!$A:$J,MATCH(Index_Match!$E378,Sheet1!$A:$A,0),MATCH(Index_Match!G$1,Sheet1!$A$1:$J$1,0)))</f>
        <v>Meteorologist</v>
      </c>
      <c r="H378" s="20" t="str">
        <f>IF(ISBLANK($E378),"",INDEX(Sheet1!$A:$J,MATCH(Index_Match!$E378,Sheet1!$A:$A,0),MATCH(Index_Match!H$1,Sheet1!$A$1:$J$1,0)))</f>
        <v>Single</v>
      </c>
      <c r="I378" s="23">
        <f>IF(ISBLANK($E378),"",INDEX(Sheet1!$A:$J,MATCH(Index_Match!$E378,Sheet1!$A:$A,0),MATCH(Index_Match!I$1,Sheet1!$A$1:$J$1,0)))</f>
        <v>3</v>
      </c>
      <c r="J378" s="20" t="str">
        <f>IF(ISBLANK($E378),"",INDEX(Sheet1!$A:$J,MATCH(Index_Match!$E378,Sheet1!$A:$A,0),MATCH(Index_Match!J$1,Sheet1!$A$1:$J$1,0)))</f>
        <v>Kirsten Perry</v>
      </c>
      <c r="K378" s="23">
        <f>IF(ISBLANK($E378),"",INDEX(Sheet1!$A:$J,MATCH(Index_Match!$E378,Sheet1!$A:$A,0),MATCH(Index_Match!K$1,Sheet1!$A$1:$J$1,0)))</f>
        <v>3</v>
      </c>
      <c r="L378" s="20" t="str">
        <f>IF(ISBLANK($E378),"",INDEX(Sheet1!$A:$J,MATCH(Index_Match!$E378,Sheet1!$A:$A,0),MATCH(Index_Match!L$1,Sheet1!$A$1:$J$1,0)))</f>
        <v>Perry</v>
      </c>
      <c r="M378" s="20" t="str">
        <f>IF(ISBLANK($E378),"",INDEX(Sheet1!$A:$J,MATCH(Index_Match!$E378,Sheet1!$A:$A,0),MATCH(Index_Match!M$1,Sheet1!$A$1:$J$1,0)))</f>
        <v>Young</v>
      </c>
    </row>
    <row r="379" spans="2:13" x14ac:dyDescent="0.25">
      <c r="B379" s="20"/>
      <c r="C379" s="20"/>
      <c r="D379" s="20"/>
      <c r="E379" s="20" t="str">
        <v>Chloe</v>
      </c>
      <c r="F379" s="20" t="str">
        <f>IF(ISBLANK($E379),"",INDEX(Sheet1!$A:$J,MATCH(Index_Match!$E379,Sheet1!$A:$A,0),MATCH(Index_Match!F$1,Sheet1!$A$1:$J$1,0)))</f>
        <v>Female</v>
      </c>
      <c r="G379" s="20" t="str">
        <f>IF(ISBLANK($E379),"",INDEX(Sheet1!$A:$J,MATCH(Index_Match!$E379,Sheet1!$A:$A,0),MATCH(Index_Match!G$1,Sheet1!$A$1:$J$1,0)))</f>
        <v>Lecturer</v>
      </c>
      <c r="H379" s="20" t="str">
        <f>IF(ISBLANK($E379),"",INDEX(Sheet1!$A:$J,MATCH(Index_Match!$E379,Sheet1!$A:$A,0),MATCH(Index_Match!H$1,Sheet1!$A$1:$J$1,0)))</f>
        <v>Married</v>
      </c>
      <c r="I379" s="23">
        <f>IF(ISBLANK($E379),"",INDEX(Sheet1!$A:$J,MATCH(Index_Match!$E379,Sheet1!$A:$A,0),MATCH(Index_Match!I$1,Sheet1!$A$1:$J$1,0)))</f>
        <v>0</v>
      </c>
      <c r="J379" s="20" t="str">
        <f>IF(ISBLANK($E379),"",INDEX(Sheet1!$A:$J,MATCH(Index_Match!$E379,Sheet1!$A:$A,0),MATCH(Index_Match!J$1,Sheet1!$A$1:$J$1,0)))</f>
        <v>Chloe Perry</v>
      </c>
      <c r="K379" s="23">
        <f>IF(ISBLANK($E379),"",INDEX(Sheet1!$A:$J,MATCH(Index_Match!$E379,Sheet1!$A:$A,0),MATCH(Index_Match!K$1,Sheet1!$A$1:$J$1,0)))</f>
        <v>0</v>
      </c>
      <c r="L379" s="20" t="str">
        <f>IF(ISBLANK($E379),"",INDEX(Sheet1!$A:$J,MATCH(Index_Match!$E379,Sheet1!$A:$A,0),MATCH(Index_Match!L$1,Sheet1!$A$1:$J$1,0)))</f>
        <v>Perry</v>
      </c>
      <c r="M379" s="20" t="str">
        <f>IF(ISBLANK($E379),"",INDEX(Sheet1!$A:$J,MATCH(Index_Match!$E379,Sheet1!$A:$A,0),MATCH(Index_Match!M$1,Sheet1!$A$1:$J$1,0)))</f>
        <v>Young</v>
      </c>
    </row>
    <row r="380" spans="2:13" x14ac:dyDescent="0.25">
      <c r="B380" s="20"/>
      <c r="C380" s="20"/>
      <c r="D380" s="20"/>
      <c r="E380" s="20" t="str">
        <v>Adele</v>
      </c>
      <c r="F380" s="20" t="str">
        <f>IF(ISBLANK($E380),"",INDEX(Sheet1!$A:$J,MATCH(Index_Match!$E380,Sheet1!$A:$A,0),MATCH(Index_Match!F$1,Sheet1!$A$1:$J$1,0)))</f>
        <v>Female</v>
      </c>
      <c r="G380" s="20" t="str">
        <f>IF(ISBLANK($E380),"",INDEX(Sheet1!$A:$J,MATCH(Index_Match!$E380,Sheet1!$A:$A,0),MATCH(Index_Match!G$1,Sheet1!$A$1:$J$1,0)))</f>
        <v>Teacher</v>
      </c>
      <c r="H380" s="20" t="str">
        <f>IF(ISBLANK($E380),"",INDEX(Sheet1!$A:$J,MATCH(Index_Match!$E380,Sheet1!$A:$A,0),MATCH(Index_Match!H$1,Sheet1!$A$1:$J$1,0)))</f>
        <v>Married</v>
      </c>
      <c r="I380" s="23">
        <f>IF(ISBLANK($E380),"",INDEX(Sheet1!$A:$J,MATCH(Index_Match!$E380,Sheet1!$A:$A,0),MATCH(Index_Match!I$1,Sheet1!$A$1:$J$1,0)))</f>
        <v>1</v>
      </c>
      <c r="J380" s="20" t="str">
        <f>IF(ISBLANK($E380),"",INDEX(Sheet1!$A:$J,MATCH(Index_Match!$E380,Sheet1!$A:$A,0),MATCH(Index_Match!J$1,Sheet1!$A$1:$J$1,0)))</f>
        <v>Adele Watson</v>
      </c>
      <c r="K380" s="23">
        <f>IF(ISBLANK($E380),"",INDEX(Sheet1!$A:$J,MATCH(Index_Match!$E380,Sheet1!$A:$A,0),MATCH(Index_Match!K$1,Sheet1!$A$1:$J$1,0)))</f>
        <v>1</v>
      </c>
      <c r="L380" s="20" t="str">
        <f>IF(ISBLANK($E380),"",INDEX(Sheet1!$A:$J,MATCH(Index_Match!$E380,Sheet1!$A:$A,0),MATCH(Index_Match!L$1,Sheet1!$A$1:$J$1,0)))</f>
        <v>Watson</v>
      </c>
      <c r="M380" s="20" t="str">
        <f>IF(ISBLANK($E380),"",INDEX(Sheet1!$A:$J,MATCH(Index_Match!$E380,Sheet1!$A:$A,0),MATCH(Index_Match!M$1,Sheet1!$A$1:$J$1,0)))</f>
        <v>Old</v>
      </c>
    </row>
    <row r="381" spans="2:13" x14ac:dyDescent="0.25">
      <c r="B381" s="20"/>
      <c r="C381" s="20"/>
      <c r="D381" s="20"/>
      <c r="E381" s="20" t="str">
        <v>Alissa</v>
      </c>
      <c r="F381" s="20" t="str">
        <f>IF(ISBLANK($E381),"",INDEX(Sheet1!$A:$J,MATCH(Index_Match!$E381,Sheet1!$A:$A,0),MATCH(Index_Match!F$1,Sheet1!$A$1:$J$1,0)))</f>
        <v>Female</v>
      </c>
      <c r="G381" s="20" t="str">
        <f>IF(ISBLANK($E381),"",INDEX(Sheet1!$A:$J,MATCH(Index_Match!$E381,Sheet1!$A:$A,0),MATCH(Index_Match!G$1,Sheet1!$A$1:$J$1,0)))</f>
        <v>Hairdresser</v>
      </c>
      <c r="H381" s="20" t="str">
        <f>IF(ISBLANK($E381),"",INDEX(Sheet1!$A:$J,MATCH(Index_Match!$E381,Sheet1!$A:$A,0),MATCH(Index_Match!H$1,Sheet1!$A$1:$J$1,0)))</f>
        <v>Single</v>
      </c>
      <c r="I381" s="23">
        <f>IF(ISBLANK($E381),"",INDEX(Sheet1!$A:$J,MATCH(Index_Match!$E381,Sheet1!$A:$A,0),MATCH(Index_Match!I$1,Sheet1!$A$1:$J$1,0)))</f>
        <v>0</v>
      </c>
      <c r="J381" s="20" t="str">
        <f>IF(ISBLANK($E381),"",INDEX(Sheet1!$A:$J,MATCH(Index_Match!$E381,Sheet1!$A:$A,0),MATCH(Index_Match!J$1,Sheet1!$A$1:$J$1,0)))</f>
        <v>Alissa Ferguson</v>
      </c>
      <c r="K381" s="23">
        <f>IF(ISBLANK($E381),"",INDEX(Sheet1!$A:$J,MATCH(Index_Match!$E381,Sheet1!$A:$A,0),MATCH(Index_Match!K$1,Sheet1!$A$1:$J$1,0)))</f>
        <v>0</v>
      </c>
      <c r="L381" s="20" t="str">
        <f>IF(ISBLANK($E381),"",INDEX(Sheet1!$A:$J,MATCH(Index_Match!$E381,Sheet1!$A:$A,0),MATCH(Index_Match!L$1,Sheet1!$A$1:$J$1,0)))</f>
        <v>Ferguson</v>
      </c>
      <c r="M381" s="20" t="str">
        <f>IF(ISBLANK($E381),"",INDEX(Sheet1!$A:$J,MATCH(Index_Match!$E381,Sheet1!$A:$A,0),MATCH(Index_Match!M$1,Sheet1!$A$1:$J$1,0)))</f>
        <v>Middle Age</v>
      </c>
    </row>
    <row r="382" spans="2:13" x14ac:dyDescent="0.25">
      <c r="B382" s="20"/>
      <c r="C382" s="20"/>
      <c r="D382" s="20"/>
      <c r="E382" s="20" t="str">
        <v>Alina</v>
      </c>
      <c r="F382" s="20" t="str">
        <f>IF(ISBLANK($E382),"",INDEX(Sheet1!$A:$J,MATCH(Index_Match!$E382,Sheet1!$A:$A,0),MATCH(Index_Match!F$1,Sheet1!$A$1:$J$1,0)))</f>
        <v>Female</v>
      </c>
      <c r="G382" s="20" t="str">
        <f>IF(ISBLANK($E382),"",INDEX(Sheet1!$A:$J,MATCH(Index_Match!$E382,Sheet1!$A:$A,0),MATCH(Index_Match!G$1,Sheet1!$A$1:$J$1,0)))</f>
        <v>Engineer</v>
      </c>
      <c r="H382" s="20" t="str">
        <f>IF(ISBLANK($E382),"",INDEX(Sheet1!$A:$J,MATCH(Index_Match!$E382,Sheet1!$A:$A,0),MATCH(Index_Match!H$1,Sheet1!$A$1:$J$1,0)))</f>
        <v>Single</v>
      </c>
      <c r="I382" s="23">
        <f>IF(ISBLANK($E382),"",INDEX(Sheet1!$A:$J,MATCH(Index_Match!$E382,Sheet1!$A:$A,0),MATCH(Index_Match!I$1,Sheet1!$A$1:$J$1,0)))</f>
        <v>0</v>
      </c>
      <c r="J382" s="20" t="str">
        <f>IF(ISBLANK($E382),"",INDEX(Sheet1!$A:$J,MATCH(Index_Match!$E382,Sheet1!$A:$A,0),MATCH(Index_Match!J$1,Sheet1!$A$1:$J$1,0)))</f>
        <v>Alina Russell</v>
      </c>
      <c r="K382" s="23">
        <f>IF(ISBLANK($E382),"",INDEX(Sheet1!$A:$J,MATCH(Index_Match!$E382,Sheet1!$A:$A,0),MATCH(Index_Match!K$1,Sheet1!$A$1:$J$1,0)))</f>
        <v>0</v>
      </c>
      <c r="L382" s="20" t="str">
        <f>IF(ISBLANK($E382),"",INDEX(Sheet1!$A:$J,MATCH(Index_Match!$E382,Sheet1!$A:$A,0),MATCH(Index_Match!L$1,Sheet1!$A$1:$J$1,0)))</f>
        <v>Russell</v>
      </c>
      <c r="M382" s="20" t="str">
        <f>IF(ISBLANK($E382),"",INDEX(Sheet1!$A:$J,MATCH(Index_Match!$E382,Sheet1!$A:$A,0),MATCH(Index_Match!M$1,Sheet1!$A$1:$J$1,0)))</f>
        <v>Old</v>
      </c>
    </row>
    <row r="383" spans="2:13" x14ac:dyDescent="0.25">
      <c r="B383" s="20"/>
      <c r="C383" s="20"/>
      <c r="D383" s="20"/>
      <c r="E383" s="20" t="str">
        <v>Melanie</v>
      </c>
      <c r="F383" s="20" t="str">
        <f>IF(ISBLANK($E383),"",INDEX(Sheet1!$A:$J,MATCH(Index_Match!$E383,Sheet1!$A:$A,0),MATCH(Index_Match!F$1,Sheet1!$A$1:$J$1,0)))</f>
        <v>Female</v>
      </c>
      <c r="G383" s="20" t="str">
        <f>IF(ISBLANK($E383),"",INDEX(Sheet1!$A:$J,MATCH(Index_Match!$E383,Sheet1!$A:$A,0),MATCH(Index_Match!G$1,Sheet1!$A$1:$J$1,0)))</f>
        <v>Florist</v>
      </c>
      <c r="H383" s="20" t="str">
        <f>IF(ISBLANK($E383),"",INDEX(Sheet1!$A:$J,MATCH(Index_Match!$E383,Sheet1!$A:$A,0),MATCH(Index_Match!H$1,Sheet1!$A$1:$J$1,0)))</f>
        <v>Single</v>
      </c>
      <c r="I383" s="23">
        <f>IF(ISBLANK($E383),"",INDEX(Sheet1!$A:$J,MATCH(Index_Match!$E383,Sheet1!$A:$A,0),MATCH(Index_Match!I$1,Sheet1!$A$1:$J$1,0)))</f>
        <v>1</v>
      </c>
      <c r="J383" s="20" t="str">
        <f>IF(ISBLANK($E383),"",INDEX(Sheet1!$A:$J,MATCH(Index_Match!$E383,Sheet1!$A:$A,0),MATCH(Index_Match!J$1,Sheet1!$A$1:$J$1,0)))</f>
        <v>Melanie Craig</v>
      </c>
      <c r="K383" s="23">
        <f>IF(ISBLANK($E383),"",INDEX(Sheet1!$A:$J,MATCH(Index_Match!$E383,Sheet1!$A:$A,0),MATCH(Index_Match!K$1,Sheet1!$A$1:$J$1,0)))</f>
        <v>1</v>
      </c>
      <c r="L383" s="20" t="str">
        <f>IF(ISBLANK($E383),"",INDEX(Sheet1!$A:$J,MATCH(Index_Match!$E383,Sheet1!$A:$A,0),MATCH(Index_Match!L$1,Sheet1!$A$1:$J$1,0)))</f>
        <v>Craig</v>
      </c>
      <c r="M383" s="20" t="str">
        <f>IF(ISBLANK($E383),"",INDEX(Sheet1!$A:$J,MATCH(Index_Match!$E383,Sheet1!$A:$A,0),MATCH(Index_Match!M$1,Sheet1!$A$1:$J$1,0)))</f>
        <v>Young</v>
      </c>
    </row>
    <row r="384" spans="2:13" x14ac:dyDescent="0.25">
      <c r="B384" s="20"/>
      <c r="C384" s="20"/>
      <c r="D384" s="20"/>
      <c r="E384" s="20" t="str">
        <v>April</v>
      </c>
      <c r="F384" s="20" t="str">
        <f>IF(ISBLANK($E384),"",INDEX(Sheet1!$A:$J,MATCH(Index_Match!$E384,Sheet1!$A:$A,0),MATCH(Index_Match!F$1,Sheet1!$A$1:$J$1,0)))</f>
        <v>Female</v>
      </c>
      <c r="G384" s="20" t="str">
        <f>IF(ISBLANK($E384),"",INDEX(Sheet1!$A:$J,MATCH(Index_Match!$E384,Sheet1!$A:$A,0),MATCH(Index_Match!G$1,Sheet1!$A$1:$J$1,0)))</f>
        <v>Fashion Designer</v>
      </c>
      <c r="H384" s="20" t="str">
        <f>IF(ISBLANK($E384),"",INDEX(Sheet1!$A:$J,MATCH(Index_Match!$E384,Sheet1!$A:$A,0),MATCH(Index_Match!H$1,Sheet1!$A$1:$J$1,0)))</f>
        <v>Married</v>
      </c>
      <c r="I384" s="23">
        <f>IF(ISBLANK($E384),"",INDEX(Sheet1!$A:$J,MATCH(Index_Match!$E384,Sheet1!$A:$A,0),MATCH(Index_Match!I$1,Sheet1!$A$1:$J$1,0)))</f>
        <v>3</v>
      </c>
      <c r="J384" s="20" t="str">
        <f>IF(ISBLANK($E384),"",INDEX(Sheet1!$A:$J,MATCH(Index_Match!$E384,Sheet1!$A:$A,0),MATCH(Index_Match!J$1,Sheet1!$A$1:$J$1,0)))</f>
        <v>April Kelley</v>
      </c>
      <c r="K384" s="23">
        <f>IF(ISBLANK($E384),"",INDEX(Sheet1!$A:$J,MATCH(Index_Match!$E384,Sheet1!$A:$A,0),MATCH(Index_Match!K$1,Sheet1!$A$1:$J$1,0)))</f>
        <v>3</v>
      </c>
      <c r="L384" s="20" t="str">
        <f>IF(ISBLANK($E384),"",INDEX(Sheet1!$A:$J,MATCH(Index_Match!$E384,Sheet1!$A:$A,0),MATCH(Index_Match!L$1,Sheet1!$A$1:$J$1,0)))</f>
        <v>Kelley</v>
      </c>
      <c r="M384" s="20" t="str">
        <f>IF(ISBLANK($E384),"",INDEX(Sheet1!$A:$J,MATCH(Index_Match!$E384,Sheet1!$A:$A,0),MATCH(Index_Match!M$1,Sheet1!$A$1:$J$1,0)))</f>
        <v>Old</v>
      </c>
    </row>
    <row r="385" spans="2:13" x14ac:dyDescent="0.25">
      <c r="B385" s="20"/>
      <c r="C385" s="20"/>
      <c r="D385" s="20"/>
      <c r="E385" s="20" t="str">
        <v>Grace</v>
      </c>
      <c r="F385" s="20" t="str">
        <f>IF(ISBLANK($E385),"",INDEX(Sheet1!$A:$J,MATCH(Index_Match!$E385,Sheet1!$A:$A,0),MATCH(Index_Match!F$1,Sheet1!$A$1:$J$1,0)))</f>
        <v>Female</v>
      </c>
      <c r="G385" s="20" t="str">
        <f>IF(ISBLANK($E385),"",INDEX(Sheet1!$A:$J,MATCH(Index_Match!$E385,Sheet1!$A:$A,0),MATCH(Index_Match!G$1,Sheet1!$A$1:$J$1,0)))</f>
        <v>Insurer</v>
      </c>
      <c r="H385" s="20" t="str">
        <f>IF(ISBLANK($E385),"",INDEX(Sheet1!$A:$J,MATCH(Index_Match!$E385,Sheet1!$A:$A,0),MATCH(Index_Match!H$1,Sheet1!$A$1:$J$1,0)))</f>
        <v>Married</v>
      </c>
      <c r="I385" s="23">
        <f>IF(ISBLANK($E385),"",INDEX(Sheet1!$A:$J,MATCH(Index_Match!$E385,Sheet1!$A:$A,0),MATCH(Index_Match!I$1,Sheet1!$A$1:$J$1,0)))</f>
        <v>1</v>
      </c>
      <c r="J385" s="20" t="str">
        <f>IF(ISBLANK($E385),"",INDEX(Sheet1!$A:$J,MATCH(Index_Match!$E385,Sheet1!$A:$A,0),MATCH(Index_Match!J$1,Sheet1!$A$1:$J$1,0)))</f>
        <v>Grace Taylor</v>
      </c>
      <c r="K385" s="23">
        <f>IF(ISBLANK($E385),"",INDEX(Sheet1!$A:$J,MATCH(Index_Match!$E385,Sheet1!$A:$A,0),MATCH(Index_Match!K$1,Sheet1!$A$1:$J$1,0)))</f>
        <v>1</v>
      </c>
      <c r="L385" s="20" t="str">
        <f>IF(ISBLANK($E385),"",INDEX(Sheet1!$A:$J,MATCH(Index_Match!$E385,Sheet1!$A:$A,0),MATCH(Index_Match!L$1,Sheet1!$A$1:$J$1,0)))</f>
        <v>Taylor</v>
      </c>
      <c r="M385" s="20" t="str">
        <f>IF(ISBLANK($E385),"",INDEX(Sheet1!$A:$J,MATCH(Index_Match!$E385,Sheet1!$A:$A,0),MATCH(Index_Match!M$1,Sheet1!$A$1:$J$1,0)))</f>
        <v>Middle Age</v>
      </c>
    </row>
    <row r="386" spans="2:13" x14ac:dyDescent="0.25">
      <c r="B386" s="20"/>
      <c r="C386" s="20"/>
      <c r="D386" s="20"/>
      <c r="E386" s="20" t="str">
        <v>Belinda</v>
      </c>
      <c r="F386" s="20" t="str">
        <f>IF(ISBLANK($E386),"",INDEX(Sheet1!$A:$J,MATCH(Index_Match!$E386,Sheet1!$A:$A,0),MATCH(Index_Match!F$1,Sheet1!$A$1:$J$1,0)))</f>
        <v>Female</v>
      </c>
      <c r="G386" s="20" t="str">
        <f>IF(ISBLANK($E386),"",INDEX(Sheet1!$A:$J,MATCH(Index_Match!$E386,Sheet1!$A:$A,0),MATCH(Index_Match!G$1,Sheet1!$A$1:$J$1,0)))</f>
        <v>Dancer</v>
      </c>
      <c r="H386" s="20" t="str">
        <f>IF(ISBLANK($E386),"",INDEX(Sheet1!$A:$J,MATCH(Index_Match!$E386,Sheet1!$A:$A,0),MATCH(Index_Match!H$1,Sheet1!$A$1:$J$1,0)))</f>
        <v>Married</v>
      </c>
      <c r="I386" s="23">
        <f>IF(ISBLANK($E386),"",INDEX(Sheet1!$A:$J,MATCH(Index_Match!$E386,Sheet1!$A:$A,0),MATCH(Index_Match!I$1,Sheet1!$A$1:$J$1,0)))</f>
        <v>5</v>
      </c>
      <c r="J386" s="20" t="str">
        <f>IF(ISBLANK($E386),"",INDEX(Sheet1!$A:$J,MATCH(Index_Match!$E386,Sheet1!$A:$A,0),MATCH(Index_Match!J$1,Sheet1!$A$1:$J$1,0)))</f>
        <v>Belinda Spencer</v>
      </c>
      <c r="K386" s="23">
        <f>IF(ISBLANK($E386),"",INDEX(Sheet1!$A:$J,MATCH(Index_Match!$E386,Sheet1!$A:$A,0),MATCH(Index_Match!K$1,Sheet1!$A$1:$J$1,0)))</f>
        <v>5</v>
      </c>
      <c r="L386" s="20" t="str">
        <f>IF(ISBLANK($E386),"",INDEX(Sheet1!$A:$J,MATCH(Index_Match!$E386,Sheet1!$A:$A,0),MATCH(Index_Match!L$1,Sheet1!$A$1:$J$1,0)))</f>
        <v>Spencer</v>
      </c>
      <c r="M386" s="20" t="str">
        <f>IF(ISBLANK($E386),"",INDEX(Sheet1!$A:$J,MATCH(Index_Match!$E386,Sheet1!$A:$A,0),MATCH(Index_Match!M$1,Sheet1!$A$1:$J$1,0)))</f>
        <v>Young</v>
      </c>
    </row>
    <row r="387" spans="2:13" x14ac:dyDescent="0.25">
      <c r="B387" s="20"/>
      <c r="C387" s="20"/>
      <c r="D387" s="20"/>
      <c r="E387" s="20" t="str">
        <v>Stella</v>
      </c>
      <c r="F387" s="20" t="str">
        <f>IF(ISBLANK($E387),"",INDEX(Sheet1!$A:$J,MATCH(Index_Match!$E387,Sheet1!$A:$A,0),MATCH(Index_Match!F$1,Sheet1!$A$1:$J$1,0)))</f>
        <v>Female</v>
      </c>
      <c r="G387" s="20" t="str">
        <f>IF(ISBLANK($E387),"",INDEX(Sheet1!$A:$J,MATCH(Index_Match!$E387,Sheet1!$A:$A,0),MATCH(Index_Match!G$1,Sheet1!$A$1:$J$1,0)))</f>
        <v>Social Worker</v>
      </c>
      <c r="H387" s="20" t="str">
        <f>IF(ISBLANK($E387),"",INDEX(Sheet1!$A:$J,MATCH(Index_Match!$E387,Sheet1!$A:$A,0),MATCH(Index_Match!H$1,Sheet1!$A$1:$J$1,0)))</f>
        <v>Married</v>
      </c>
      <c r="I387" s="23">
        <f>IF(ISBLANK($E387),"",INDEX(Sheet1!$A:$J,MATCH(Index_Match!$E387,Sheet1!$A:$A,0),MATCH(Index_Match!I$1,Sheet1!$A$1:$J$1,0)))</f>
        <v>5</v>
      </c>
      <c r="J387" s="20" t="str">
        <f>IF(ISBLANK($E387),"",INDEX(Sheet1!$A:$J,MATCH(Index_Match!$E387,Sheet1!$A:$A,0),MATCH(Index_Match!J$1,Sheet1!$A$1:$J$1,0)))</f>
        <v>Stella Ferguson</v>
      </c>
      <c r="K387" s="23">
        <f>IF(ISBLANK($E387),"",INDEX(Sheet1!$A:$J,MATCH(Index_Match!$E387,Sheet1!$A:$A,0),MATCH(Index_Match!K$1,Sheet1!$A$1:$J$1,0)))</f>
        <v>5</v>
      </c>
      <c r="L387" s="20" t="str">
        <f>IF(ISBLANK($E387),"",INDEX(Sheet1!$A:$J,MATCH(Index_Match!$E387,Sheet1!$A:$A,0),MATCH(Index_Match!L$1,Sheet1!$A$1:$J$1,0)))</f>
        <v>Ferguson</v>
      </c>
      <c r="M387" s="20" t="str">
        <f>IF(ISBLANK($E387),"",INDEX(Sheet1!$A:$J,MATCH(Index_Match!$E387,Sheet1!$A:$A,0),MATCH(Index_Match!M$1,Sheet1!$A$1:$J$1,0)))</f>
        <v>Middle Age</v>
      </c>
    </row>
    <row r="388" spans="2:13" x14ac:dyDescent="0.25">
      <c r="B388" s="20"/>
      <c r="C388" s="20"/>
      <c r="D388" s="20"/>
      <c r="E388" s="20" t="str">
        <v>Jenna</v>
      </c>
      <c r="F388" s="20" t="str">
        <f>IF(ISBLANK($E388),"",INDEX(Sheet1!$A:$J,MATCH(Index_Match!$E388,Sheet1!$A:$A,0),MATCH(Index_Match!F$1,Sheet1!$A$1:$J$1,0)))</f>
        <v>Female</v>
      </c>
      <c r="G388" s="20" t="str">
        <f>IF(ISBLANK($E388),"",INDEX(Sheet1!$A:$J,MATCH(Index_Match!$E388,Sheet1!$A:$A,0),MATCH(Index_Match!G$1,Sheet1!$A$1:$J$1,0)))</f>
        <v>Baker</v>
      </c>
      <c r="H388" s="20" t="str">
        <f>IF(ISBLANK($E388),"",INDEX(Sheet1!$A:$J,MATCH(Index_Match!$E388,Sheet1!$A:$A,0),MATCH(Index_Match!H$1,Sheet1!$A$1:$J$1,0)))</f>
        <v>Single</v>
      </c>
      <c r="I388" s="23">
        <f>IF(ISBLANK($E388),"",INDEX(Sheet1!$A:$J,MATCH(Index_Match!$E388,Sheet1!$A:$A,0),MATCH(Index_Match!I$1,Sheet1!$A$1:$J$1,0)))</f>
        <v>1</v>
      </c>
      <c r="J388" s="20" t="str">
        <f>IF(ISBLANK($E388),"",INDEX(Sheet1!$A:$J,MATCH(Index_Match!$E388,Sheet1!$A:$A,0),MATCH(Index_Match!J$1,Sheet1!$A$1:$J$1,0)))</f>
        <v>Jenna Ellis</v>
      </c>
      <c r="K388" s="23">
        <f>IF(ISBLANK($E388),"",INDEX(Sheet1!$A:$J,MATCH(Index_Match!$E388,Sheet1!$A:$A,0),MATCH(Index_Match!K$1,Sheet1!$A$1:$J$1,0)))</f>
        <v>1</v>
      </c>
      <c r="L388" s="20" t="str">
        <f>IF(ISBLANK($E388),"",INDEX(Sheet1!$A:$J,MATCH(Index_Match!$E388,Sheet1!$A:$A,0),MATCH(Index_Match!L$1,Sheet1!$A$1:$J$1,0)))</f>
        <v>Ellis</v>
      </c>
      <c r="M388" s="20" t="str">
        <f>IF(ISBLANK($E388),"",INDEX(Sheet1!$A:$J,MATCH(Index_Match!$E388,Sheet1!$A:$A,0),MATCH(Index_Match!M$1,Sheet1!$A$1:$J$1,0)))</f>
        <v>Old</v>
      </c>
    </row>
    <row r="389" spans="2:13" x14ac:dyDescent="0.25">
      <c r="B389" s="20"/>
      <c r="C389" s="20"/>
      <c r="D389" s="20"/>
      <c r="E389" s="20" t="str">
        <v>Julia</v>
      </c>
      <c r="F389" s="20" t="str">
        <f>IF(ISBLANK($E389),"",INDEX(Sheet1!$A:$J,MATCH(Index_Match!$E389,Sheet1!$A:$A,0),MATCH(Index_Match!F$1,Sheet1!$A$1:$J$1,0)))</f>
        <v>Female</v>
      </c>
      <c r="G389" s="20" t="str">
        <f>IF(ISBLANK($E389),"",INDEX(Sheet1!$A:$J,MATCH(Index_Match!$E389,Sheet1!$A:$A,0),MATCH(Index_Match!G$1,Sheet1!$A$1:$J$1,0)))</f>
        <v>Interpreter</v>
      </c>
      <c r="H389" s="20" t="str">
        <f>IF(ISBLANK($E389),"",INDEX(Sheet1!$A:$J,MATCH(Index_Match!$E389,Sheet1!$A:$A,0),MATCH(Index_Match!H$1,Sheet1!$A$1:$J$1,0)))</f>
        <v>Single</v>
      </c>
      <c r="I389" s="23">
        <f>IF(ISBLANK($E389),"",INDEX(Sheet1!$A:$J,MATCH(Index_Match!$E389,Sheet1!$A:$A,0),MATCH(Index_Match!I$1,Sheet1!$A$1:$J$1,0)))</f>
        <v>5</v>
      </c>
      <c r="J389" s="20" t="str">
        <f>IF(ISBLANK($E389),"",INDEX(Sheet1!$A:$J,MATCH(Index_Match!$E389,Sheet1!$A:$A,0),MATCH(Index_Match!J$1,Sheet1!$A$1:$J$1,0)))</f>
        <v>Julia Harrison</v>
      </c>
      <c r="K389" s="23">
        <f>IF(ISBLANK($E389),"",INDEX(Sheet1!$A:$J,MATCH(Index_Match!$E389,Sheet1!$A:$A,0),MATCH(Index_Match!K$1,Sheet1!$A$1:$J$1,0)))</f>
        <v>5</v>
      </c>
      <c r="L389" s="20" t="str">
        <f>IF(ISBLANK($E389),"",INDEX(Sheet1!$A:$J,MATCH(Index_Match!$E389,Sheet1!$A:$A,0),MATCH(Index_Match!L$1,Sheet1!$A$1:$J$1,0)))</f>
        <v>Harrison</v>
      </c>
      <c r="M389" s="20" t="str">
        <f>IF(ISBLANK($E389),"",INDEX(Sheet1!$A:$J,MATCH(Index_Match!$E389,Sheet1!$A:$A,0),MATCH(Index_Match!M$1,Sheet1!$A$1:$J$1,0)))</f>
        <v>Young</v>
      </c>
    </row>
    <row r="390" spans="2:13" x14ac:dyDescent="0.25">
      <c r="B390" s="20"/>
      <c r="C390" s="20"/>
      <c r="D390" s="20"/>
      <c r="E390" s="20" t="str">
        <v>Emily</v>
      </c>
      <c r="F390" s="20" t="str">
        <f>IF(ISBLANK($E390),"",INDEX(Sheet1!$A:$J,MATCH(Index_Match!$E390,Sheet1!$A:$A,0),MATCH(Index_Match!F$1,Sheet1!$A$1:$J$1,0)))</f>
        <v>Female</v>
      </c>
      <c r="G390" s="20" t="str">
        <f>IF(ISBLANK($E390),"",INDEX(Sheet1!$A:$J,MATCH(Index_Match!$E390,Sheet1!$A:$A,0),MATCH(Index_Match!G$1,Sheet1!$A$1:$J$1,0)))</f>
        <v>Lawyer</v>
      </c>
      <c r="H390" s="20" t="str">
        <f>IF(ISBLANK($E390),"",INDEX(Sheet1!$A:$J,MATCH(Index_Match!$E390,Sheet1!$A:$A,0),MATCH(Index_Match!H$1,Sheet1!$A$1:$J$1,0)))</f>
        <v>Single</v>
      </c>
      <c r="I390" s="23">
        <f>IF(ISBLANK($E390),"",INDEX(Sheet1!$A:$J,MATCH(Index_Match!$E390,Sheet1!$A:$A,0),MATCH(Index_Match!I$1,Sheet1!$A$1:$J$1,0)))</f>
        <v>0</v>
      </c>
      <c r="J390" s="20" t="str">
        <f>IF(ISBLANK($E390),"",INDEX(Sheet1!$A:$J,MATCH(Index_Match!$E390,Sheet1!$A:$A,0),MATCH(Index_Match!J$1,Sheet1!$A$1:$J$1,0)))</f>
        <v>Emily Chapman</v>
      </c>
      <c r="K390" s="23">
        <f>IF(ISBLANK($E390),"",INDEX(Sheet1!$A:$J,MATCH(Index_Match!$E390,Sheet1!$A:$A,0),MATCH(Index_Match!K$1,Sheet1!$A$1:$J$1,0)))</f>
        <v>0</v>
      </c>
      <c r="L390" s="20" t="str">
        <f>IF(ISBLANK($E390),"",INDEX(Sheet1!$A:$J,MATCH(Index_Match!$E390,Sheet1!$A:$A,0),MATCH(Index_Match!L$1,Sheet1!$A$1:$J$1,0)))</f>
        <v>Chapman</v>
      </c>
      <c r="M390" s="20" t="str">
        <f>IF(ISBLANK($E390),"",INDEX(Sheet1!$A:$J,MATCH(Index_Match!$E390,Sheet1!$A:$A,0),MATCH(Index_Match!M$1,Sheet1!$A$1:$J$1,0)))</f>
        <v>Middle Age</v>
      </c>
    </row>
    <row r="391" spans="2:13" x14ac:dyDescent="0.25">
      <c r="B391" s="20"/>
      <c r="C391" s="20"/>
      <c r="D391" s="20"/>
      <c r="E391" s="20" t="str">
        <v>Rubie</v>
      </c>
      <c r="F391" s="20" t="str">
        <f>IF(ISBLANK($E391),"",INDEX(Sheet1!$A:$J,MATCH(Index_Match!$E391,Sheet1!$A:$A,0),MATCH(Index_Match!F$1,Sheet1!$A$1:$J$1,0)))</f>
        <v>Female</v>
      </c>
      <c r="G391" s="20" t="str">
        <f>IF(ISBLANK($E391),"",INDEX(Sheet1!$A:$J,MATCH(Index_Match!$E391,Sheet1!$A:$A,0),MATCH(Index_Match!G$1,Sheet1!$A$1:$J$1,0)))</f>
        <v>Auditor</v>
      </c>
      <c r="H391" s="20" t="str">
        <f>IF(ISBLANK($E391),"",INDEX(Sheet1!$A:$J,MATCH(Index_Match!$E391,Sheet1!$A:$A,0),MATCH(Index_Match!H$1,Sheet1!$A$1:$J$1,0)))</f>
        <v>Single</v>
      </c>
      <c r="I391" s="23">
        <f>IF(ISBLANK($E391),"",INDEX(Sheet1!$A:$J,MATCH(Index_Match!$E391,Sheet1!$A:$A,0),MATCH(Index_Match!I$1,Sheet1!$A$1:$J$1,0)))</f>
        <v>1</v>
      </c>
      <c r="J391" s="20" t="str">
        <f>IF(ISBLANK($E391),"",INDEX(Sheet1!$A:$J,MATCH(Index_Match!$E391,Sheet1!$A:$A,0),MATCH(Index_Match!J$1,Sheet1!$A$1:$J$1,0)))</f>
        <v>Rubie Clark</v>
      </c>
      <c r="K391" s="23">
        <f>IF(ISBLANK($E391),"",INDEX(Sheet1!$A:$J,MATCH(Index_Match!$E391,Sheet1!$A:$A,0),MATCH(Index_Match!K$1,Sheet1!$A$1:$J$1,0)))</f>
        <v>1</v>
      </c>
      <c r="L391" s="20" t="str">
        <f>IF(ISBLANK($E391),"",INDEX(Sheet1!$A:$J,MATCH(Index_Match!$E391,Sheet1!$A:$A,0),MATCH(Index_Match!L$1,Sheet1!$A$1:$J$1,0)))</f>
        <v>Clark</v>
      </c>
      <c r="M391" s="20" t="str">
        <f>IF(ISBLANK($E391),"",INDEX(Sheet1!$A:$J,MATCH(Index_Match!$E391,Sheet1!$A:$A,0),MATCH(Index_Match!M$1,Sheet1!$A$1:$J$1,0)))</f>
        <v>Young</v>
      </c>
    </row>
    <row r="392" spans="2:13" x14ac:dyDescent="0.25">
      <c r="B392" s="20"/>
      <c r="C392" s="20"/>
      <c r="D392" s="20"/>
      <c r="E392" s="20" t="str">
        <v>Miley</v>
      </c>
      <c r="F392" s="20" t="str">
        <f>IF(ISBLANK($E392),"",INDEX(Sheet1!$A:$J,MATCH(Index_Match!$E392,Sheet1!$A:$A,0),MATCH(Index_Match!F$1,Sheet1!$A$1:$J$1,0)))</f>
        <v>Female</v>
      </c>
      <c r="G392" s="20" t="str">
        <f>IF(ISBLANK($E392),"",INDEX(Sheet1!$A:$J,MATCH(Index_Match!$E392,Sheet1!$A:$A,0),MATCH(Index_Match!G$1,Sheet1!$A$1:$J$1,0)))</f>
        <v>Geologist</v>
      </c>
      <c r="H392" s="20" t="str">
        <f>IF(ISBLANK($E392),"",INDEX(Sheet1!$A:$J,MATCH(Index_Match!$E392,Sheet1!$A:$A,0),MATCH(Index_Match!H$1,Sheet1!$A$1:$J$1,0)))</f>
        <v>Single</v>
      </c>
      <c r="I392" s="23">
        <f>IF(ISBLANK($E392),"",INDEX(Sheet1!$A:$J,MATCH(Index_Match!$E392,Sheet1!$A:$A,0),MATCH(Index_Match!I$1,Sheet1!$A$1:$J$1,0)))</f>
        <v>5</v>
      </c>
      <c r="J392" s="20" t="str">
        <f>IF(ISBLANK($E392),"",INDEX(Sheet1!$A:$J,MATCH(Index_Match!$E392,Sheet1!$A:$A,0),MATCH(Index_Match!J$1,Sheet1!$A$1:$J$1,0)))</f>
        <v>Miley Perkins</v>
      </c>
      <c r="K392" s="23">
        <f>IF(ISBLANK($E392),"",INDEX(Sheet1!$A:$J,MATCH(Index_Match!$E392,Sheet1!$A:$A,0),MATCH(Index_Match!K$1,Sheet1!$A$1:$J$1,0)))</f>
        <v>5</v>
      </c>
      <c r="L392" s="20" t="str">
        <f>IF(ISBLANK($E392),"",INDEX(Sheet1!$A:$J,MATCH(Index_Match!$E392,Sheet1!$A:$A,0),MATCH(Index_Match!L$1,Sheet1!$A$1:$J$1,0)))</f>
        <v>Perkins</v>
      </c>
      <c r="M392" s="20" t="str">
        <f>IF(ISBLANK($E392),"",INDEX(Sheet1!$A:$J,MATCH(Index_Match!$E392,Sheet1!$A:$A,0),MATCH(Index_Match!M$1,Sheet1!$A$1:$J$1,0)))</f>
        <v>Middle Age</v>
      </c>
    </row>
    <row r="393" spans="2:13" x14ac:dyDescent="0.25">
      <c r="B393" s="20"/>
      <c r="C393" s="20"/>
      <c r="D393" s="20"/>
      <c r="E393" s="20" t="str">
        <v>Sarah</v>
      </c>
      <c r="F393" s="20" t="str">
        <f>IF(ISBLANK($E393),"",INDEX(Sheet1!$A:$J,MATCH(Index_Match!$E393,Sheet1!$A:$A,0),MATCH(Index_Match!F$1,Sheet1!$A$1:$J$1,0)))</f>
        <v>Female</v>
      </c>
      <c r="G393" s="20" t="str">
        <f>IF(ISBLANK($E393),"",INDEX(Sheet1!$A:$J,MATCH(Index_Match!$E393,Sheet1!$A:$A,0),MATCH(Index_Match!G$1,Sheet1!$A$1:$J$1,0)))</f>
        <v>Lecturer</v>
      </c>
      <c r="H393" s="20" t="str">
        <f>IF(ISBLANK($E393),"",INDEX(Sheet1!$A:$J,MATCH(Index_Match!$E393,Sheet1!$A:$A,0),MATCH(Index_Match!H$1,Sheet1!$A$1:$J$1,0)))</f>
        <v>Single</v>
      </c>
      <c r="I393" s="23">
        <f>IF(ISBLANK($E393),"",INDEX(Sheet1!$A:$J,MATCH(Index_Match!$E393,Sheet1!$A:$A,0),MATCH(Index_Match!I$1,Sheet1!$A$1:$J$1,0)))</f>
        <v>4</v>
      </c>
      <c r="J393" s="20" t="str">
        <f>IF(ISBLANK($E393),"",INDEX(Sheet1!$A:$J,MATCH(Index_Match!$E393,Sheet1!$A:$A,0),MATCH(Index_Match!J$1,Sheet1!$A$1:$J$1,0)))</f>
        <v>Sarah Stevens</v>
      </c>
      <c r="K393" s="23">
        <f>IF(ISBLANK($E393),"",INDEX(Sheet1!$A:$J,MATCH(Index_Match!$E393,Sheet1!$A:$A,0),MATCH(Index_Match!K$1,Sheet1!$A$1:$J$1,0)))</f>
        <v>4</v>
      </c>
      <c r="L393" s="20" t="str">
        <f>IF(ISBLANK($E393),"",INDEX(Sheet1!$A:$J,MATCH(Index_Match!$E393,Sheet1!$A:$A,0),MATCH(Index_Match!L$1,Sheet1!$A$1:$J$1,0)))</f>
        <v>Stevens</v>
      </c>
      <c r="M393" s="20" t="str">
        <f>IF(ISBLANK($E393),"",INDEX(Sheet1!$A:$J,MATCH(Index_Match!$E393,Sheet1!$A:$A,0),MATCH(Index_Match!M$1,Sheet1!$A$1:$J$1,0)))</f>
        <v>Middle Age</v>
      </c>
    </row>
    <row r="394" spans="2:13" x14ac:dyDescent="0.25">
      <c r="B394" s="20"/>
      <c r="C394" s="20"/>
      <c r="D394" s="20"/>
      <c r="E394" s="20" t="str">
        <v>Violet</v>
      </c>
      <c r="F394" s="20" t="str">
        <f>IF(ISBLANK($E394),"",INDEX(Sheet1!$A:$J,MATCH(Index_Match!$E394,Sheet1!$A:$A,0),MATCH(Index_Match!F$1,Sheet1!$A$1:$J$1,0)))</f>
        <v>Female</v>
      </c>
      <c r="G394" s="20" t="str">
        <f>IF(ISBLANK($E394),"",INDEX(Sheet1!$A:$J,MATCH(Index_Match!$E394,Sheet1!$A:$A,0),MATCH(Index_Match!G$1,Sheet1!$A$1:$J$1,0)))</f>
        <v>Driver</v>
      </c>
      <c r="H394" s="20" t="str">
        <f>IF(ISBLANK($E394),"",INDEX(Sheet1!$A:$J,MATCH(Index_Match!$E394,Sheet1!$A:$A,0),MATCH(Index_Match!H$1,Sheet1!$A$1:$J$1,0)))</f>
        <v>Married</v>
      </c>
      <c r="I394" s="23">
        <f>IF(ISBLANK($E394),"",INDEX(Sheet1!$A:$J,MATCH(Index_Match!$E394,Sheet1!$A:$A,0),MATCH(Index_Match!I$1,Sheet1!$A$1:$J$1,0)))</f>
        <v>2</v>
      </c>
      <c r="J394" s="20" t="str">
        <f>IF(ISBLANK($E394),"",INDEX(Sheet1!$A:$J,MATCH(Index_Match!$E394,Sheet1!$A:$A,0),MATCH(Index_Match!J$1,Sheet1!$A$1:$J$1,0)))</f>
        <v>Violet Cooper</v>
      </c>
      <c r="K394" s="23">
        <f>IF(ISBLANK($E394),"",INDEX(Sheet1!$A:$J,MATCH(Index_Match!$E394,Sheet1!$A:$A,0),MATCH(Index_Match!K$1,Sheet1!$A$1:$J$1,0)))</f>
        <v>2</v>
      </c>
      <c r="L394" s="20" t="str">
        <f>IF(ISBLANK($E394),"",INDEX(Sheet1!$A:$J,MATCH(Index_Match!$E394,Sheet1!$A:$A,0),MATCH(Index_Match!L$1,Sheet1!$A$1:$J$1,0)))</f>
        <v>Cooper</v>
      </c>
      <c r="M394" s="20" t="str">
        <f>IF(ISBLANK($E394),"",INDEX(Sheet1!$A:$J,MATCH(Index_Match!$E394,Sheet1!$A:$A,0),MATCH(Index_Match!M$1,Sheet1!$A$1:$J$1,0)))</f>
        <v>Old</v>
      </c>
    </row>
    <row r="395" spans="2:13" x14ac:dyDescent="0.25">
      <c r="B395" s="20"/>
      <c r="C395" s="20"/>
      <c r="D395" s="20"/>
      <c r="E395" s="20" t="str">
        <v>April</v>
      </c>
      <c r="F395" s="20" t="str">
        <f>IF(ISBLANK($E395),"",INDEX(Sheet1!$A:$J,MATCH(Index_Match!$E395,Sheet1!$A:$A,0),MATCH(Index_Match!F$1,Sheet1!$A$1:$J$1,0)))</f>
        <v>Female</v>
      </c>
      <c r="G395" s="20" t="str">
        <f>IF(ISBLANK($E395),"",INDEX(Sheet1!$A:$J,MATCH(Index_Match!$E395,Sheet1!$A:$A,0),MATCH(Index_Match!G$1,Sheet1!$A$1:$J$1,0)))</f>
        <v>Fashion Designer</v>
      </c>
      <c r="H395" s="20" t="str">
        <f>IF(ISBLANK($E395),"",INDEX(Sheet1!$A:$J,MATCH(Index_Match!$E395,Sheet1!$A:$A,0),MATCH(Index_Match!H$1,Sheet1!$A$1:$J$1,0)))</f>
        <v>Married</v>
      </c>
      <c r="I395" s="23">
        <f>IF(ISBLANK($E395),"",INDEX(Sheet1!$A:$J,MATCH(Index_Match!$E395,Sheet1!$A:$A,0),MATCH(Index_Match!I$1,Sheet1!$A$1:$J$1,0)))</f>
        <v>3</v>
      </c>
      <c r="J395" s="20" t="str">
        <f>IF(ISBLANK($E395),"",INDEX(Sheet1!$A:$J,MATCH(Index_Match!$E395,Sheet1!$A:$A,0),MATCH(Index_Match!J$1,Sheet1!$A$1:$J$1,0)))</f>
        <v>April Kelley</v>
      </c>
      <c r="K395" s="23">
        <f>IF(ISBLANK($E395),"",INDEX(Sheet1!$A:$J,MATCH(Index_Match!$E395,Sheet1!$A:$A,0),MATCH(Index_Match!K$1,Sheet1!$A$1:$J$1,0)))</f>
        <v>3</v>
      </c>
      <c r="L395" s="20" t="str">
        <f>IF(ISBLANK($E395),"",INDEX(Sheet1!$A:$J,MATCH(Index_Match!$E395,Sheet1!$A:$A,0),MATCH(Index_Match!L$1,Sheet1!$A$1:$J$1,0)))</f>
        <v>Kelley</v>
      </c>
      <c r="M395" s="20" t="str">
        <f>IF(ISBLANK($E395),"",INDEX(Sheet1!$A:$J,MATCH(Index_Match!$E395,Sheet1!$A:$A,0),MATCH(Index_Match!M$1,Sheet1!$A$1:$J$1,0)))</f>
        <v>Old</v>
      </c>
    </row>
    <row r="396" spans="2:13" x14ac:dyDescent="0.25">
      <c r="B396" s="20"/>
      <c r="C396" s="20"/>
      <c r="D396" s="20"/>
      <c r="E396" s="20" t="str">
        <v>Brooke</v>
      </c>
      <c r="F396" s="20" t="str">
        <f>IF(ISBLANK($E396),"",INDEX(Sheet1!$A:$J,MATCH(Index_Match!$E396,Sheet1!$A:$A,0),MATCH(Index_Match!F$1,Sheet1!$A$1:$J$1,0)))</f>
        <v>Female</v>
      </c>
      <c r="G396" s="20" t="str">
        <f>IF(ISBLANK($E396),"",INDEX(Sheet1!$A:$J,MATCH(Index_Match!$E396,Sheet1!$A:$A,0),MATCH(Index_Match!G$1,Sheet1!$A$1:$J$1,0)))</f>
        <v>Singer</v>
      </c>
      <c r="H396" s="20" t="str">
        <f>IF(ISBLANK($E396),"",INDEX(Sheet1!$A:$J,MATCH(Index_Match!$E396,Sheet1!$A:$A,0),MATCH(Index_Match!H$1,Sheet1!$A$1:$J$1,0)))</f>
        <v>Single</v>
      </c>
      <c r="I396" s="23">
        <f>IF(ISBLANK($E396),"",INDEX(Sheet1!$A:$J,MATCH(Index_Match!$E396,Sheet1!$A:$A,0),MATCH(Index_Match!I$1,Sheet1!$A$1:$J$1,0)))</f>
        <v>0</v>
      </c>
      <c r="J396" s="20" t="str">
        <f>IF(ISBLANK($E396),"",INDEX(Sheet1!$A:$J,MATCH(Index_Match!$E396,Sheet1!$A:$A,0),MATCH(Index_Match!J$1,Sheet1!$A$1:$J$1,0)))</f>
        <v>Brooke Crawford</v>
      </c>
      <c r="K396" s="23">
        <f>IF(ISBLANK($E396),"",INDEX(Sheet1!$A:$J,MATCH(Index_Match!$E396,Sheet1!$A:$A,0),MATCH(Index_Match!K$1,Sheet1!$A$1:$J$1,0)))</f>
        <v>0</v>
      </c>
      <c r="L396" s="20" t="str">
        <f>IF(ISBLANK($E396),"",INDEX(Sheet1!$A:$J,MATCH(Index_Match!$E396,Sheet1!$A:$A,0),MATCH(Index_Match!L$1,Sheet1!$A$1:$J$1,0)))</f>
        <v>Crawford</v>
      </c>
      <c r="M396" s="20" t="str">
        <f>IF(ISBLANK($E396),"",INDEX(Sheet1!$A:$J,MATCH(Index_Match!$E396,Sheet1!$A:$A,0),MATCH(Index_Match!M$1,Sheet1!$A$1:$J$1,0)))</f>
        <v>Middle Age</v>
      </c>
    </row>
    <row r="397" spans="2:13" x14ac:dyDescent="0.25">
      <c r="B397" s="20"/>
      <c r="C397" s="20"/>
      <c r="D397" s="20"/>
      <c r="E397" s="20" t="str">
        <v>Agata</v>
      </c>
      <c r="F397" s="20" t="str">
        <f>IF(ISBLANK($E397),"",INDEX(Sheet1!$A:$J,MATCH(Index_Match!$E397,Sheet1!$A:$A,0),MATCH(Index_Match!F$1,Sheet1!$A$1:$J$1,0)))</f>
        <v>Female</v>
      </c>
      <c r="G397" s="20" t="str">
        <f>IF(ISBLANK($E397),"",INDEX(Sheet1!$A:$J,MATCH(Index_Match!$E397,Sheet1!$A:$A,0),MATCH(Index_Match!G$1,Sheet1!$A$1:$J$1,0)))</f>
        <v>Meteorologist</v>
      </c>
      <c r="H397" s="20" t="str">
        <f>IF(ISBLANK($E397),"",INDEX(Sheet1!$A:$J,MATCH(Index_Match!$E397,Sheet1!$A:$A,0),MATCH(Index_Match!H$1,Sheet1!$A$1:$J$1,0)))</f>
        <v>Single</v>
      </c>
      <c r="I397" s="23">
        <f>IF(ISBLANK($E397),"",INDEX(Sheet1!$A:$J,MATCH(Index_Match!$E397,Sheet1!$A:$A,0),MATCH(Index_Match!I$1,Sheet1!$A$1:$J$1,0)))</f>
        <v>0</v>
      </c>
      <c r="J397" s="20" t="str">
        <f>IF(ISBLANK($E397),"",INDEX(Sheet1!$A:$J,MATCH(Index_Match!$E397,Sheet1!$A:$A,0),MATCH(Index_Match!J$1,Sheet1!$A$1:$J$1,0)))</f>
        <v>Agata Adams</v>
      </c>
      <c r="K397" s="23">
        <f>IF(ISBLANK($E397),"",INDEX(Sheet1!$A:$J,MATCH(Index_Match!$E397,Sheet1!$A:$A,0),MATCH(Index_Match!K$1,Sheet1!$A$1:$J$1,0)))</f>
        <v>0</v>
      </c>
      <c r="L397" s="20" t="str">
        <f>IF(ISBLANK($E397),"",INDEX(Sheet1!$A:$J,MATCH(Index_Match!$E397,Sheet1!$A:$A,0),MATCH(Index_Match!L$1,Sheet1!$A$1:$J$1,0)))</f>
        <v>Adams</v>
      </c>
      <c r="M397" s="20" t="str">
        <f>IF(ISBLANK($E397),"",INDEX(Sheet1!$A:$J,MATCH(Index_Match!$E397,Sheet1!$A:$A,0),MATCH(Index_Match!M$1,Sheet1!$A$1:$J$1,0)))</f>
        <v>Young</v>
      </c>
    </row>
    <row r="398" spans="2:13" x14ac:dyDescent="0.25">
      <c r="B398" s="20"/>
      <c r="C398" s="20"/>
      <c r="D398" s="20"/>
      <c r="E398" s="20" t="str">
        <v>Naomi</v>
      </c>
      <c r="F398" s="20" t="str">
        <f>IF(ISBLANK($E398),"",INDEX(Sheet1!$A:$J,MATCH(Index_Match!$E398,Sheet1!$A:$A,0),MATCH(Index_Match!F$1,Sheet1!$A$1:$J$1,0)))</f>
        <v>Female</v>
      </c>
      <c r="G398" s="20" t="str">
        <f>IF(ISBLANK($E398),"",INDEX(Sheet1!$A:$J,MATCH(Index_Match!$E398,Sheet1!$A:$A,0),MATCH(Index_Match!G$1,Sheet1!$A$1:$J$1,0)))</f>
        <v>Photographer</v>
      </c>
      <c r="H398" s="20" t="str">
        <f>IF(ISBLANK($E398),"",INDEX(Sheet1!$A:$J,MATCH(Index_Match!$E398,Sheet1!$A:$A,0),MATCH(Index_Match!H$1,Sheet1!$A$1:$J$1,0)))</f>
        <v>Single</v>
      </c>
      <c r="I398" s="23">
        <f>IF(ISBLANK($E398),"",INDEX(Sheet1!$A:$J,MATCH(Index_Match!$E398,Sheet1!$A:$A,0),MATCH(Index_Match!I$1,Sheet1!$A$1:$J$1,0)))</f>
        <v>3</v>
      </c>
      <c r="J398" s="20" t="str">
        <f>IF(ISBLANK($E398),"",INDEX(Sheet1!$A:$J,MATCH(Index_Match!$E398,Sheet1!$A:$A,0),MATCH(Index_Match!J$1,Sheet1!$A$1:$J$1,0)))</f>
        <v>Naomi Barrett</v>
      </c>
      <c r="K398" s="23">
        <f>IF(ISBLANK($E398),"",INDEX(Sheet1!$A:$J,MATCH(Index_Match!$E398,Sheet1!$A:$A,0),MATCH(Index_Match!K$1,Sheet1!$A$1:$J$1,0)))</f>
        <v>3</v>
      </c>
      <c r="L398" s="20" t="str">
        <f>IF(ISBLANK($E398),"",INDEX(Sheet1!$A:$J,MATCH(Index_Match!$E398,Sheet1!$A:$A,0),MATCH(Index_Match!L$1,Sheet1!$A$1:$J$1,0)))</f>
        <v>Barrett</v>
      </c>
      <c r="M398" s="20" t="str">
        <f>IF(ISBLANK($E398),"",INDEX(Sheet1!$A:$J,MATCH(Index_Match!$E398,Sheet1!$A:$A,0),MATCH(Index_Match!M$1,Sheet1!$A$1:$J$1,0)))</f>
        <v>Middle Age</v>
      </c>
    </row>
    <row r="399" spans="2:13" x14ac:dyDescent="0.25">
      <c r="B399" s="20"/>
      <c r="C399" s="20"/>
      <c r="D399" s="20"/>
      <c r="E399" s="20" t="str">
        <v>Lilianna</v>
      </c>
      <c r="F399" s="20" t="str">
        <f>IF(ISBLANK($E399),"",INDEX(Sheet1!$A:$J,MATCH(Index_Match!$E399,Sheet1!$A:$A,0),MATCH(Index_Match!F$1,Sheet1!$A$1:$J$1,0)))</f>
        <v>Female</v>
      </c>
      <c r="G399" s="20" t="str">
        <f>IF(ISBLANK($E399),"",INDEX(Sheet1!$A:$J,MATCH(Index_Match!$E399,Sheet1!$A:$A,0),MATCH(Index_Match!G$1,Sheet1!$A$1:$J$1,0)))</f>
        <v>Veterinarian</v>
      </c>
      <c r="H399" s="20" t="str">
        <f>IF(ISBLANK($E399),"",INDEX(Sheet1!$A:$J,MATCH(Index_Match!$E399,Sheet1!$A:$A,0),MATCH(Index_Match!H$1,Sheet1!$A$1:$J$1,0)))</f>
        <v>Married</v>
      </c>
      <c r="I399" s="23">
        <f>IF(ISBLANK($E399),"",INDEX(Sheet1!$A:$J,MATCH(Index_Match!$E399,Sheet1!$A:$A,0),MATCH(Index_Match!I$1,Sheet1!$A$1:$J$1,0)))</f>
        <v>4</v>
      </c>
      <c r="J399" s="20" t="str">
        <f>IF(ISBLANK($E399),"",INDEX(Sheet1!$A:$J,MATCH(Index_Match!$E399,Sheet1!$A:$A,0),MATCH(Index_Match!J$1,Sheet1!$A$1:$J$1,0)))</f>
        <v>Lilianna Morrison</v>
      </c>
      <c r="K399" s="23">
        <f>IF(ISBLANK($E399),"",INDEX(Sheet1!$A:$J,MATCH(Index_Match!$E399,Sheet1!$A:$A,0),MATCH(Index_Match!K$1,Sheet1!$A$1:$J$1,0)))</f>
        <v>4</v>
      </c>
      <c r="L399" s="20" t="str">
        <f>IF(ISBLANK($E399),"",INDEX(Sheet1!$A:$J,MATCH(Index_Match!$E399,Sheet1!$A:$A,0),MATCH(Index_Match!L$1,Sheet1!$A$1:$J$1,0)))</f>
        <v>Morrison</v>
      </c>
      <c r="M399" s="20" t="str">
        <f>IF(ISBLANK($E399),"",INDEX(Sheet1!$A:$J,MATCH(Index_Match!$E399,Sheet1!$A:$A,0),MATCH(Index_Match!M$1,Sheet1!$A$1:$J$1,0)))</f>
        <v>Old</v>
      </c>
    </row>
    <row r="400" spans="2:13" x14ac:dyDescent="0.25">
      <c r="B400" s="20"/>
      <c r="C400" s="20"/>
      <c r="D400" s="20"/>
      <c r="E400" s="20" t="str">
        <v>Maddie</v>
      </c>
      <c r="F400" s="20" t="str">
        <f>IF(ISBLANK($E400),"",INDEX(Sheet1!$A:$J,MATCH(Index_Match!$E400,Sheet1!$A:$A,0),MATCH(Index_Match!F$1,Sheet1!$A$1:$J$1,0)))</f>
        <v>Female</v>
      </c>
      <c r="G400" s="20" t="str">
        <f>IF(ISBLANK($E400),"",INDEX(Sheet1!$A:$J,MATCH(Index_Match!$E400,Sheet1!$A:$A,0),MATCH(Index_Match!G$1,Sheet1!$A$1:$J$1,0)))</f>
        <v>Engineer</v>
      </c>
      <c r="H400" s="20" t="str">
        <f>IF(ISBLANK($E400),"",INDEX(Sheet1!$A:$J,MATCH(Index_Match!$E400,Sheet1!$A:$A,0),MATCH(Index_Match!H$1,Sheet1!$A$1:$J$1,0)))</f>
        <v>Single</v>
      </c>
      <c r="I400" s="23">
        <f>IF(ISBLANK($E400),"",INDEX(Sheet1!$A:$J,MATCH(Index_Match!$E400,Sheet1!$A:$A,0),MATCH(Index_Match!I$1,Sheet1!$A$1:$J$1,0)))</f>
        <v>5</v>
      </c>
      <c r="J400" s="20" t="str">
        <f>IF(ISBLANK($E400),"",INDEX(Sheet1!$A:$J,MATCH(Index_Match!$E400,Sheet1!$A:$A,0),MATCH(Index_Match!J$1,Sheet1!$A$1:$J$1,0)))</f>
        <v>Maddie Hamilton</v>
      </c>
      <c r="K400" s="23">
        <f>IF(ISBLANK($E400),"",INDEX(Sheet1!$A:$J,MATCH(Index_Match!$E400,Sheet1!$A:$A,0),MATCH(Index_Match!K$1,Sheet1!$A$1:$J$1,0)))</f>
        <v>5</v>
      </c>
      <c r="L400" s="20" t="str">
        <f>IF(ISBLANK($E400),"",INDEX(Sheet1!$A:$J,MATCH(Index_Match!$E400,Sheet1!$A:$A,0),MATCH(Index_Match!L$1,Sheet1!$A$1:$J$1,0)))</f>
        <v>Hamilton</v>
      </c>
      <c r="M400" s="20" t="str">
        <f>IF(ISBLANK($E400),"",INDEX(Sheet1!$A:$J,MATCH(Index_Match!$E400,Sheet1!$A:$A,0),MATCH(Index_Match!M$1,Sheet1!$A$1:$J$1,0)))</f>
        <v>Middle Age</v>
      </c>
    </row>
    <row r="401" spans="2:13" x14ac:dyDescent="0.25">
      <c r="B401" s="20"/>
      <c r="C401" s="20"/>
      <c r="D401" s="20"/>
      <c r="E401" s="20" t="str">
        <v>April</v>
      </c>
      <c r="F401" s="20" t="str">
        <f>IF(ISBLANK($E401),"",INDEX(Sheet1!$A:$J,MATCH(Index_Match!$E401,Sheet1!$A:$A,0),MATCH(Index_Match!F$1,Sheet1!$A$1:$J$1,0)))</f>
        <v>Female</v>
      </c>
      <c r="G401" s="20" t="str">
        <f>IF(ISBLANK($E401),"",INDEX(Sheet1!$A:$J,MATCH(Index_Match!$E401,Sheet1!$A:$A,0),MATCH(Index_Match!G$1,Sheet1!$A$1:$J$1,0)))</f>
        <v>Fashion Designer</v>
      </c>
      <c r="H401" s="20" t="str">
        <f>IF(ISBLANK($E401),"",INDEX(Sheet1!$A:$J,MATCH(Index_Match!$E401,Sheet1!$A:$A,0),MATCH(Index_Match!H$1,Sheet1!$A$1:$J$1,0)))</f>
        <v>Married</v>
      </c>
      <c r="I401" s="23">
        <f>IF(ISBLANK($E401),"",INDEX(Sheet1!$A:$J,MATCH(Index_Match!$E401,Sheet1!$A:$A,0),MATCH(Index_Match!I$1,Sheet1!$A$1:$J$1,0)))</f>
        <v>3</v>
      </c>
      <c r="J401" s="20" t="str">
        <f>IF(ISBLANK($E401),"",INDEX(Sheet1!$A:$J,MATCH(Index_Match!$E401,Sheet1!$A:$A,0),MATCH(Index_Match!J$1,Sheet1!$A$1:$J$1,0)))</f>
        <v>April Kelley</v>
      </c>
      <c r="K401" s="23">
        <f>IF(ISBLANK($E401),"",INDEX(Sheet1!$A:$J,MATCH(Index_Match!$E401,Sheet1!$A:$A,0),MATCH(Index_Match!K$1,Sheet1!$A$1:$J$1,0)))</f>
        <v>3</v>
      </c>
      <c r="L401" s="20" t="str">
        <f>IF(ISBLANK($E401),"",INDEX(Sheet1!$A:$J,MATCH(Index_Match!$E401,Sheet1!$A:$A,0),MATCH(Index_Match!L$1,Sheet1!$A$1:$J$1,0)))</f>
        <v>Kelley</v>
      </c>
      <c r="M401" s="20" t="str">
        <f>IF(ISBLANK($E401),"",INDEX(Sheet1!$A:$J,MATCH(Index_Match!$E401,Sheet1!$A:$A,0),MATCH(Index_Match!M$1,Sheet1!$A$1:$J$1,0)))</f>
        <v>Old</v>
      </c>
    </row>
    <row r="402" spans="2:13" x14ac:dyDescent="0.25">
      <c r="B402" s="20"/>
      <c r="C402" s="20"/>
      <c r="D402" s="20"/>
      <c r="E402" s="20" t="str">
        <v>Aida</v>
      </c>
      <c r="F402" s="20" t="str">
        <f>IF(ISBLANK($E402),"",INDEX(Sheet1!$A:$J,MATCH(Index_Match!$E402,Sheet1!$A:$A,0),MATCH(Index_Match!F$1,Sheet1!$A$1:$J$1,0)))</f>
        <v>Female</v>
      </c>
      <c r="G402" s="20" t="str">
        <f>IF(ISBLANK($E402),"",INDEX(Sheet1!$A:$J,MATCH(Index_Match!$E402,Sheet1!$A:$A,0),MATCH(Index_Match!G$1,Sheet1!$A$1:$J$1,0)))</f>
        <v>Social Worker</v>
      </c>
      <c r="H402" s="20" t="str">
        <f>IF(ISBLANK($E402),"",INDEX(Sheet1!$A:$J,MATCH(Index_Match!$E402,Sheet1!$A:$A,0),MATCH(Index_Match!H$1,Sheet1!$A$1:$J$1,0)))</f>
        <v>Single</v>
      </c>
      <c r="I402" s="23">
        <f>IF(ISBLANK($E402),"",INDEX(Sheet1!$A:$J,MATCH(Index_Match!$E402,Sheet1!$A:$A,0),MATCH(Index_Match!I$1,Sheet1!$A$1:$J$1,0)))</f>
        <v>4</v>
      </c>
      <c r="J402" s="20" t="str">
        <f>IF(ISBLANK($E402),"",INDEX(Sheet1!$A:$J,MATCH(Index_Match!$E402,Sheet1!$A:$A,0),MATCH(Index_Match!J$1,Sheet1!$A$1:$J$1,0)))</f>
        <v>Aida Edwards</v>
      </c>
      <c r="K402" s="23">
        <f>IF(ISBLANK($E402),"",INDEX(Sheet1!$A:$J,MATCH(Index_Match!$E402,Sheet1!$A:$A,0),MATCH(Index_Match!K$1,Sheet1!$A$1:$J$1,0)))</f>
        <v>4</v>
      </c>
      <c r="L402" s="20" t="str">
        <f>IF(ISBLANK($E402),"",INDEX(Sheet1!$A:$J,MATCH(Index_Match!$E402,Sheet1!$A:$A,0),MATCH(Index_Match!L$1,Sheet1!$A$1:$J$1,0)))</f>
        <v>Edwards</v>
      </c>
      <c r="M402" s="20" t="str">
        <f>IF(ISBLANK($E402),"",INDEX(Sheet1!$A:$J,MATCH(Index_Match!$E402,Sheet1!$A:$A,0),MATCH(Index_Match!M$1,Sheet1!$A$1:$J$1,0)))</f>
        <v>Young</v>
      </c>
    </row>
    <row r="403" spans="2:13" x14ac:dyDescent="0.25">
      <c r="B403" s="20"/>
      <c r="C403" s="20"/>
      <c r="D403" s="20"/>
      <c r="E403" s="20" t="str">
        <v>Vivian</v>
      </c>
      <c r="F403" s="20" t="str">
        <f>IF(ISBLANK($E403),"",INDEX(Sheet1!$A:$J,MATCH(Index_Match!$E403,Sheet1!$A:$A,0),MATCH(Index_Match!F$1,Sheet1!$A$1:$J$1,0)))</f>
        <v>Female</v>
      </c>
      <c r="G403" s="20" t="str">
        <f>IF(ISBLANK($E403),"",INDEX(Sheet1!$A:$J,MATCH(Index_Match!$E403,Sheet1!$A:$A,0),MATCH(Index_Match!G$1,Sheet1!$A$1:$J$1,0)))</f>
        <v>Fine Artist</v>
      </c>
      <c r="H403" s="20" t="str">
        <f>IF(ISBLANK($E403),"",INDEX(Sheet1!$A:$J,MATCH(Index_Match!$E403,Sheet1!$A:$A,0),MATCH(Index_Match!H$1,Sheet1!$A$1:$J$1,0)))</f>
        <v>Married</v>
      </c>
      <c r="I403" s="23">
        <f>IF(ISBLANK($E403),"",INDEX(Sheet1!$A:$J,MATCH(Index_Match!$E403,Sheet1!$A:$A,0),MATCH(Index_Match!I$1,Sheet1!$A$1:$J$1,0)))</f>
        <v>5</v>
      </c>
      <c r="J403" s="20" t="str">
        <f>IF(ISBLANK($E403),"",INDEX(Sheet1!$A:$J,MATCH(Index_Match!$E403,Sheet1!$A:$A,0),MATCH(Index_Match!J$1,Sheet1!$A$1:$J$1,0)))</f>
        <v>Vivian Edwards</v>
      </c>
      <c r="K403" s="23">
        <f>IF(ISBLANK($E403),"",INDEX(Sheet1!$A:$J,MATCH(Index_Match!$E403,Sheet1!$A:$A,0),MATCH(Index_Match!K$1,Sheet1!$A$1:$J$1,0)))</f>
        <v>5</v>
      </c>
      <c r="L403" s="20" t="str">
        <f>IF(ISBLANK($E403),"",INDEX(Sheet1!$A:$J,MATCH(Index_Match!$E403,Sheet1!$A:$A,0),MATCH(Index_Match!L$1,Sheet1!$A$1:$J$1,0)))</f>
        <v>Edwards</v>
      </c>
      <c r="M403" s="20" t="str">
        <f>IF(ISBLANK($E403),"",INDEX(Sheet1!$A:$J,MATCH(Index_Match!$E403,Sheet1!$A:$A,0),MATCH(Index_Match!M$1,Sheet1!$A$1:$J$1,0)))</f>
        <v>Middle Age</v>
      </c>
    </row>
    <row r="404" spans="2:13" x14ac:dyDescent="0.25">
      <c r="B404" s="20"/>
      <c r="C404" s="20"/>
      <c r="D404" s="20"/>
      <c r="E404" s="20" t="str">
        <v>Emily</v>
      </c>
      <c r="F404" s="20" t="str">
        <f>IF(ISBLANK($E404),"",INDEX(Sheet1!$A:$J,MATCH(Index_Match!$E404,Sheet1!$A:$A,0),MATCH(Index_Match!F$1,Sheet1!$A$1:$J$1,0)))</f>
        <v>Female</v>
      </c>
      <c r="G404" s="20" t="str">
        <f>IF(ISBLANK($E404),"",INDEX(Sheet1!$A:$J,MATCH(Index_Match!$E404,Sheet1!$A:$A,0),MATCH(Index_Match!G$1,Sheet1!$A$1:$J$1,0)))</f>
        <v>Lawyer</v>
      </c>
      <c r="H404" s="20" t="str">
        <f>IF(ISBLANK($E404),"",INDEX(Sheet1!$A:$J,MATCH(Index_Match!$E404,Sheet1!$A:$A,0),MATCH(Index_Match!H$1,Sheet1!$A$1:$J$1,0)))</f>
        <v>Single</v>
      </c>
      <c r="I404" s="23">
        <f>IF(ISBLANK($E404),"",INDEX(Sheet1!$A:$J,MATCH(Index_Match!$E404,Sheet1!$A:$A,0),MATCH(Index_Match!I$1,Sheet1!$A$1:$J$1,0)))</f>
        <v>0</v>
      </c>
      <c r="J404" s="20" t="str">
        <f>IF(ISBLANK($E404),"",INDEX(Sheet1!$A:$J,MATCH(Index_Match!$E404,Sheet1!$A:$A,0),MATCH(Index_Match!J$1,Sheet1!$A$1:$J$1,0)))</f>
        <v>Emily Chapman</v>
      </c>
      <c r="K404" s="23">
        <f>IF(ISBLANK($E404),"",INDEX(Sheet1!$A:$J,MATCH(Index_Match!$E404,Sheet1!$A:$A,0),MATCH(Index_Match!K$1,Sheet1!$A$1:$J$1,0)))</f>
        <v>0</v>
      </c>
      <c r="L404" s="20" t="str">
        <f>IF(ISBLANK($E404),"",INDEX(Sheet1!$A:$J,MATCH(Index_Match!$E404,Sheet1!$A:$A,0),MATCH(Index_Match!L$1,Sheet1!$A$1:$J$1,0)))</f>
        <v>Chapman</v>
      </c>
      <c r="M404" s="20" t="str">
        <f>IF(ISBLANK($E404),"",INDEX(Sheet1!$A:$J,MATCH(Index_Match!$E404,Sheet1!$A:$A,0),MATCH(Index_Match!M$1,Sheet1!$A$1:$J$1,0)))</f>
        <v>Middle Age</v>
      </c>
    </row>
    <row r="405" spans="2:13" x14ac:dyDescent="0.25">
      <c r="B405" s="20"/>
      <c r="C405" s="20"/>
      <c r="D405" s="20"/>
      <c r="E405" s="20" t="str">
        <v>Miley</v>
      </c>
      <c r="F405" s="20" t="str">
        <f>IF(ISBLANK($E405),"",INDEX(Sheet1!$A:$J,MATCH(Index_Match!$E405,Sheet1!$A:$A,0),MATCH(Index_Match!F$1,Sheet1!$A$1:$J$1,0)))</f>
        <v>Female</v>
      </c>
      <c r="G405" s="20" t="str">
        <f>IF(ISBLANK($E405),"",INDEX(Sheet1!$A:$J,MATCH(Index_Match!$E405,Sheet1!$A:$A,0),MATCH(Index_Match!G$1,Sheet1!$A$1:$J$1,0)))</f>
        <v>Geologist</v>
      </c>
      <c r="H405" s="20" t="str">
        <f>IF(ISBLANK($E405),"",INDEX(Sheet1!$A:$J,MATCH(Index_Match!$E405,Sheet1!$A:$A,0),MATCH(Index_Match!H$1,Sheet1!$A$1:$J$1,0)))</f>
        <v>Single</v>
      </c>
      <c r="I405" s="23">
        <f>IF(ISBLANK($E405),"",INDEX(Sheet1!$A:$J,MATCH(Index_Match!$E405,Sheet1!$A:$A,0),MATCH(Index_Match!I$1,Sheet1!$A$1:$J$1,0)))</f>
        <v>5</v>
      </c>
      <c r="J405" s="20" t="str">
        <f>IF(ISBLANK($E405),"",INDEX(Sheet1!$A:$J,MATCH(Index_Match!$E405,Sheet1!$A:$A,0),MATCH(Index_Match!J$1,Sheet1!$A$1:$J$1,0)))</f>
        <v>Miley Perkins</v>
      </c>
      <c r="K405" s="23">
        <f>IF(ISBLANK($E405),"",INDEX(Sheet1!$A:$J,MATCH(Index_Match!$E405,Sheet1!$A:$A,0),MATCH(Index_Match!K$1,Sheet1!$A$1:$J$1,0)))</f>
        <v>5</v>
      </c>
      <c r="L405" s="20" t="str">
        <f>IF(ISBLANK($E405),"",INDEX(Sheet1!$A:$J,MATCH(Index_Match!$E405,Sheet1!$A:$A,0),MATCH(Index_Match!L$1,Sheet1!$A$1:$J$1,0)))</f>
        <v>Perkins</v>
      </c>
      <c r="M405" s="20" t="str">
        <f>IF(ISBLANK($E405),"",INDEX(Sheet1!$A:$J,MATCH(Index_Match!$E405,Sheet1!$A:$A,0),MATCH(Index_Match!M$1,Sheet1!$A$1:$J$1,0)))</f>
        <v>Middle Age</v>
      </c>
    </row>
    <row r="406" spans="2:13" x14ac:dyDescent="0.25">
      <c r="B406" s="20"/>
      <c r="C406" s="20"/>
      <c r="D406" s="20"/>
      <c r="E406" s="20" t="str">
        <v>Fiona</v>
      </c>
      <c r="F406" s="20" t="str">
        <f>IF(ISBLANK($E406),"",INDEX(Sheet1!$A:$J,MATCH(Index_Match!$E406,Sheet1!$A:$A,0),MATCH(Index_Match!F$1,Sheet1!$A$1:$J$1,0)))</f>
        <v>Female</v>
      </c>
      <c r="G406" s="20" t="str">
        <f>IF(ISBLANK($E406),"",INDEX(Sheet1!$A:$J,MATCH(Index_Match!$E406,Sheet1!$A:$A,0),MATCH(Index_Match!G$1,Sheet1!$A$1:$J$1,0)))</f>
        <v>Hairdresser</v>
      </c>
      <c r="H406" s="20" t="str">
        <f>IF(ISBLANK($E406),"",INDEX(Sheet1!$A:$J,MATCH(Index_Match!$E406,Sheet1!$A:$A,0),MATCH(Index_Match!H$1,Sheet1!$A$1:$J$1,0)))</f>
        <v>Married</v>
      </c>
      <c r="I406" s="23">
        <f>IF(ISBLANK($E406),"",INDEX(Sheet1!$A:$J,MATCH(Index_Match!$E406,Sheet1!$A:$A,0),MATCH(Index_Match!I$1,Sheet1!$A$1:$J$1,0)))</f>
        <v>0</v>
      </c>
      <c r="J406" s="20" t="str">
        <f>IF(ISBLANK($E406),"",INDEX(Sheet1!$A:$J,MATCH(Index_Match!$E406,Sheet1!$A:$A,0),MATCH(Index_Match!J$1,Sheet1!$A$1:$J$1,0)))</f>
        <v>Fiona Phillips</v>
      </c>
      <c r="K406" s="23">
        <f>IF(ISBLANK($E406),"",INDEX(Sheet1!$A:$J,MATCH(Index_Match!$E406,Sheet1!$A:$A,0),MATCH(Index_Match!K$1,Sheet1!$A$1:$J$1,0)))</f>
        <v>0</v>
      </c>
      <c r="L406" s="20" t="str">
        <f>IF(ISBLANK($E406),"",INDEX(Sheet1!$A:$J,MATCH(Index_Match!$E406,Sheet1!$A:$A,0),MATCH(Index_Match!L$1,Sheet1!$A$1:$J$1,0)))</f>
        <v>Phillips</v>
      </c>
      <c r="M406" s="20" t="str">
        <f>IF(ISBLANK($E406),"",INDEX(Sheet1!$A:$J,MATCH(Index_Match!$E406,Sheet1!$A:$A,0),MATCH(Index_Match!M$1,Sheet1!$A$1:$J$1,0)))</f>
        <v>Middle Age</v>
      </c>
    </row>
    <row r="407" spans="2:13" x14ac:dyDescent="0.25">
      <c r="B407" s="20"/>
      <c r="C407" s="20"/>
      <c r="D407" s="20"/>
      <c r="E407" s="20" t="str">
        <v>Kirsten</v>
      </c>
      <c r="F407" s="20" t="str">
        <f>IF(ISBLANK($E407),"",INDEX(Sheet1!$A:$J,MATCH(Index_Match!$E407,Sheet1!$A:$A,0),MATCH(Index_Match!F$1,Sheet1!$A$1:$J$1,0)))</f>
        <v>Female</v>
      </c>
      <c r="G407" s="20" t="str">
        <f>IF(ISBLANK($E407),"",INDEX(Sheet1!$A:$J,MATCH(Index_Match!$E407,Sheet1!$A:$A,0),MATCH(Index_Match!G$1,Sheet1!$A$1:$J$1,0)))</f>
        <v>Meteorologist</v>
      </c>
      <c r="H407" s="20" t="str">
        <f>IF(ISBLANK($E407),"",INDEX(Sheet1!$A:$J,MATCH(Index_Match!$E407,Sheet1!$A:$A,0),MATCH(Index_Match!H$1,Sheet1!$A$1:$J$1,0)))</f>
        <v>Single</v>
      </c>
      <c r="I407" s="23">
        <f>IF(ISBLANK($E407),"",INDEX(Sheet1!$A:$J,MATCH(Index_Match!$E407,Sheet1!$A:$A,0),MATCH(Index_Match!I$1,Sheet1!$A$1:$J$1,0)))</f>
        <v>3</v>
      </c>
      <c r="J407" s="20" t="str">
        <f>IF(ISBLANK($E407),"",INDEX(Sheet1!$A:$J,MATCH(Index_Match!$E407,Sheet1!$A:$A,0),MATCH(Index_Match!J$1,Sheet1!$A$1:$J$1,0)))</f>
        <v>Kirsten Perry</v>
      </c>
      <c r="K407" s="23">
        <f>IF(ISBLANK($E407),"",INDEX(Sheet1!$A:$J,MATCH(Index_Match!$E407,Sheet1!$A:$A,0),MATCH(Index_Match!K$1,Sheet1!$A$1:$J$1,0)))</f>
        <v>3</v>
      </c>
      <c r="L407" s="20" t="str">
        <f>IF(ISBLANK($E407),"",INDEX(Sheet1!$A:$J,MATCH(Index_Match!$E407,Sheet1!$A:$A,0),MATCH(Index_Match!L$1,Sheet1!$A$1:$J$1,0)))</f>
        <v>Perry</v>
      </c>
      <c r="M407" s="20" t="str">
        <f>IF(ISBLANK($E407),"",INDEX(Sheet1!$A:$J,MATCH(Index_Match!$E407,Sheet1!$A:$A,0),MATCH(Index_Match!M$1,Sheet1!$A$1:$J$1,0)))</f>
        <v>Young</v>
      </c>
    </row>
    <row r="408" spans="2:13" x14ac:dyDescent="0.25">
      <c r="B408" s="20"/>
      <c r="C408" s="20"/>
      <c r="D408" s="20"/>
      <c r="E408" s="20" t="str">
        <v>Edith</v>
      </c>
      <c r="F408" s="20" t="str">
        <f>IF(ISBLANK($E408),"",INDEX(Sheet1!$A:$J,MATCH(Index_Match!$E408,Sheet1!$A:$A,0),MATCH(Index_Match!F$1,Sheet1!$A$1:$J$1,0)))</f>
        <v>Female</v>
      </c>
      <c r="G408" s="20" t="str">
        <f>IF(ISBLANK($E408),"",INDEX(Sheet1!$A:$J,MATCH(Index_Match!$E408,Sheet1!$A:$A,0),MATCH(Index_Match!G$1,Sheet1!$A$1:$J$1,0)))</f>
        <v>Programmer</v>
      </c>
      <c r="H408" s="20" t="str">
        <f>IF(ISBLANK($E408),"",INDEX(Sheet1!$A:$J,MATCH(Index_Match!$E408,Sheet1!$A:$A,0),MATCH(Index_Match!H$1,Sheet1!$A$1:$J$1,0)))</f>
        <v>Single</v>
      </c>
      <c r="I408" s="23">
        <f>IF(ISBLANK($E408),"",INDEX(Sheet1!$A:$J,MATCH(Index_Match!$E408,Sheet1!$A:$A,0),MATCH(Index_Match!I$1,Sheet1!$A$1:$J$1,0)))</f>
        <v>3</v>
      </c>
      <c r="J408" s="20" t="str">
        <f>IF(ISBLANK($E408),"",INDEX(Sheet1!$A:$J,MATCH(Index_Match!$E408,Sheet1!$A:$A,0),MATCH(Index_Match!J$1,Sheet1!$A$1:$J$1,0)))</f>
        <v>Edith Hall</v>
      </c>
      <c r="K408" s="23">
        <f>IF(ISBLANK($E408),"",INDEX(Sheet1!$A:$J,MATCH(Index_Match!$E408,Sheet1!$A:$A,0),MATCH(Index_Match!K$1,Sheet1!$A$1:$J$1,0)))</f>
        <v>3</v>
      </c>
      <c r="L408" s="20" t="str">
        <f>IF(ISBLANK($E408),"",INDEX(Sheet1!$A:$J,MATCH(Index_Match!$E408,Sheet1!$A:$A,0),MATCH(Index_Match!L$1,Sheet1!$A$1:$J$1,0)))</f>
        <v>Hall</v>
      </c>
      <c r="M408" s="20" t="str">
        <f>IF(ISBLANK($E408),"",INDEX(Sheet1!$A:$J,MATCH(Index_Match!$E408,Sheet1!$A:$A,0),MATCH(Index_Match!M$1,Sheet1!$A$1:$J$1,0)))</f>
        <v>Young</v>
      </c>
    </row>
    <row r="409" spans="2:13" x14ac:dyDescent="0.25">
      <c r="B409" s="20"/>
      <c r="C409" s="20"/>
      <c r="D409" s="20"/>
      <c r="E409" s="20" t="str">
        <v>Jessica</v>
      </c>
      <c r="F409" s="20" t="str">
        <f>IF(ISBLANK($E409),"",INDEX(Sheet1!$A:$J,MATCH(Index_Match!$E409,Sheet1!$A:$A,0),MATCH(Index_Match!F$1,Sheet1!$A$1:$J$1,0)))</f>
        <v>Female</v>
      </c>
      <c r="G409" s="20" t="str">
        <f>IF(ISBLANK($E409),"",INDEX(Sheet1!$A:$J,MATCH(Index_Match!$E409,Sheet1!$A:$A,0),MATCH(Index_Match!G$1,Sheet1!$A$1:$J$1,0)))</f>
        <v>Social Worker</v>
      </c>
      <c r="H409" s="20" t="str">
        <f>IF(ISBLANK($E409),"",INDEX(Sheet1!$A:$J,MATCH(Index_Match!$E409,Sheet1!$A:$A,0),MATCH(Index_Match!H$1,Sheet1!$A$1:$J$1,0)))</f>
        <v>Married</v>
      </c>
      <c r="I409" s="23">
        <f>IF(ISBLANK($E409),"",INDEX(Sheet1!$A:$J,MATCH(Index_Match!$E409,Sheet1!$A:$A,0),MATCH(Index_Match!I$1,Sheet1!$A$1:$J$1,0)))</f>
        <v>1</v>
      </c>
      <c r="J409" s="20" t="str">
        <f>IF(ISBLANK($E409),"",INDEX(Sheet1!$A:$J,MATCH(Index_Match!$E409,Sheet1!$A:$A,0),MATCH(Index_Match!J$1,Sheet1!$A$1:$J$1,0)))</f>
        <v>Jessica Cameron</v>
      </c>
      <c r="K409" s="23">
        <f>IF(ISBLANK($E409),"",INDEX(Sheet1!$A:$J,MATCH(Index_Match!$E409,Sheet1!$A:$A,0),MATCH(Index_Match!K$1,Sheet1!$A$1:$J$1,0)))</f>
        <v>1</v>
      </c>
      <c r="L409" s="20" t="str">
        <f>IF(ISBLANK($E409),"",INDEX(Sheet1!$A:$J,MATCH(Index_Match!$E409,Sheet1!$A:$A,0),MATCH(Index_Match!L$1,Sheet1!$A$1:$J$1,0)))</f>
        <v>Cameron</v>
      </c>
      <c r="M409" s="20" t="str">
        <f>IF(ISBLANK($E409),"",INDEX(Sheet1!$A:$J,MATCH(Index_Match!$E409,Sheet1!$A:$A,0),MATCH(Index_Match!M$1,Sheet1!$A$1:$J$1,0)))</f>
        <v>Young</v>
      </c>
    </row>
    <row r="410" spans="2:13" x14ac:dyDescent="0.25">
      <c r="B410" s="20"/>
      <c r="C410" s="20"/>
      <c r="D410" s="20"/>
      <c r="E410" s="20" t="str">
        <v>Paige</v>
      </c>
      <c r="F410" s="20" t="str">
        <f>IF(ISBLANK($E410),"",INDEX(Sheet1!$A:$J,MATCH(Index_Match!$E410,Sheet1!$A:$A,0),MATCH(Index_Match!F$1,Sheet1!$A$1:$J$1,0)))</f>
        <v>Female</v>
      </c>
      <c r="G410" s="20" t="str">
        <f>IF(ISBLANK($E410),"",INDEX(Sheet1!$A:$J,MATCH(Index_Match!$E410,Sheet1!$A:$A,0),MATCH(Index_Match!G$1,Sheet1!$A$1:$J$1,0)))</f>
        <v>Biochemist</v>
      </c>
      <c r="H410" s="20" t="str">
        <f>IF(ISBLANK($E410),"",INDEX(Sheet1!$A:$J,MATCH(Index_Match!$E410,Sheet1!$A:$A,0),MATCH(Index_Match!H$1,Sheet1!$A$1:$J$1,0)))</f>
        <v>Married</v>
      </c>
      <c r="I410" s="23">
        <f>IF(ISBLANK($E410),"",INDEX(Sheet1!$A:$J,MATCH(Index_Match!$E410,Sheet1!$A:$A,0),MATCH(Index_Match!I$1,Sheet1!$A$1:$J$1,0)))</f>
        <v>4</v>
      </c>
      <c r="J410" s="20" t="str">
        <f>IF(ISBLANK($E410),"",INDEX(Sheet1!$A:$J,MATCH(Index_Match!$E410,Sheet1!$A:$A,0),MATCH(Index_Match!J$1,Sheet1!$A$1:$J$1,0)))</f>
        <v>Paige Moore</v>
      </c>
      <c r="K410" s="23">
        <f>IF(ISBLANK($E410),"",INDEX(Sheet1!$A:$J,MATCH(Index_Match!$E410,Sheet1!$A:$A,0),MATCH(Index_Match!K$1,Sheet1!$A$1:$J$1,0)))</f>
        <v>4</v>
      </c>
      <c r="L410" s="20" t="str">
        <f>IF(ISBLANK($E410),"",INDEX(Sheet1!$A:$J,MATCH(Index_Match!$E410,Sheet1!$A:$A,0),MATCH(Index_Match!L$1,Sheet1!$A$1:$J$1,0)))</f>
        <v>Moore</v>
      </c>
      <c r="M410" s="20" t="str">
        <f>IF(ISBLANK($E410),"",INDEX(Sheet1!$A:$J,MATCH(Index_Match!$E410,Sheet1!$A:$A,0),MATCH(Index_Match!M$1,Sheet1!$A$1:$J$1,0)))</f>
        <v>Middle Age</v>
      </c>
    </row>
    <row r="411" spans="2:13" x14ac:dyDescent="0.25">
      <c r="B411" s="20"/>
      <c r="C411" s="20"/>
      <c r="D411" s="20"/>
      <c r="E411" s="20" t="str">
        <v>Jasmine</v>
      </c>
      <c r="F411" s="20" t="str">
        <f>IF(ISBLANK($E411),"",INDEX(Sheet1!$A:$J,MATCH(Index_Match!$E411,Sheet1!$A:$A,0),MATCH(Index_Match!F$1,Sheet1!$A$1:$J$1,0)))</f>
        <v>Female</v>
      </c>
      <c r="G411" s="20" t="str">
        <f>IF(ISBLANK($E411),"",INDEX(Sheet1!$A:$J,MATCH(Index_Match!$E411,Sheet1!$A:$A,0),MATCH(Index_Match!G$1,Sheet1!$A$1:$J$1,0)))</f>
        <v>Mechanic</v>
      </c>
      <c r="H411" s="20" t="str">
        <f>IF(ISBLANK($E411),"",INDEX(Sheet1!$A:$J,MATCH(Index_Match!$E411,Sheet1!$A:$A,0),MATCH(Index_Match!H$1,Sheet1!$A$1:$J$1,0)))</f>
        <v>Married</v>
      </c>
      <c r="I411" s="23">
        <f>IF(ISBLANK($E411),"",INDEX(Sheet1!$A:$J,MATCH(Index_Match!$E411,Sheet1!$A:$A,0),MATCH(Index_Match!I$1,Sheet1!$A$1:$J$1,0)))</f>
        <v>2</v>
      </c>
      <c r="J411" s="20" t="str">
        <f>IF(ISBLANK($E411),"",INDEX(Sheet1!$A:$J,MATCH(Index_Match!$E411,Sheet1!$A:$A,0),MATCH(Index_Match!J$1,Sheet1!$A$1:$J$1,0)))</f>
        <v>Jasmine Martin</v>
      </c>
      <c r="K411" s="23">
        <f>IF(ISBLANK($E411),"",INDEX(Sheet1!$A:$J,MATCH(Index_Match!$E411,Sheet1!$A:$A,0),MATCH(Index_Match!K$1,Sheet1!$A$1:$J$1,0)))</f>
        <v>2</v>
      </c>
      <c r="L411" s="20" t="str">
        <f>IF(ISBLANK($E411),"",INDEX(Sheet1!$A:$J,MATCH(Index_Match!$E411,Sheet1!$A:$A,0),MATCH(Index_Match!L$1,Sheet1!$A$1:$J$1,0)))</f>
        <v>Martin</v>
      </c>
      <c r="M411" s="20" t="str">
        <f>IF(ISBLANK($E411),"",INDEX(Sheet1!$A:$J,MATCH(Index_Match!$E411,Sheet1!$A:$A,0),MATCH(Index_Match!M$1,Sheet1!$A$1:$J$1,0)))</f>
        <v>Middle Age</v>
      </c>
    </row>
    <row r="412" spans="2:13" x14ac:dyDescent="0.25">
      <c r="B412" s="20"/>
      <c r="C412" s="20"/>
      <c r="D412" s="20"/>
      <c r="E412" s="20" t="str">
        <v>Carina</v>
      </c>
      <c r="F412" s="20" t="str">
        <f>IF(ISBLANK($E412),"",INDEX(Sheet1!$A:$J,MATCH(Index_Match!$E412,Sheet1!$A:$A,0),MATCH(Index_Match!F$1,Sheet1!$A$1:$J$1,0)))</f>
        <v>Female</v>
      </c>
      <c r="G412" s="20" t="str">
        <f>IF(ISBLANK($E412),"",INDEX(Sheet1!$A:$J,MATCH(Index_Match!$E412,Sheet1!$A:$A,0),MATCH(Index_Match!G$1,Sheet1!$A$1:$J$1,0)))</f>
        <v>Aeroplane Pilot</v>
      </c>
      <c r="H412" s="20" t="str">
        <f>IF(ISBLANK($E412),"",INDEX(Sheet1!$A:$J,MATCH(Index_Match!$E412,Sheet1!$A:$A,0),MATCH(Index_Match!H$1,Sheet1!$A$1:$J$1,0)))</f>
        <v>Married</v>
      </c>
      <c r="I412" s="23">
        <f>IF(ISBLANK($E412),"",INDEX(Sheet1!$A:$J,MATCH(Index_Match!$E412,Sheet1!$A:$A,0),MATCH(Index_Match!I$1,Sheet1!$A$1:$J$1,0)))</f>
        <v>4</v>
      </c>
      <c r="J412" s="20" t="str">
        <f>IF(ISBLANK($E412),"",INDEX(Sheet1!$A:$J,MATCH(Index_Match!$E412,Sheet1!$A:$A,0),MATCH(Index_Match!J$1,Sheet1!$A$1:$J$1,0)))</f>
        <v>Carina Williams</v>
      </c>
      <c r="K412" s="23">
        <f>IF(ISBLANK($E412),"",INDEX(Sheet1!$A:$J,MATCH(Index_Match!$E412,Sheet1!$A:$A,0),MATCH(Index_Match!K$1,Sheet1!$A$1:$J$1,0)))</f>
        <v>4</v>
      </c>
      <c r="L412" s="20" t="str">
        <f>IF(ISBLANK($E412),"",INDEX(Sheet1!$A:$J,MATCH(Index_Match!$E412,Sheet1!$A:$A,0),MATCH(Index_Match!L$1,Sheet1!$A$1:$J$1,0)))</f>
        <v>Williams</v>
      </c>
      <c r="M412" s="20" t="str">
        <f>IF(ISBLANK($E412),"",INDEX(Sheet1!$A:$J,MATCH(Index_Match!$E412,Sheet1!$A:$A,0),MATCH(Index_Match!M$1,Sheet1!$A$1:$J$1,0)))</f>
        <v>Young</v>
      </c>
    </row>
    <row r="413" spans="2:13" x14ac:dyDescent="0.25">
      <c r="B413" s="20"/>
      <c r="C413" s="20"/>
      <c r="D413" s="20"/>
      <c r="E413" s="20" t="str">
        <v>Michelle</v>
      </c>
      <c r="F413" s="20" t="str">
        <f>IF(ISBLANK($E413),"",INDEX(Sheet1!$A:$J,MATCH(Index_Match!$E413,Sheet1!$A:$A,0),MATCH(Index_Match!F$1,Sheet1!$A$1:$J$1,0)))</f>
        <v>Female</v>
      </c>
      <c r="G413" s="20" t="str">
        <f>IF(ISBLANK($E413),"",INDEX(Sheet1!$A:$J,MATCH(Index_Match!$E413,Sheet1!$A:$A,0),MATCH(Index_Match!G$1,Sheet1!$A$1:$J$1,0)))</f>
        <v>Composer</v>
      </c>
      <c r="H413" s="20" t="str">
        <f>IF(ISBLANK($E413),"",INDEX(Sheet1!$A:$J,MATCH(Index_Match!$E413,Sheet1!$A:$A,0),MATCH(Index_Match!H$1,Sheet1!$A$1:$J$1,0)))</f>
        <v>Married</v>
      </c>
      <c r="I413" s="23">
        <f>IF(ISBLANK($E413),"",INDEX(Sheet1!$A:$J,MATCH(Index_Match!$E413,Sheet1!$A:$A,0),MATCH(Index_Match!I$1,Sheet1!$A$1:$J$1,0)))</f>
        <v>3</v>
      </c>
      <c r="J413" s="20" t="str">
        <f>IF(ISBLANK($E413),"",INDEX(Sheet1!$A:$J,MATCH(Index_Match!$E413,Sheet1!$A:$A,0),MATCH(Index_Match!J$1,Sheet1!$A$1:$J$1,0)))</f>
        <v>Michelle Fowler</v>
      </c>
      <c r="K413" s="23">
        <f>IF(ISBLANK($E413),"",INDEX(Sheet1!$A:$J,MATCH(Index_Match!$E413,Sheet1!$A:$A,0),MATCH(Index_Match!K$1,Sheet1!$A$1:$J$1,0)))</f>
        <v>3</v>
      </c>
      <c r="L413" s="20" t="str">
        <f>IF(ISBLANK($E413),"",INDEX(Sheet1!$A:$J,MATCH(Index_Match!$E413,Sheet1!$A:$A,0),MATCH(Index_Match!L$1,Sheet1!$A$1:$J$1,0)))</f>
        <v>Fowler</v>
      </c>
      <c r="M413" s="20" t="str">
        <f>IF(ISBLANK($E413),"",INDEX(Sheet1!$A:$J,MATCH(Index_Match!$E413,Sheet1!$A:$A,0),MATCH(Index_Match!M$1,Sheet1!$A$1:$J$1,0)))</f>
        <v>Middle Age</v>
      </c>
    </row>
    <row r="414" spans="2:13" x14ac:dyDescent="0.25">
      <c r="B414" s="20"/>
      <c r="C414" s="20"/>
      <c r="D414" s="20"/>
      <c r="E414" s="20" t="str">
        <v>Lucia</v>
      </c>
      <c r="F414" s="20" t="str">
        <f>IF(ISBLANK($E414),"",INDEX(Sheet1!$A:$J,MATCH(Index_Match!$E414,Sheet1!$A:$A,0),MATCH(Index_Match!F$1,Sheet1!$A$1:$J$1,0)))</f>
        <v>Female</v>
      </c>
      <c r="G414" s="20" t="str">
        <f>IF(ISBLANK($E414),"",INDEX(Sheet1!$A:$J,MATCH(Index_Match!$E414,Sheet1!$A:$A,0),MATCH(Index_Match!G$1,Sheet1!$A$1:$J$1,0)))</f>
        <v>Driver</v>
      </c>
      <c r="H414" s="20" t="str">
        <f>IF(ISBLANK($E414),"",INDEX(Sheet1!$A:$J,MATCH(Index_Match!$E414,Sheet1!$A:$A,0),MATCH(Index_Match!H$1,Sheet1!$A$1:$J$1,0)))</f>
        <v>Single</v>
      </c>
      <c r="I414" s="23">
        <f>IF(ISBLANK($E414),"",INDEX(Sheet1!$A:$J,MATCH(Index_Match!$E414,Sheet1!$A:$A,0),MATCH(Index_Match!I$1,Sheet1!$A$1:$J$1,0)))</f>
        <v>5</v>
      </c>
      <c r="J414" s="20" t="str">
        <f>IF(ISBLANK($E414),"",INDEX(Sheet1!$A:$J,MATCH(Index_Match!$E414,Sheet1!$A:$A,0),MATCH(Index_Match!J$1,Sheet1!$A$1:$J$1,0)))</f>
        <v>Lucia Cameron</v>
      </c>
      <c r="K414" s="23">
        <f>IF(ISBLANK($E414),"",INDEX(Sheet1!$A:$J,MATCH(Index_Match!$E414,Sheet1!$A:$A,0),MATCH(Index_Match!K$1,Sheet1!$A$1:$J$1,0)))</f>
        <v>5</v>
      </c>
      <c r="L414" s="20" t="str">
        <f>IF(ISBLANK($E414),"",INDEX(Sheet1!$A:$J,MATCH(Index_Match!$E414,Sheet1!$A:$A,0),MATCH(Index_Match!L$1,Sheet1!$A$1:$J$1,0)))</f>
        <v>Cameron</v>
      </c>
      <c r="M414" s="20" t="str">
        <f>IF(ISBLANK($E414),"",INDEX(Sheet1!$A:$J,MATCH(Index_Match!$E414,Sheet1!$A:$A,0),MATCH(Index_Match!M$1,Sheet1!$A$1:$J$1,0)))</f>
        <v>Middle Age</v>
      </c>
    </row>
    <row r="415" spans="2:13" x14ac:dyDescent="0.25">
      <c r="B415" s="20"/>
      <c r="C415" s="20"/>
      <c r="D415" s="20"/>
      <c r="E415" s="20" t="str">
        <v>Alberta</v>
      </c>
      <c r="F415" s="20" t="str">
        <f>IF(ISBLANK($E415),"",INDEX(Sheet1!$A:$J,MATCH(Index_Match!$E415,Sheet1!$A:$A,0),MATCH(Index_Match!F$1,Sheet1!$A$1:$J$1,0)))</f>
        <v>Female</v>
      </c>
      <c r="G415" s="20" t="str">
        <f>IF(ISBLANK($E415),"",INDEX(Sheet1!$A:$J,MATCH(Index_Match!$E415,Sheet1!$A:$A,0),MATCH(Index_Match!G$1,Sheet1!$A$1:$J$1,0)))</f>
        <v>Hairdresser</v>
      </c>
      <c r="H415" s="20" t="str">
        <f>IF(ISBLANK($E415),"",INDEX(Sheet1!$A:$J,MATCH(Index_Match!$E415,Sheet1!$A:$A,0),MATCH(Index_Match!H$1,Sheet1!$A$1:$J$1,0)))</f>
        <v>Married</v>
      </c>
      <c r="I415" s="23">
        <f>IF(ISBLANK($E415),"",INDEX(Sheet1!$A:$J,MATCH(Index_Match!$E415,Sheet1!$A:$A,0),MATCH(Index_Match!I$1,Sheet1!$A$1:$J$1,0)))</f>
        <v>2</v>
      </c>
      <c r="J415" s="20" t="str">
        <f>IF(ISBLANK($E415),"",INDEX(Sheet1!$A:$J,MATCH(Index_Match!$E415,Sheet1!$A:$A,0),MATCH(Index_Match!J$1,Sheet1!$A$1:$J$1,0)))</f>
        <v>Alberta Murray</v>
      </c>
      <c r="K415" s="23">
        <f>IF(ISBLANK($E415),"",INDEX(Sheet1!$A:$J,MATCH(Index_Match!$E415,Sheet1!$A:$A,0),MATCH(Index_Match!K$1,Sheet1!$A$1:$J$1,0)))</f>
        <v>2</v>
      </c>
      <c r="L415" s="20" t="str">
        <f>IF(ISBLANK($E415),"",INDEX(Sheet1!$A:$J,MATCH(Index_Match!$E415,Sheet1!$A:$A,0),MATCH(Index_Match!L$1,Sheet1!$A$1:$J$1,0)))</f>
        <v>Murray</v>
      </c>
      <c r="M415" s="20" t="str">
        <f>IF(ISBLANK($E415),"",INDEX(Sheet1!$A:$J,MATCH(Index_Match!$E415,Sheet1!$A:$A,0),MATCH(Index_Match!M$1,Sheet1!$A$1:$J$1,0)))</f>
        <v>Old</v>
      </c>
    </row>
    <row r="416" spans="2:13" x14ac:dyDescent="0.25">
      <c r="B416" s="20"/>
      <c r="C416" s="20"/>
      <c r="D416" s="20"/>
      <c r="E416" s="20" t="str">
        <v>Adrianna</v>
      </c>
      <c r="F416" s="20" t="str">
        <f>IF(ISBLANK($E416),"",INDEX(Sheet1!$A:$J,MATCH(Index_Match!$E416,Sheet1!$A:$A,0),MATCH(Index_Match!F$1,Sheet1!$A$1:$J$1,0)))</f>
        <v>Female</v>
      </c>
      <c r="G416" s="20" t="str">
        <f>IF(ISBLANK($E416),"",INDEX(Sheet1!$A:$J,MATCH(Index_Match!$E416,Sheet1!$A:$A,0),MATCH(Index_Match!G$1,Sheet1!$A$1:$J$1,0)))</f>
        <v>Botanist</v>
      </c>
      <c r="H416" s="20" t="str">
        <f>IF(ISBLANK($E416),"",INDEX(Sheet1!$A:$J,MATCH(Index_Match!$E416,Sheet1!$A:$A,0),MATCH(Index_Match!H$1,Sheet1!$A$1:$J$1,0)))</f>
        <v>Single</v>
      </c>
      <c r="I416" s="23">
        <f>IF(ISBLANK($E416),"",INDEX(Sheet1!$A:$J,MATCH(Index_Match!$E416,Sheet1!$A:$A,0),MATCH(Index_Match!I$1,Sheet1!$A$1:$J$1,0)))</f>
        <v>1</v>
      </c>
      <c r="J416" s="20" t="str">
        <f>IF(ISBLANK($E416),"",INDEX(Sheet1!$A:$J,MATCH(Index_Match!$E416,Sheet1!$A:$A,0),MATCH(Index_Match!J$1,Sheet1!$A$1:$J$1,0)))</f>
        <v>Adrianna Bennett</v>
      </c>
      <c r="K416" s="23">
        <f>IF(ISBLANK($E416),"",INDEX(Sheet1!$A:$J,MATCH(Index_Match!$E416,Sheet1!$A:$A,0),MATCH(Index_Match!K$1,Sheet1!$A$1:$J$1,0)))</f>
        <v>1</v>
      </c>
      <c r="L416" s="20" t="str">
        <f>IF(ISBLANK($E416),"",INDEX(Sheet1!$A:$J,MATCH(Index_Match!$E416,Sheet1!$A:$A,0),MATCH(Index_Match!L$1,Sheet1!$A$1:$J$1,0)))</f>
        <v>Bennett</v>
      </c>
      <c r="M416" s="20" t="str">
        <f>IF(ISBLANK($E416),"",INDEX(Sheet1!$A:$J,MATCH(Index_Match!$E416,Sheet1!$A:$A,0),MATCH(Index_Match!M$1,Sheet1!$A$1:$J$1,0)))</f>
        <v>Middle Age</v>
      </c>
    </row>
    <row r="417" spans="2:13" x14ac:dyDescent="0.25">
      <c r="B417" s="20"/>
      <c r="C417" s="20"/>
      <c r="D417" s="20"/>
      <c r="E417" s="20" t="str">
        <v>Alisa</v>
      </c>
      <c r="F417" s="20" t="str">
        <f>IF(ISBLANK($E417),"",INDEX(Sheet1!$A:$J,MATCH(Index_Match!$E417,Sheet1!$A:$A,0),MATCH(Index_Match!F$1,Sheet1!$A$1:$J$1,0)))</f>
        <v>Female</v>
      </c>
      <c r="G417" s="20" t="str">
        <f>IF(ISBLANK($E417),"",INDEX(Sheet1!$A:$J,MATCH(Index_Match!$E417,Sheet1!$A:$A,0),MATCH(Index_Match!G$1,Sheet1!$A$1:$J$1,0)))</f>
        <v>Fine Artist</v>
      </c>
      <c r="H417" s="20" t="str">
        <f>IF(ISBLANK($E417),"",INDEX(Sheet1!$A:$J,MATCH(Index_Match!$E417,Sheet1!$A:$A,0),MATCH(Index_Match!H$1,Sheet1!$A$1:$J$1,0)))</f>
        <v>Single</v>
      </c>
      <c r="I417" s="23">
        <f>IF(ISBLANK($E417),"",INDEX(Sheet1!$A:$J,MATCH(Index_Match!$E417,Sheet1!$A:$A,0),MATCH(Index_Match!I$1,Sheet1!$A$1:$J$1,0)))</f>
        <v>4</v>
      </c>
      <c r="J417" s="20" t="str">
        <f>IF(ISBLANK($E417),"",INDEX(Sheet1!$A:$J,MATCH(Index_Match!$E417,Sheet1!$A:$A,0),MATCH(Index_Match!J$1,Sheet1!$A$1:$J$1,0)))</f>
        <v>Alisa Wright</v>
      </c>
      <c r="K417" s="23">
        <f>IF(ISBLANK($E417),"",INDEX(Sheet1!$A:$J,MATCH(Index_Match!$E417,Sheet1!$A:$A,0),MATCH(Index_Match!K$1,Sheet1!$A$1:$J$1,0)))</f>
        <v>4</v>
      </c>
      <c r="L417" s="20" t="str">
        <f>IF(ISBLANK($E417),"",INDEX(Sheet1!$A:$J,MATCH(Index_Match!$E417,Sheet1!$A:$A,0),MATCH(Index_Match!L$1,Sheet1!$A$1:$J$1,0)))</f>
        <v>Wright</v>
      </c>
      <c r="M417" s="20" t="str">
        <f>IF(ISBLANK($E417),"",INDEX(Sheet1!$A:$J,MATCH(Index_Match!$E417,Sheet1!$A:$A,0),MATCH(Index_Match!M$1,Sheet1!$A$1:$J$1,0)))</f>
        <v>Middle Age</v>
      </c>
    </row>
    <row r="418" spans="2:13" x14ac:dyDescent="0.25">
      <c r="B418" s="20"/>
      <c r="C418" s="20"/>
      <c r="D418" s="20"/>
      <c r="E418" s="20" t="str">
        <v>Brooke</v>
      </c>
      <c r="F418" s="20" t="str">
        <f>IF(ISBLANK($E418),"",INDEX(Sheet1!$A:$J,MATCH(Index_Match!$E418,Sheet1!$A:$A,0),MATCH(Index_Match!F$1,Sheet1!$A$1:$J$1,0)))</f>
        <v>Female</v>
      </c>
      <c r="G418" s="20" t="str">
        <f>IF(ISBLANK($E418),"",INDEX(Sheet1!$A:$J,MATCH(Index_Match!$E418,Sheet1!$A:$A,0),MATCH(Index_Match!G$1,Sheet1!$A$1:$J$1,0)))</f>
        <v>Singer</v>
      </c>
      <c r="H418" s="20" t="str">
        <f>IF(ISBLANK($E418),"",INDEX(Sheet1!$A:$J,MATCH(Index_Match!$E418,Sheet1!$A:$A,0),MATCH(Index_Match!H$1,Sheet1!$A$1:$J$1,0)))</f>
        <v>Single</v>
      </c>
      <c r="I418" s="23">
        <f>IF(ISBLANK($E418),"",INDEX(Sheet1!$A:$J,MATCH(Index_Match!$E418,Sheet1!$A:$A,0),MATCH(Index_Match!I$1,Sheet1!$A$1:$J$1,0)))</f>
        <v>0</v>
      </c>
      <c r="J418" s="20" t="str">
        <f>IF(ISBLANK($E418),"",INDEX(Sheet1!$A:$J,MATCH(Index_Match!$E418,Sheet1!$A:$A,0),MATCH(Index_Match!J$1,Sheet1!$A$1:$J$1,0)))</f>
        <v>Brooke Crawford</v>
      </c>
      <c r="K418" s="23">
        <f>IF(ISBLANK($E418),"",INDEX(Sheet1!$A:$J,MATCH(Index_Match!$E418,Sheet1!$A:$A,0),MATCH(Index_Match!K$1,Sheet1!$A$1:$J$1,0)))</f>
        <v>0</v>
      </c>
      <c r="L418" s="20" t="str">
        <f>IF(ISBLANK($E418),"",INDEX(Sheet1!$A:$J,MATCH(Index_Match!$E418,Sheet1!$A:$A,0),MATCH(Index_Match!L$1,Sheet1!$A$1:$J$1,0)))</f>
        <v>Crawford</v>
      </c>
      <c r="M418" s="20" t="str">
        <f>IF(ISBLANK($E418),"",INDEX(Sheet1!$A:$J,MATCH(Index_Match!$E418,Sheet1!$A:$A,0),MATCH(Index_Match!M$1,Sheet1!$A$1:$J$1,0)))</f>
        <v>Middle Age</v>
      </c>
    </row>
    <row r="419" spans="2:13" x14ac:dyDescent="0.25">
      <c r="B419" s="20"/>
      <c r="C419" s="20"/>
      <c r="D419" s="20"/>
      <c r="E419" s="20" t="str">
        <v>Naomi</v>
      </c>
      <c r="F419" s="20" t="str">
        <f>IF(ISBLANK($E419),"",INDEX(Sheet1!$A:$J,MATCH(Index_Match!$E419,Sheet1!$A:$A,0),MATCH(Index_Match!F$1,Sheet1!$A$1:$J$1,0)))</f>
        <v>Female</v>
      </c>
      <c r="G419" s="20" t="str">
        <f>IF(ISBLANK($E419),"",INDEX(Sheet1!$A:$J,MATCH(Index_Match!$E419,Sheet1!$A:$A,0),MATCH(Index_Match!G$1,Sheet1!$A$1:$J$1,0)))</f>
        <v>Photographer</v>
      </c>
      <c r="H419" s="20" t="str">
        <f>IF(ISBLANK($E419),"",INDEX(Sheet1!$A:$J,MATCH(Index_Match!$E419,Sheet1!$A:$A,0),MATCH(Index_Match!H$1,Sheet1!$A$1:$J$1,0)))</f>
        <v>Single</v>
      </c>
      <c r="I419" s="23">
        <f>IF(ISBLANK($E419),"",INDEX(Sheet1!$A:$J,MATCH(Index_Match!$E419,Sheet1!$A:$A,0),MATCH(Index_Match!I$1,Sheet1!$A$1:$J$1,0)))</f>
        <v>3</v>
      </c>
      <c r="J419" s="20" t="str">
        <f>IF(ISBLANK($E419),"",INDEX(Sheet1!$A:$J,MATCH(Index_Match!$E419,Sheet1!$A:$A,0),MATCH(Index_Match!J$1,Sheet1!$A$1:$J$1,0)))</f>
        <v>Naomi Barrett</v>
      </c>
      <c r="K419" s="23">
        <f>IF(ISBLANK($E419),"",INDEX(Sheet1!$A:$J,MATCH(Index_Match!$E419,Sheet1!$A:$A,0),MATCH(Index_Match!K$1,Sheet1!$A$1:$J$1,0)))</f>
        <v>3</v>
      </c>
      <c r="L419" s="20" t="str">
        <f>IF(ISBLANK($E419),"",INDEX(Sheet1!$A:$J,MATCH(Index_Match!$E419,Sheet1!$A:$A,0),MATCH(Index_Match!L$1,Sheet1!$A$1:$J$1,0)))</f>
        <v>Barrett</v>
      </c>
      <c r="M419" s="20" t="str">
        <f>IF(ISBLANK($E419),"",INDEX(Sheet1!$A:$J,MATCH(Index_Match!$E419,Sheet1!$A:$A,0),MATCH(Index_Match!M$1,Sheet1!$A$1:$J$1,0)))</f>
        <v>Middle Age</v>
      </c>
    </row>
    <row r="420" spans="2:13" x14ac:dyDescent="0.25">
      <c r="B420" s="20"/>
      <c r="C420" s="20"/>
      <c r="D420" s="20"/>
      <c r="E420" s="20" t="str">
        <v>Penelope</v>
      </c>
      <c r="F420" s="20" t="str">
        <f>IF(ISBLANK($E420),"",INDEX(Sheet1!$A:$J,MATCH(Index_Match!$E420,Sheet1!$A:$A,0),MATCH(Index_Match!F$1,Sheet1!$A$1:$J$1,0)))</f>
        <v>Female</v>
      </c>
      <c r="G420" s="20" t="str">
        <f>IF(ISBLANK($E420),"",INDEX(Sheet1!$A:$J,MATCH(Index_Match!$E420,Sheet1!$A:$A,0),MATCH(Index_Match!G$1,Sheet1!$A$1:$J$1,0)))</f>
        <v>Singer</v>
      </c>
      <c r="H420" s="20" t="str">
        <f>IF(ISBLANK($E420),"",INDEX(Sheet1!$A:$J,MATCH(Index_Match!$E420,Sheet1!$A:$A,0),MATCH(Index_Match!H$1,Sheet1!$A$1:$J$1,0)))</f>
        <v>Single</v>
      </c>
      <c r="I420" s="23">
        <f>IF(ISBLANK($E420),"",INDEX(Sheet1!$A:$J,MATCH(Index_Match!$E420,Sheet1!$A:$A,0),MATCH(Index_Match!I$1,Sheet1!$A$1:$J$1,0)))</f>
        <v>5</v>
      </c>
      <c r="J420" s="20" t="str">
        <f>IF(ISBLANK($E420),"",INDEX(Sheet1!$A:$J,MATCH(Index_Match!$E420,Sheet1!$A:$A,0),MATCH(Index_Match!J$1,Sheet1!$A$1:$J$1,0)))</f>
        <v>Penelope Henderson</v>
      </c>
      <c r="K420" s="23">
        <f>IF(ISBLANK($E420),"",INDEX(Sheet1!$A:$J,MATCH(Index_Match!$E420,Sheet1!$A:$A,0),MATCH(Index_Match!K$1,Sheet1!$A$1:$J$1,0)))</f>
        <v>5</v>
      </c>
      <c r="L420" s="20" t="str">
        <f>IF(ISBLANK($E420),"",INDEX(Sheet1!$A:$J,MATCH(Index_Match!$E420,Sheet1!$A:$A,0),MATCH(Index_Match!L$1,Sheet1!$A$1:$J$1,0)))</f>
        <v>Henderson</v>
      </c>
      <c r="M420" s="20" t="str">
        <f>IF(ISBLANK($E420),"",INDEX(Sheet1!$A:$J,MATCH(Index_Match!$E420,Sheet1!$A:$A,0),MATCH(Index_Match!M$1,Sheet1!$A$1:$J$1,0)))</f>
        <v>Middle Age</v>
      </c>
    </row>
    <row r="421" spans="2:13" x14ac:dyDescent="0.25">
      <c r="B421" s="20"/>
      <c r="C421" s="20"/>
      <c r="D421" s="20"/>
      <c r="E421" s="20" t="str">
        <v>Sydney</v>
      </c>
      <c r="F421" s="20" t="str">
        <f>IF(ISBLANK($E421),"",INDEX(Sheet1!$A:$J,MATCH(Index_Match!$E421,Sheet1!$A:$A,0),MATCH(Index_Match!F$1,Sheet1!$A$1:$J$1,0)))</f>
        <v>Female</v>
      </c>
      <c r="G421" s="20" t="str">
        <f>IF(ISBLANK($E421),"",INDEX(Sheet1!$A:$J,MATCH(Index_Match!$E421,Sheet1!$A:$A,0),MATCH(Index_Match!G$1,Sheet1!$A$1:$J$1,0)))</f>
        <v>Lawyer</v>
      </c>
      <c r="H421" s="20" t="str">
        <f>IF(ISBLANK($E421),"",INDEX(Sheet1!$A:$J,MATCH(Index_Match!$E421,Sheet1!$A:$A,0),MATCH(Index_Match!H$1,Sheet1!$A$1:$J$1,0)))</f>
        <v>Single</v>
      </c>
      <c r="I421" s="23">
        <f>IF(ISBLANK($E421),"",INDEX(Sheet1!$A:$J,MATCH(Index_Match!$E421,Sheet1!$A:$A,0),MATCH(Index_Match!I$1,Sheet1!$A$1:$J$1,0)))</f>
        <v>1</v>
      </c>
      <c r="J421" s="20" t="str">
        <f>IF(ISBLANK($E421),"",INDEX(Sheet1!$A:$J,MATCH(Index_Match!$E421,Sheet1!$A:$A,0),MATCH(Index_Match!J$1,Sheet1!$A$1:$J$1,0)))</f>
        <v>Sydney Craig</v>
      </c>
      <c r="K421" s="23">
        <f>IF(ISBLANK($E421),"",INDEX(Sheet1!$A:$J,MATCH(Index_Match!$E421,Sheet1!$A:$A,0),MATCH(Index_Match!K$1,Sheet1!$A$1:$J$1,0)))</f>
        <v>1</v>
      </c>
      <c r="L421" s="20" t="str">
        <f>IF(ISBLANK($E421),"",INDEX(Sheet1!$A:$J,MATCH(Index_Match!$E421,Sheet1!$A:$A,0),MATCH(Index_Match!L$1,Sheet1!$A$1:$J$1,0)))</f>
        <v>Craig</v>
      </c>
      <c r="M421" s="20" t="str">
        <f>IF(ISBLANK($E421),"",INDEX(Sheet1!$A:$J,MATCH(Index_Match!$E421,Sheet1!$A:$A,0),MATCH(Index_Match!M$1,Sheet1!$A$1:$J$1,0)))</f>
        <v>Middle Age</v>
      </c>
    </row>
    <row r="422" spans="2:13" x14ac:dyDescent="0.25">
      <c r="B422" s="20"/>
      <c r="C422" s="20"/>
      <c r="D422" s="20"/>
      <c r="E422" s="20" t="str">
        <v>Olivia</v>
      </c>
      <c r="F422" s="20" t="str">
        <f>IF(ISBLANK($E422),"",INDEX(Sheet1!$A:$J,MATCH(Index_Match!$E422,Sheet1!$A:$A,0),MATCH(Index_Match!F$1,Sheet1!$A$1:$J$1,0)))</f>
        <v>Female</v>
      </c>
      <c r="G422" s="20" t="str">
        <f>IF(ISBLANK($E422),"",INDEX(Sheet1!$A:$J,MATCH(Index_Match!$E422,Sheet1!$A:$A,0),MATCH(Index_Match!G$1,Sheet1!$A$1:$J$1,0)))</f>
        <v>Firefighter</v>
      </c>
      <c r="H422" s="20" t="str">
        <f>IF(ISBLANK($E422),"",INDEX(Sheet1!$A:$J,MATCH(Index_Match!$E422,Sheet1!$A:$A,0),MATCH(Index_Match!H$1,Sheet1!$A$1:$J$1,0)))</f>
        <v>Single</v>
      </c>
      <c r="I422" s="23">
        <f>IF(ISBLANK($E422),"",INDEX(Sheet1!$A:$J,MATCH(Index_Match!$E422,Sheet1!$A:$A,0),MATCH(Index_Match!I$1,Sheet1!$A$1:$J$1,0)))</f>
        <v>3</v>
      </c>
      <c r="J422" s="20" t="str">
        <f>IF(ISBLANK($E422),"",INDEX(Sheet1!$A:$J,MATCH(Index_Match!$E422,Sheet1!$A:$A,0),MATCH(Index_Match!J$1,Sheet1!$A$1:$J$1,0)))</f>
        <v>Olivia Taylor</v>
      </c>
      <c r="K422" s="23">
        <f>IF(ISBLANK($E422),"",INDEX(Sheet1!$A:$J,MATCH(Index_Match!$E422,Sheet1!$A:$A,0),MATCH(Index_Match!K$1,Sheet1!$A$1:$J$1,0)))</f>
        <v>3</v>
      </c>
      <c r="L422" s="20" t="str">
        <f>IF(ISBLANK($E422),"",INDEX(Sheet1!$A:$J,MATCH(Index_Match!$E422,Sheet1!$A:$A,0),MATCH(Index_Match!L$1,Sheet1!$A$1:$J$1,0)))</f>
        <v>Taylor</v>
      </c>
      <c r="M422" s="20" t="str">
        <f>IF(ISBLANK($E422),"",INDEX(Sheet1!$A:$J,MATCH(Index_Match!$E422,Sheet1!$A:$A,0),MATCH(Index_Match!M$1,Sheet1!$A$1:$J$1,0)))</f>
        <v>Young</v>
      </c>
    </row>
    <row r="423" spans="2:13" x14ac:dyDescent="0.25">
      <c r="B423" s="20"/>
      <c r="C423" s="20"/>
      <c r="D423" s="20"/>
      <c r="E423" s="20" t="str">
        <v>Alissa</v>
      </c>
      <c r="F423" s="20" t="str">
        <f>IF(ISBLANK($E423),"",INDEX(Sheet1!$A:$J,MATCH(Index_Match!$E423,Sheet1!$A:$A,0),MATCH(Index_Match!F$1,Sheet1!$A$1:$J$1,0)))</f>
        <v>Female</v>
      </c>
      <c r="G423" s="20" t="str">
        <f>IF(ISBLANK($E423),"",INDEX(Sheet1!$A:$J,MATCH(Index_Match!$E423,Sheet1!$A:$A,0),MATCH(Index_Match!G$1,Sheet1!$A$1:$J$1,0)))</f>
        <v>Hairdresser</v>
      </c>
      <c r="H423" s="20" t="str">
        <f>IF(ISBLANK($E423),"",INDEX(Sheet1!$A:$J,MATCH(Index_Match!$E423,Sheet1!$A:$A,0),MATCH(Index_Match!H$1,Sheet1!$A$1:$J$1,0)))</f>
        <v>Single</v>
      </c>
      <c r="I423" s="23">
        <f>IF(ISBLANK($E423),"",INDEX(Sheet1!$A:$J,MATCH(Index_Match!$E423,Sheet1!$A:$A,0),MATCH(Index_Match!I$1,Sheet1!$A$1:$J$1,0)))</f>
        <v>0</v>
      </c>
      <c r="J423" s="20" t="str">
        <f>IF(ISBLANK($E423),"",INDEX(Sheet1!$A:$J,MATCH(Index_Match!$E423,Sheet1!$A:$A,0),MATCH(Index_Match!J$1,Sheet1!$A$1:$J$1,0)))</f>
        <v>Alissa Ferguson</v>
      </c>
      <c r="K423" s="23">
        <f>IF(ISBLANK($E423),"",INDEX(Sheet1!$A:$J,MATCH(Index_Match!$E423,Sheet1!$A:$A,0),MATCH(Index_Match!K$1,Sheet1!$A$1:$J$1,0)))</f>
        <v>0</v>
      </c>
      <c r="L423" s="20" t="str">
        <f>IF(ISBLANK($E423),"",INDEX(Sheet1!$A:$J,MATCH(Index_Match!$E423,Sheet1!$A:$A,0),MATCH(Index_Match!L$1,Sheet1!$A$1:$J$1,0)))</f>
        <v>Ferguson</v>
      </c>
      <c r="M423" s="20" t="str">
        <f>IF(ISBLANK($E423),"",INDEX(Sheet1!$A:$J,MATCH(Index_Match!$E423,Sheet1!$A:$A,0),MATCH(Index_Match!M$1,Sheet1!$A$1:$J$1,0)))</f>
        <v>Middle Age</v>
      </c>
    </row>
    <row r="424" spans="2:13" x14ac:dyDescent="0.25">
      <c r="B424" s="20"/>
      <c r="C424" s="20"/>
      <c r="D424" s="20"/>
      <c r="E424" s="20" t="str">
        <v>Alina</v>
      </c>
      <c r="F424" s="20" t="str">
        <f>IF(ISBLANK($E424),"",INDEX(Sheet1!$A:$J,MATCH(Index_Match!$E424,Sheet1!$A:$A,0),MATCH(Index_Match!F$1,Sheet1!$A$1:$J$1,0)))</f>
        <v>Female</v>
      </c>
      <c r="G424" s="20" t="str">
        <f>IF(ISBLANK($E424),"",INDEX(Sheet1!$A:$J,MATCH(Index_Match!$E424,Sheet1!$A:$A,0),MATCH(Index_Match!G$1,Sheet1!$A$1:$J$1,0)))</f>
        <v>Engineer</v>
      </c>
      <c r="H424" s="20" t="str">
        <f>IF(ISBLANK($E424),"",INDEX(Sheet1!$A:$J,MATCH(Index_Match!$E424,Sheet1!$A:$A,0),MATCH(Index_Match!H$1,Sheet1!$A$1:$J$1,0)))</f>
        <v>Single</v>
      </c>
      <c r="I424" s="23">
        <f>IF(ISBLANK($E424),"",INDEX(Sheet1!$A:$J,MATCH(Index_Match!$E424,Sheet1!$A:$A,0),MATCH(Index_Match!I$1,Sheet1!$A$1:$J$1,0)))</f>
        <v>0</v>
      </c>
      <c r="J424" s="20" t="str">
        <f>IF(ISBLANK($E424),"",INDEX(Sheet1!$A:$J,MATCH(Index_Match!$E424,Sheet1!$A:$A,0),MATCH(Index_Match!J$1,Sheet1!$A$1:$J$1,0)))</f>
        <v>Alina Russell</v>
      </c>
      <c r="K424" s="23">
        <f>IF(ISBLANK($E424),"",INDEX(Sheet1!$A:$J,MATCH(Index_Match!$E424,Sheet1!$A:$A,0),MATCH(Index_Match!K$1,Sheet1!$A$1:$J$1,0)))</f>
        <v>0</v>
      </c>
      <c r="L424" s="20" t="str">
        <f>IF(ISBLANK($E424),"",INDEX(Sheet1!$A:$J,MATCH(Index_Match!$E424,Sheet1!$A:$A,0),MATCH(Index_Match!L$1,Sheet1!$A$1:$J$1,0)))</f>
        <v>Russell</v>
      </c>
      <c r="M424" s="20" t="str">
        <f>IF(ISBLANK($E424),"",INDEX(Sheet1!$A:$J,MATCH(Index_Match!$E424,Sheet1!$A:$A,0),MATCH(Index_Match!M$1,Sheet1!$A$1:$J$1,0)))</f>
        <v>Old</v>
      </c>
    </row>
    <row r="425" spans="2:13" x14ac:dyDescent="0.25">
      <c r="B425" s="20"/>
      <c r="C425" s="20"/>
      <c r="D425" s="20"/>
      <c r="E425" s="20" t="str">
        <v>Agata</v>
      </c>
      <c r="F425" s="20" t="str">
        <f>IF(ISBLANK($E425),"",INDEX(Sheet1!$A:$J,MATCH(Index_Match!$E425,Sheet1!$A:$A,0),MATCH(Index_Match!F$1,Sheet1!$A$1:$J$1,0)))</f>
        <v>Female</v>
      </c>
      <c r="G425" s="20" t="str">
        <f>IF(ISBLANK($E425),"",INDEX(Sheet1!$A:$J,MATCH(Index_Match!$E425,Sheet1!$A:$A,0),MATCH(Index_Match!G$1,Sheet1!$A$1:$J$1,0)))</f>
        <v>Meteorologist</v>
      </c>
      <c r="H425" s="20" t="str">
        <f>IF(ISBLANK($E425),"",INDEX(Sheet1!$A:$J,MATCH(Index_Match!$E425,Sheet1!$A:$A,0),MATCH(Index_Match!H$1,Sheet1!$A$1:$J$1,0)))</f>
        <v>Single</v>
      </c>
      <c r="I425" s="23">
        <f>IF(ISBLANK($E425),"",INDEX(Sheet1!$A:$J,MATCH(Index_Match!$E425,Sheet1!$A:$A,0),MATCH(Index_Match!I$1,Sheet1!$A$1:$J$1,0)))</f>
        <v>0</v>
      </c>
      <c r="J425" s="20" t="str">
        <f>IF(ISBLANK($E425),"",INDEX(Sheet1!$A:$J,MATCH(Index_Match!$E425,Sheet1!$A:$A,0),MATCH(Index_Match!J$1,Sheet1!$A$1:$J$1,0)))</f>
        <v>Agata Adams</v>
      </c>
      <c r="K425" s="23">
        <f>IF(ISBLANK($E425),"",INDEX(Sheet1!$A:$J,MATCH(Index_Match!$E425,Sheet1!$A:$A,0),MATCH(Index_Match!K$1,Sheet1!$A$1:$J$1,0)))</f>
        <v>0</v>
      </c>
      <c r="L425" s="20" t="str">
        <f>IF(ISBLANK($E425),"",INDEX(Sheet1!$A:$J,MATCH(Index_Match!$E425,Sheet1!$A:$A,0),MATCH(Index_Match!L$1,Sheet1!$A$1:$J$1,0)))</f>
        <v>Adams</v>
      </c>
      <c r="M425" s="20" t="str">
        <f>IF(ISBLANK($E425),"",INDEX(Sheet1!$A:$J,MATCH(Index_Match!$E425,Sheet1!$A:$A,0),MATCH(Index_Match!M$1,Sheet1!$A$1:$J$1,0)))</f>
        <v>Young</v>
      </c>
    </row>
    <row r="426" spans="2:13" x14ac:dyDescent="0.25">
      <c r="B426" s="20"/>
      <c r="C426" s="20"/>
      <c r="D426" s="20"/>
      <c r="E426" s="20" t="str">
        <v>Julia</v>
      </c>
      <c r="F426" s="20" t="str">
        <f>IF(ISBLANK($E426),"",INDEX(Sheet1!$A:$J,MATCH(Index_Match!$E426,Sheet1!$A:$A,0),MATCH(Index_Match!F$1,Sheet1!$A$1:$J$1,0)))</f>
        <v>Female</v>
      </c>
      <c r="G426" s="20" t="str">
        <f>IF(ISBLANK($E426),"",INDEX(Sheet1!$A:$J,MATCH(Index_Match!$E426,Sheet1!$A:$A,0),MATCH(Index_Match!G$1,Sheet1!$A$1:$J$1,0)))</f>
        <v>Interpreter</v>
      </c>
      <c r="H426" s="20" t="str">
        <f>IF(ISBLANK($E426),"",INDEX(Sheet1!$A:$J,MATCH(Index_Match!$E426,Sheet1!$A:$A,0),MATCH(Index_Match!H$1,Sheet1!$A$1:$J$1,0)))</f>
        <v>Single</v>
      </c>
      <c r="I426" s="23">
        <f>IF(ISBLANK($E426),"",INDEX(Sheet1!$A:$J,MATCH(Index_Match!$E426,Sheet1!$A:$A,0),MATCH(Index_Match!I$1,Sheet1!$A$1:$J$1,0)))</f>
        <v>5</v>
      </c>
      <c r="J426" s="20" t="str">
        <f>IF(ISBLANK($E426),"",INDEX(Sheet1!$A:$J,MATCH(Index_Match!$E426,Sheet1!$A:$A,0),MATCH(Index_Match!J$1,Sheet1!$A$1:$J$1,0)))</f>
        <v>Julia Harrison</v>
      </c>
      <c r="K426" s="23">
        <f>IF(ISBLANK($E426),"",INDEX(Sheet1!$A:$J,MATCH(Index_Match!$E426,Sheet1!$A:$A,0),MATCH(Index_Match!K$1,Sheet1!$A$1:$J$1,0)))</f>
        <v>5</v>
      </c>
      <c r="L426" s="20" t="str">
        <f>IF(ISBLANK($E426),"",INDEX(Sheet1!$A:$J,MATCH(Index_Match!$E426,Sheet1!$A:$A,0),MATCH(Index_Match!L$1,Sheet1!$A$1:$J$1,0)))</f>
        <v>Harrison</v>
      </c>
      <c r="M426" s="20" t="str">
        <f>IF(ISBLANK($E426),"",INDEX(Sheet1!$A:$J,MATCH(Index_Match!$E426,Sheet1!$A:$A,0),MATCH(Index_Match!M$1,Sheet1!$A$1:$J$1,0)))</f>
        <v>Young</v>
      </c>
    </row>
    <row r="427" spans="2:13" x14ac:dyDescent="0.25">
      <c r="B427" s="20"/>
      <c r="C427" s="20"/>
      <c r="D427" s="20"/>
      <c r="E427" s="20" t="str">
        <v>Rubie</v>
      </c>
      <c r="F427" s="20" t="str">
        <f>IF(ISBLANK($E427),"",INDEX(Sheet1!$A:$J,MATCH(Index_Match!$E427,Sheet1!$A:$A,0),MATCH(Index_Match!F$1,Sheet1!$A$1:$J$1,0)))</f>
        <v>Female</v>
      </c>
      <c r="G427" s="20" t="str">
        <f>IF(ISBLANK($E427),"",INDEX(Sheet1!$A:$J,MATCH(Index_Match!$E427,Sheet1!$A:$A,0),MATCH(Index_Match!G$1,Sheet1!$A$1:$J$1,0)))</f>
        <v>Auditor</v>
      </c>
      <c r="H427" s="20" t="str">
        <f>IF(ISBLANK($E427),"",INDEX(Sheet1!$A:$J,MATCH(Index_Match!$E427,Sheet1!$A:$A,0),MATCH(Index_Match!H$1,Sheet1!$A$1:$J$1,0)))</f>
        <v>Single</v>
      </c>
      <c r="I427" s="23">
        <f>IF(ISBLANK($E427),"",INDEX(Sheet1!$A:$J,MATCH(Index_Match!$E427,Sheet1!$A:$A,0),MATCH(Index_Match!I$1,Sheet1!$A$1:$J$1,0)))</f>
        <v>1</v>
      </c>
      <c r="J427" s="20" t="str">
        <f>IF(ISBLANK($E427),"",INDEX(Sheet1!$A:$J,MATCH(Index_Match!$E427,Sheet1!$A:$A,0),MATCH(Index_Match!J$1,Sheet1!$A$1:$J$1,0)))</f>
        <v>Rubie Clark</v>
      </c>
      <c r="K427" s="23">
        <f>IF(ISBLANK($E427),"",INDEX(Sheet1!$A:$J,MATCH(Index_Match!$E427,Sheet1!$A:$A,0),MATCH(Index_Match!K$1,Sheet1!$A$1:$J$1,0)))</f>
        <v>1</v>
      </c>
      <c r="L427" s="20" t="str">
        <f>IF(ISBLANK($E427),"",INDEX(Sheet1!$A:$J,MATCH(Index_Match!$E427,Sheet1!$A:$A,0),MATCH(Index_Match!L$1,Sheet1!$A$1:$J$1,0)))</f>
        <v>Clark</v>
      </c>
      <c r="M427" s="20" t="str">
        <f>IF(ISBLANK($E427),"",INDEX(Sheet1!$A:$J,MATCH(Index_Match!$E427,Sheet1!$A:$A,0),MATCH(Index_Match!M$1,Sheet1!$A$1:$J$1,0)))</f>
        <v>Young</v>
      </c>
    </row>
    <row r="428" spans="2:13" x14ac:dyDescent="0.25">
      <c r="B428" s="20"/>
      <c r="C428" s="20"/>
      <c r="D428" s="20"/>
      <c r="E428" s="20" t="str">
        <v>Samantha</v>
      </c>
      <c r="F428" s="20" t="str">
        <f>IF(ISBLANK($E428),"",INDEX(Sheet1!$A:$J,MATCH(Index_Match!$E428,Sheet1!$A:$A,0),MATCH(Index_Match!F$1,Sheet1!$A$1:$J$1,0)))</f>
        <v>Female</v>
      </c>
      <c r="G428" s="20" t="str">
        <f>IF(ISBLANK($E428),"",INDEX(Sheet1!$A:$J,MATCH(Index_Match!$E428,Sheet1!$A:$A,0),MATCH(Index_Match!G$1,Sheet1!$A$1:$J$1,0)))</f>
        <v>Carpenter</v>
      </c>
      <c r="H428" s="20" t="str">
        <f>IF(ISBLANK($E428),"",INDEX(Sheet1!$A:$J,MATCH(Index_Match!$E428,Sheet1!$A:$A,0),MATCH(Index_Match!H$1,Sheet1!$A$1:$J$1,0)))</f>
        <v>Married</v>
      </c>
      <c r="I428" s="23">
        <f>IF(ISBLANK($E428),"",INDEX(Sheet1!$A:$J,MATCH(Index_Match!$E428,Sheet1!$A:$A,0),MATCH(Index_Match!I$1,Sheet1!$A$1:$J$1,0)))</f>
        <v>0</v>
      </c>
      <c r="J428" s="20" t="str">
        <f>IF(ISBLANK($E428),"",INDEX(Sheet1!$A:$J,MATCH(Index_Match!$E428,Sheet1!$A:$A,0),MATCH(Index_Match!J$1,Sheet1!$A$1:$J$1,0)))</f>
        <v>Samantha Clark</v>
      </c>
      <c r="K428" s="23">
        <f>IF(ISBLANK($E428),"",INDEX(Sheet1!$A:$J,MATCH(Index_Match!$E428,Sheet1!$A:$A,0),MATCH(Index_Match!K$1,Sheet1!$A$1:$J$1,0)))</f>
        <v>0</v>
      </c>
      <c r="L428" s="20" t="str">
        <f>IF(ISBLANK($E428),"",INDEX(Sheet1!$A:$J,MATCH(Index_Match!$E428,Sheet1!$A:$A,0),MATCH(Index_Match!L$1,Sheet1!$A$1:$J$1,0)))</f>
        <v>Clark</v>
      </c>
      <c r="M428" s="20" t="str">
        <f>IF(ISBLANK($E428),"",INDEX(Sheet1!$A:$J,MATCH(Index_Match!$E428,Sheet1!$A:$A,0),MATCH(Index_Match!M$1,Sheet1!$A$1:$J$1,0)))</f>
        <v>Middle Age</v>
      </c>
    </row>
    <row r="429" spans="2:13" x14ac:dyDescent="0.25">
      <c r="B429" s="20"/>
      <c r="C429" s="20"/>
      <c r="D429" s="20"/>
      <c r="E429" s="20" t="str">
        <v>Edith</v>
      </c>
      <c r="F429" s="20" t="str">
        <f>IF(ISBLANK($E429),"",INDEX(Sheet1!$A:$J,MATCH(Index_Match!$E429,Sheet1!$A:$A,0),MATCH(Index_Match!F$1,Sheet1!$A$1:$J$1,0)))</f>
        <v>Female</v>
      </c>
      <c r="G429" s="20" t="str">
        <f>IF(ISBLANK($E429),"",INDEX(Sheet1!$A:$J,MATCH(Index_Match!$E429,Sheet1!$A:$A,0),MATCH(Index_Match!G$1,Sheet1!$A$1:$J$1,0)))</f>
        <v>Programmer</v>
      </c>
      <c r="H429" s="20" t="str">
        <f>IF(ISBLANK($E429),"",INDEX(Sheet1!$A:$J,MATCH(Index_Match!$E429,Sheet1!$A:$A,0),MATCH(Index_Match!H$1,Sheet1!$A$1:$J$1,0)))</f>
        <v>Single</v>
      </c>
      <c r="I429" s="23">
        <f>IF(ISBLANK($E429),"",INDEX(Sheet1!$A:$J,MATCH(Index_Match!$E429,Sheet1!$A:$A,0),MATCH(Index_Match!I$1,Sheet1!$A$1:$J$1,0)))</f>
        <v>3</v>
      </c>
      <c r="J429" s="20" t="str">
        <f>IF(ISBLANK($E429),"",INDEX(Sheet1!$A:$J,MATCH(Index_Match!$E429,Sheet1!$A:$A,0),MATCH(Index_Match!J$1,Sheet1!$A$1:$J$1,0)))</f>
        <v>Edith Hall</v>
      </c>
      <c r="K429" s="23">
        <f>IF(ISBLANK($E429),"",INDEX(Sheet1!$A:$J,MATCH(Index_Match!$E429,Sheet1!$A:$A,0),MATCH(Index_Match!K$1,Sheet1!$A$1:$J$1,0)))</f>
        <v>3</v>
      </c>
      <c r="L429" s="20" t="str">
        <f>IF(ISBLANK($E429),"",INDEX(Sheet1!$A:$J,MATCH(Index_Match!$E429,Sheet1!$A:$A,0),MATCH(Index_Match!L$1,Sheet1!$A$1:$J$1,0)))</f>
        <v>Hall</v>
      </c>
      <c r="M429" s="20" t="str">
        <f>IF(ISBLANK($E429),"",INDEX(Sheet1!$A:$J,MATCH(Index_Match!$E429,Sheet1!$A:$A,0),MATCH(Index_Match!M$1,Sheet1!$A$1:$J$1,0)))</f>
        <v>Young</v>
      </c>
    </row>
    <row r="430" spans="2:13" x14ac:dyDescent="0.25">
      <c r="B430" s="20"/>
      <c r="C430" s="20"/>
      <c r="D430" s="20"/>
      <c r="E430" s="20" t="str">
        <v>Violet</v>
      </c>
      <c r="F430" s="20" t="str">
        <f>IF(ISBLANK($E430),"",INDEX(Sheet1!$A:$J,MATCH(Index_Match!$E430,Sheet1!$A:$A,0),MATCH(Index_Match!F$1,Sheet1!$A$1:$J$1,0)))</f>
        <v>Female</v>
      </c>
      <c r="G430" s="20" t="str">
        <f>IF(ISBLANK($E430),"",INDEX(Sheet1!$A:$J,MATCH(Index_Match!$E430,Sheet1!$A:$A,0),MATCH(Index_Match!G$1,Sheet1!$A$1:$J$1,0)))</f>
        <v>Driver</v>
      </c>
      <c r="H430" s="20" t="str">
        <f>IF(ISBLANK($E430),"",INDEX(Sheet1!$A:$J,MATCH(Index_Match!$E430,Sheet1!$A:$A,0),MATCH(Index_Match!H$1,Sheet1!$A$1:$J$1,0)))</f>
        <v>Married</v>
      </c>
      <c r="I430" s="23">
        <f>IF(ISBLANK($E430),"",INDEX(Sheet1!$A:$J,MATCH(Index_Match!$E430,Sheet1!$A:$A,0),MATCH(Index_Match!I$1,Sheet1!$A$1:$J$1,0)))</f>
        <v>2</v>
      </c>
      <c r="J430" s="20" t="str">
        <f>IF(ISBLANK($E430),"",INDEX(Sheet1!$A:$J,MATCH(Index_Match!$E430,Sheet1!$A:$A,0),MATCH(Index_Match!J$1,Sheet1!$A$1:$J$1,0)))</f>
        <v>Violet Cooper</v>
      </c>
      <c r="K430" s="23">
        <f>IF(ISBLANK($E430),"",INDEX(Sheet1!$A:$J,MATCH(Index_Match!$E430,Sheet1!$A:$A,0),MATCH(Index_Match!K$1,Sheet1!$A$1:$J$1,0)))</f>
        <v>2</v>
      </c>
      <c r="L430" s="20" t="str">
        <f>IF(ISBLANK($E430),"",INDEX(Sheet1!$A:$J,MATCH(Index_Match!$E430,Sheet1!$A:$A,0),MATCH(Index_Match!L$1,Sheet1!$A$1:$J$1,0)))</f>
        <v>Cooper</v>
      </c>
      <c r="M430" s="20" t="str">
        <f>IF(ISBLANK($E430),"",INDEX(Sheet1!$A:$J,MATCH(Index_Match!$E430,Sheet1!$A:$A,0),MATCH(Index_Match!M$1,Sheet1!$A$1:$J$1,0)))</f>
        <v>Old</v>
      </c>
    </row>
    <row r="431" spans="2:13" x14ac:dyDescent="0.25">
      <c r="B431" s="20"/>
      <c r="C431" s="20"/>
      <c r="D431" s="20"/>
      <c r="E431" s="20" t="str">
        <v>Camila</v>
      </c>
      <c r="F431" s="20" t="str">
        <f>IF(ISBLANK($E431),"",INDEX(Sheet1!$A:$J,MATCH(Index_Match!$E431,Sheet1!$A:$A,0),MATCH(Index_Match!F$1,Sheet1!$A$1:$J$1,0)))</f>
        <v>Female</v>
      </c>
      <c r="G431" s="20" t="str">
        <f>IF(ISBLANK($E431),"",INDEX(Sheet1!$A:$J,MATCH(Index_Match!$E431,Sheet1!$A:$A,0),MATCH(Index_Match!G$1,Sheet1!$A$1:$J$1,0)))</f>
        <v>Veterinarian</v>
      </c>
      <c r="H431" s="20" t="str">
        <f>IF(ISBLANK($E431),"",INDEX(Sheet1!$A:$J,MATCH(Index_Match!$E431,Sheet1!$A:$A,0),MATCH(Index_Match!H$1,Sheet1!$A$1:$J$1,0)))</f>
        <v>Single</v>
      </c>
      <c r="I431" s="23">
        <f>IF(ISBLANK($E431),"",INDEX(Sheet1!$A:$J,MATCH(Index_Match!$E431,Sheet1!$A:$A,0),MATCH(Index_Match!I$1,Sheet1!$A$1:$J$1,0)))</f>
        <v>5</v>
      </c>
      <c r="J431" s="20" t="str">
        <f>IF(ISBLANK($E431),"",INDEX(Sheet1!$A:$J,MATCH(Index_Match!$E431,Sheet1!$A:$A,0),MATCH(Index_Match!J$1,Sheet1!$A$1:$J$1,0)))</f>
        <v>Camila Mitchell</v>
      </c>
      <c r="K431" s="23">
        <f>IF(ISBLANK($E431),"",INDEX(Sheet1!$A:$J,MATCH(Index_Match!$E431,Sheet1!$A:$A,0),MATCH(Index_Match!K$1,Sheet1!$A$1:$J$1,0)))</f>
        <v>5</v>
      </c>
      <c r="L431" s="20" t="str">
        <f>IF(ISBLANK($E431),"",INDEX(Sheet1!$A:$J,MATCH(Index_Match!$E431,Sheet1!$A:$A,0),MATCH(Index_Match!L$1,Sheet1!$A$1:$J$1,0)))</f>
        <v>Mitchell</v>
      </c>
      <c r="M431" s="20" t="str">
        <f>IF(ISBLANK($E431),"",INDEX(Sheet1!$A:$J,MATCH(Index_Match!$E431,Sheet1!$A:$A,0),MATCH(Index_Match!M$1,Sheet1!$A$1:$J$1,0)))</f>
        <v>Middle Age</v>
      </c>
    </row>
    <row r="432" spans="2:13" x14ac:dyDescent="0.25">
      <c r="B432" s="20"/>
      <c r="C432" s="20"/>
      <c r="D432" s="20"/>
      <c r="E432" s="20" t="str">
        <v>Abigail</v>
      </c>
      <c r="F432" s="20" t="str">
        <f>IF(ISBLANK($E432),"",INDEX(Sheet1!$A:$J,MATCH(Index_Match!$E432,Sheet1!$A:$A,0),MATCH(Index_Match!F$1,Sheet1!$A$1:$J$1,0)))</f>
        <v>Female</v>
      </c>
      <c r="G432" s="20" t="str">
        <f>IF(ISBLANK($E432),"",INDEX(Sheet1!$A:$J,MATCH(Index_Match!$E432,Sheet1!$A:$A,0),MATCH(Index_Match!G$1,Sheet1!$A$1:$J$1,0)))</f>
        <v>Fine Artist</v>
      </c>
      <c r="H432" s="20" t="str">
        <f>IF(ISBLANK($E432),"",INDEX(Sheet1!$A:$J,MATCH(Index_Match!$E432,Sheet1!$A:$A,0),MATCH(Index_Match!H$1,Sheet1!$A$1:$J$1,0)))</f>
        <v>Married</v>
      </c>
      <c r="I432" s="23">
        <f>IF(ISBLANK($E432),"",INDEX(Sheet1!$A:$J,MATCH(Index_Match!$E432,Sheet1!$A:$A,0),MATCH(Index_Match!I$1,Sheet1!$A$1:$J$1,0)))</f>
        <v>0</v>
      </c>
      <c r="J432" s="20" t="str">
        <f>IF(ISBLANK($E432),"",INDEX(Sheet1!$A:$J,MATCH(Index_Match!$E432,Sheet1!$A:$A,0),MATCH(Index_Match!J$1,Sheet1!$A$1:$J$1,0)))</f>
        <v>Abigail Ryan</v>
      </c>
      <c r="K432" s="23">
        <f>IF(ISBLANK($E432),"",INDEX(Sheet1!$A:$J,MATCH(Index_Match!$E432,Sheet1!$A:$A,0),MATCH(Index_Match!K$1,Sheet1!$A$1:$J$1,0)))</f>
        <v>0</v>
      </c>
      <c r="L432" s="20" t="str">
        <f>IF(ISBLANK($E432),"",INDEX(Sheet1!$A:$J,MATCH(Index_Match!$E432,Sheet1!$A:$A,0),MATCH(Index_Match!L$1,Sheet1!$A$1:$J$1,0)))</f>
        <v>Ryan</v>
      </c>
      <c r="M432" s="20" t="str">
        <f>IF(ISBLANK($E432),"",INDEX(Sheet1!$A:$J,MATCH(Index_Match!$E432,Sheet1!$A:$A,0),MATCH(Index_Match!M$1,Sheet1!$A$1:$J$1,0)))</f>
        <v>Old</v>
      </c>
    </row>
    <row r="433" spans="2:13" x14ac:dyDescent="0.25">
      <c r="B433" s="20"/>
      <c r="C433" s="20"/>
      <c r="D433" s="20"/>
      <c r="E433" s="20" t="str">
        <v>Samantha</v>
      </c>
      <c r="F433" s="20" t="str">
        <f>IF(ISBLANK($E433),"",INDEX(Sheet1!$A:$J,MATCH(Index_Match!$E433,Sheet1!$A:$A,0),MATCH(Index_Match!F$1,Sheet1!$A$1:$J$1,0)))</f>
        <v>Female</v>
      </c>
      <c r="G433" s="20" t="str">
        <f>IF(ISBLANK($E433),"",INDEX(Sheet1!$A:$J,MATCH(Index_Match!$E433,Sheet1!$A:$A,0),MATCH(Index_Match!G$1,Sheet1!$A$1:$J$1,0)))</f>
        <v>Carpenter</v>
      </c>
      <c r="H433" s="20" t="str">
        <f>IF(ISBLANK($E433),"",INDEX(Sheet1!$A:$J,MATCH(Index_Match!$E433,Sheet1!$A:$A,0),MATCH(Index_Match!H$1,Sheet1!$A$1:$J$1,0)))</f>
        <v>Married</v>
      </c>
      <c r="I433" s="23">
        <f>IF(ISBLANK($E433),"",INDEX(Sheet1!$A:$J,MATCH(Index_Match!$E433,Sheet1!$A:$A,0),MATCH(Index_Match!I$1,Sheet1!$A$1:$J$1,0)))</f>
        <v>0</v>
      </c>
      <c r="J433" s="20" t="str">
        <f>IF(ISBLANK($E433),"",INDEX(Sheet1!$A:$J,MATCH(Index_Match!$E433,Sheet1!$A:$A,0),MATCH(Index_Match!J$1,Sheet1!$A$1:$J$1,0)))</f>
        <v>Samantha Clark</v>
      </c>
      <c r="K433" s="23">
        <f>IF(ISBLANK($E433),"",INDEX(Sheet1!$A:$J,MATCH(Index_Match!$E433,Sheet1!$A:$A,0),MATCH(Index_Match!K$1,Sheet1!$A$1:$J$1,0)))</f>
        <v>0</v>
      </c>
      <c r="L433" s="20" t="str">
        <f>IF(ISBLANK($E433),"",INDEX(Sheet1!$A:$J,MATCH(Index_Match!$E433,Sheet1!$A:$A,0),MATCH(Index_Match!L$1,Sheet1!$A$1:$J$1,0)))</f>
        <v>Clark</v>
      </c>
      <c r="M433" s="20" t="str">
        <f>IF(ISBLANK($E433),"",INDEX(Sheet1!$A:$J,MATCH(Index_Match!$E433,Sheet1!$A:$A,0),MATCH(Index_Match!M$1,Sheet1!$A$1:$J$1,0)))</f>
        <v>Middle Age</v>
      </c>
    </row>
    <row r="434" spans="2:13" x14ac:dyDescent="0.25">
      <c r="B434" s="20"/>
      <c r="C434" s="20"/>
      <c r="D434" s="20"/>
      <c r="E434" s="20" t="str">
        <v>Tess</v>
      </c>
      <c r="F434" s="20" t="str">
        <f>IF(ISBLANK($E434),"",INDEX(Sheet1!$A:$J,MATCH(Index_Match!$E434,Sheet1!$A:$A,0),MATCH(Index_Match!F$1,Sheet1!$A$1:$J$1,0)))</f>
        <v>Female</v>
      </c>
      <c r="G434" s="20" t="str">
        <f>IF(ISBLANK($E434),"",INDEX(Sheet1!$A:$J,MATCH(Index_Match!$E434,Sheet1!$A:$A,0),MATCH(Index_Match!G$1,Sheet1!$A$1:$J$1,0)))</f>
        <v>Cook</v>
      </c>
      <c r="H434" s="20" t="str">
        <f>IF(ISBLANK($E434),"",INDEX(Sheet1!$A:$J,MATCH(Index_Match!$E434,Sheet1!$A:$A,0),MATCH(Index_Match!H$1,Sheet1!$A$1:$J$1,0)))</f>
        <v>Single</v>
      </c>
      <c r="I434" s="23">
        <f>IF(ISBLANK($E434),"",INDEX(Sheet1!$A:$J,MATCH(Index_Match!$E434,Sheet1!$A:$A,0),MATCH(Index_Match!I$1,Sheet1!$A$1:$J$1,0)))</f>
        <v>2</v>
      </c>
      <c r="J434" s="20" t="str">
        <f>IF(ISBLANK($E434),"",INDEX(Sheet1!$A:$J,MATCH(Index_Match!$E434,Sheet1!$A:$A,0),MATCH(Index_Match!J$1,Sheet1!$A$1:$J$1,0)))</f>
        <v>Tess Adams</v>
      </c>
      <c r="K434" s="23">
        <f>IF(ISBLANK($E434),"",INDEX(Sheet1!$A:$J,MATCH(Index_Match!$E434,Sheet1!$A:$A,0),MATCH(Index_Match!K$1,Sheet1!$A$1:$J$1,0)))</f>
        <v>2</v>
      </c>
      <c r="L434" s="20" t="str">
        <f>IF(ISBLANK($E434),"",INDEX(Sheet1!$A:$J,MATCH(Index_Match!$E434,Sheet1!$A:$A,0),MATCH(Index_Match!L$1,Sheet1!$A$1:$J$1,0)))</f>
        <v>Adams</v>
      </c>
      <c r="M434" s="20" t="str">
        <f>IF(ISBLANK($E434),"",INDEX(Sheet1!$A:$J,MATCH(Index_Match!$E434,Sheet1!$A:$A,0),MATCH(Index_Match!M$1,Sheet1!$A$1:$J$1,0)))</f>
        <v>Young</v>
      </c>
    </row>
    <row r="435" spans="2:13" x14ac:dyDescent="0.25">
      <c r="B435" s="20"/>
      <c r="C435" s="20"/>
      <c r="D435" s="20"/>
      <c r="E435" s="20" t="str">
        <v>Darcy</v>
      </c>
      <c r="F435" s="20" t="str">
        <f>IF(ISBLANK($E435),"",INDEX(Sheet1!$A:$J,MATCH(Index_Match!$E435,Sheet1!$A:$A,0),MATCH(Index_Match!F$1,Sheet1!$A$1:$J$1,0)))</f>
        <v>Female</v>
      </c>
      <c r="G435" s="20" t="str">
        <f>IF(ISBLANK($E435),"",INDEX(Sheet1!$A:$J,MATCH(Index_Match!$E435,Sheet1!$A:$A,0),MATCH(Index_Match!G$1,Sheet1!$A$1:$J$1,0)))</f>
        <v>Producer</v>
      </c>
      <c r="H435" s="20" t="str">
        <f>IF(ISBLANK($E435),"",INDEX(Sheet1!$A:$J,MATCH(Index_Match!$E435,Sheet1!$A:$A,0),MATCH(Index_Match!H$1,Sheet1!$A$1:$J$1,0)))</f>
        <v>Single</v>
      </c>
      <c r="I435" s="23">
        <f>IF(ISBLANK($E435),"",INDEX(Sheet1!$A:$J,MATCH(Index_Match!$E435,Sheet1!$A:$A,0),MATCH(Index_Match!I$1,Sheet1!$A$1:$J$1,0)))</f>
        <v>3</v>
      </c>
      <c r="J435" s="20" t="str">
        <f>IF(ISBLANK($E435),"",INDEX(Sheet1!$A:$J,MATCH(Index_Match!$E435,Sheet1!$A:$A,0),MATCH(Index_Match!J$1,Sheet1!$A$1:$J$1,0)))</f>
        <v>Darcy Fowler</v>
      </c>
      <c r="K435" s="23">
        <f>IF(ISBLANK($E435),"",INDEX(Sheet1!$A:$J,MATCH(Index_Match!$E435,Sheet1!$A:$A,0),MATCH(Index_Match!K$1,Sheet1!$A$1:$J$1,0)))</f>
        <v>3</v>
      </c>
      <c r="L435" s="20" t="str">
        <f>IF(ISBLANK($E435),"",INDEX(Sheet1!$A:$J,MATCH(Index_Match!$E435,Sheet1!$A:$A,0),MATCH(Index_Match!L$1,Sheet1!$A$1:$J$1,0)))</f>
        <v>Fowler</v>
      </c>
      <c r="M435" s="20" t="str">
        <f>IF(ISBLANK($E435),"",INDEX(Sheet1!$A:$J,MATCH(Index_Match!$E435,Sheet1!$A:$A,0),MATCH(Index_Match!M$1,Sheet1!$A$1:$J$1,0)))</f>
        <v>Old</v>
      </c>
    </row>
    <row r="436" spans="2:13" x14ac:dyDescent="0.25">
      <c r="B436" s="20"/>
      <c r="C436" s="20"/>
      <c r="D436" s="20"/>
      <c r="E436" s="20" t="str">
        <v>Miranda</v>
      </c>
      <c r="F436" s="20" t="str">
        <f>IF(ISBLANK($E436),"",INDEX(Sheet1!$A:$J,MATCH(Index_Match!$E436,Sheet1!$A:$A,0),MATCH(Index_Match!F$1,Sheet1!$A$1:$J$1,0)))</f>
        <v>Female</v>
      </c>
      <c r="G436" s="20" t="str">
        <f>IF(ISBLANK($E436),"",INDEX(Sheet1!$A:$J,MATCH(Index_Match!$E436,Sheet1!$A:$A,0),MATCH(Index_Match!G$1,Sheet1!$A$1:$J$1,0)))</f>
        <v>Astronomer</v>
      </c>
      <c r="H436" s="20" t="str">
        <f>IF(ISBLANK($E436),"",INDEX(Sheet1!$A:$J,MATCH(Index_Match!$E436,Sheet1!$A:$A,0),MATCH(Index_Match!H$1,Sheet1!$A$1:$J$1,0)))</f>
        <v>Married</v>
      </c>
      <c r="I436" s="23">
        <f>IF(ISBLANK($E436),"",INDEX(Sheet1!$A:$J,MATCH(Index_Match!$E436,Sheet1!$A:$A,0),MATCH(Index_Match!I$1,Sheet1!$A$1:$J$1,0)))</f>
        <v>3</v>
      </c>
      <c r="J436" s="20" t="str">
        <f>IF(ISBLANK($E436),"",INDEX(Sheet1!$A:$J,MATCH(Index_Match!$E436,Sheet1!$A:$A,0),MATCH(Index_Match!J$1,Sheet1!$A$1:$J$1,0)))</f>
        <v>Miranda Douglas</v>
      </c>
      <c r="K436" s="23">
        <f>IF(ISBLANK($E436),"",INDEX(Sheet1!$A:$J,MATCH(Index_Match!$E436,Sheet1!$A:$A,0),MATCH(Index_Match!K$1,Sheet1!$A$1:$J$1,0)))</f>
        <v>3</v>
      </c>
      <c r="L436" s="20" t="str">
        <f>IF(ISBLANK($E436),"",INDEX(Sheet1!$A:$J,MATCH(Index_Match!$E436,Sheet1!$A:$A,0),MATCH(Index_Match!L$1,Sheet1!$A$1:$J$1,0)))</f>
        <v>Douglas</v>
      </c>
      <c r="M436" s="20" t="str">
        <f>IF(ISBLANK($E436),"",INDEX(Sheet1!$A:$J,MATCH(Index_Match!$E436,Sheet1!$A:$A,0),MATCH(Index_Match!M$1,Sheet1!$A$1:$J$1,0)))</f>
        <v>Young</v>
      </c>
    </row>
    <row r="437" spans="2:13" x14ac:dyDescent="0.25">
      <c r="B437" s="20"/>
      <c r="C437" s="20"/>
      <c r="D437" s="20"/>
      <c r="E437" s="20" t="str">
        <v>Hailey</v>
      </c>
      <c r="F437" s="20" t="str">
        <f>IF(ISBLANK($E437),"",INDEX(Sheet1!$A:$J,MATCH(Index_Match!$E437,Sheet1!$A:$A,0),MATCH(Index_Match!F$1,Sheet1!$A$1:$J$1,0)))</f>
        <v>Female</v>
      </c>
      <c r="G437" s="20" t="str">
        <f>IF(ISBLANK($E437),"",INDEX(Sheet1!$A:$J,MATCH(Index_Match!$E437,Sheet1!$A:$A,0),MATCH(Index_Match!G$1,Sheet1!$A$1:$J$1,0)))</f>
        <v>Insurer</v>
      </c>
      <c r="H437" s="20" t="str">
        <f>IF(ISBLANK($E437),"",INDEX(Sheet1!$A:$J,MATCH(Index_Match!$E437,Sheet1!$A:$A,0),MATCH(Index_Match!H$1,Sheet1!$A$1:$J$1,0)))</f>
        <v>Married</v>
      </c>
      <c r="I437" s="23">
        <f>IF(ISBLANK($E437),"",INDEX(Sheet1!$A:$J,MATCH(Index_Match!$E437,Sheet1!$A:$A,0),MATCH(Index_Match!I$1,Sheet1!$A$1:$J$1,0)))</f>
        <v>1</v>
      </c>
      <c r="J437" s="20" t="str">
        <f>IF(ISBLANK($E437),"",INDEX(Sheet1!$A:$J,MATCH(Index_Match!$E437,Sheet1!$A:$A,0),MATCH(Index_Match!J$1,Sheet1!$A$1:$J$1,0)))</f>
        <v>Hailey Cooper</v>
      </c>
      <c r="K437" s="23">
        <f>IF(ISBLANK($E437),"",INDEX(Sheet1!$A:$J,MATCH(Index_Match!$E437,Sheet1!$A:$A,0),MATCH(Index_Match!K$1,Sheet1!$A$1:$J$1,0)))</f>
        <v>1</v>
      </c>
      <c r="L437" s="20" t="str">
        <f>IF(ISBLANK($E437),"",INDEX(Sheet1!$A:$J,MATCH(Index_Match!$E437,Sheet1!$A:$A,0),MATCH(Index_Match!L$1,Sheet1!$A$1:$J$1,0)))</f>
        <v>Cooper</v>
      </c>
      <c r="M437" s="20" t="str">
        <f>IF(ISBLANK($E437),"",INDEX(Sheet1!$A:$J,MATCH(Index_Match!$E437,Sheet1!$A:$A,0),MATCH(Index_Match!M$1,Sheet1!$A$1:$J$1,0)))</f>
        <v>Old</v>
      </c>
    </row>
    <row r="438" spans="2:13" x14ac:dyDescent="0.25">
      <c r="B438" s="20"/>
      <c r="C438" s="20"/>
      <c r="D438" s="20"/>
      <c r="E438" s="20" t="str">
        <v>Maddie</v>
      </c>
      <c r="F438" s="20" t="str">
        <f>IF(ISBLANK($E438),"",INDEX(Sheet1!$A:$J,MATCH(Index_Match!$E438,Sheet1!$A:$A,0),MATCH(Index_Match!F$1,Sheet1!$A$1:$J$1,0)))</f>
        <v>Female</v>
      </c>
      <c r="G438" s="20" t="str">
        <f>IF(ISBLANK($E438),"",INDEX(Sheet1!$A:$J,MATCH(Index_Match!$E438,Sheet1!$A:$A,0),MATCH(Index_Match!G$1,Sheet1!$A$1:$J$1,0)))</f>
        <v>Engineer</v>
      </c>
      <c r="H438" s="20" t="str">
        <f>IF(ISBLANK($E438),"",INDEX(Sheet1!$A:$J,MATCH(Index_Match!$E438,Sheet1!$A:$A,0),MATCH(Index_Match!H$1,Sheet1!$A$1:$J$1,0)))</f>
        <v>Single</v>
      </c>
      <c r="I438" s="23">
        <f>IF(ISBLANK($E438),"",INDEX(Sheet1!$A:$J,MATCH(Index_Match!$E438,Sheet1!$A:$A,0),MATCH(Index_Match!I$1,Sheet1!$A$1:$J$1,0)))</f>
        <v>5</v>
      </c>
      <c r="J438" s="20" t="str">
        <f>IF(ISBLANK($E438),"",INDEX(Sheet1!$A:$J,MATCH(Index_Match!$E438,Sheet1!$A:$A,0),MATCH(Index_Match!J$1,Sheet1!$A$1:$J$1,0)))</f>
        <v>Maddie Hamilton</v>
      </c>
      <c r="K438" s="23">
        <f>IF(ISBLANK($E438),"",INDEX(Sheet1!$A:$J,MATCH(Index_Match!$E438,Sheet1!$A:$A,0),MATCH(Index_Match!K$1,Sheet1!$A$1:$J$1,0)))</f>
        <v>5</v>
      </c>
      <c r="L438" s="20" t="str">
        <f>IF(ISBLANK($E438),"",INDEX(Sheet1!$A:$J,MATCH(Index_Match!$E438,Sheet1!$A:$A,0),MATCH(Index_Match!L$1,Sheet1!$A$1:$J$1,0)))</f>
        <v>Hamilton</v>
      </c>
      <c r="M438" s="20" t="str">
        <f>IF(ISBLANK($E438),"",INDEX(Sheet1!$A:$J,MATCH(Index_Match!$E438,Sheet1!$A:$A,0),MATCH(Index_Match!M$1,Sheet1!$A$1:$J$1,0)))</f>
        <v>Middle Age</v>
      </c>
    </row>
    <row r="439" spans="2:13" x14ac:dyDescent="0.25">
      <c r="B439" s="20"/>
      <c r="C439" s="20"/>
      <c r="D439" s="20"/>
      <c r="E439" s="20" t="str">
        <v>Cherry</v>
      </c>
      <c r="F439" s="20" t="str">
        <f>IF(ISBLANK($E439),"",INDEX(Sheet1!$A:$J,MATCH(Index_Match!$E439,Sheet1!$A:$A,0),MATCH(Index_Match!F$1,Sheet1!$A$1:$J$1,0)))</f>
        <v>Female</v>
      </c>
      <c r="G439" s="20" t="str">
        <f>IF(ISBLANK($E439),"",INDEX(Sheet1!$A:$J,MATCH(Index_Match!$E439,Sheet1!$A:$A,0),MATCH(Index_Match!G$1,Sheet1!$A$1:$J$1,0)))</f>
        <v>Singer</v>
      </c>
      <c r="H439" s="20" t="str">
        <f>IF(ISBLANK($E439),"",INDEX(Sheet1!$A:$J,MATCH(Index_Match!$E439,Sheet1!$A:$A,0),MATCH(Index_Match!H$1,Sheet1!$A$1:$J$1,0)))</f>
        <v>Married</v>
      </c>
      <c r="I439" s="23">
        <f>IF(ISBLANK($E439),"",INDEX(Sheet1!$A:$J,MATCH(Index_Match!$E439,Sheet1!$A:$A,0),MATCH(Index_Match!I$1,Sheet1!$A$1:$J$1,0)))</f>
        <v>5</v>
      </c>
      <c r="J439" s="20" t="str">
        <f>IF(ISBLANK($E439),"",INDEX(Sheet1!$A:$J,MATCH(Index_Match!$E439,Sheet1!$A:$A,0),MATCH(Index_Match!J$1,Sheet1!$A$1:$J$1,0)))</f>
        <v>Cherry Anderson</v>
      </c>
      <c r="K439" s="23">
        <f>IF(ISBLANK($E439),"",INDEX(Sheet1!$A:$J,MATCH(Index_Match!$E439,Sheet1!$A:$A,0),MATCH(Index_Match!K$1,Sheet1!$A$1:$J$1,0)))</f>
        <v>5</v>
      </c>
      <c r="L439" s="20" t="str">
        <f>IF(ISBLANK($E439),"",INDEX(Sheet1!$A:$J,MATCH(Index_Match!$E439,Sheet1!$A:$A,0),MATCH(Index_Match!L$1,Sheet1!$A$1:$J$1,0)))</f>
        <v>Anderson</v>
      </c>
      <c r="M439" s="20" t="str">
        <f>IF(ISBLANK($E439),"",INDEX(Sheet1!$A:$J,MATCH(Index_Match!$E439,Sheet1!$A:$A,0),MATCH(Index_Match!M$1,Sheet1!$A$1:$J$1,0)))</f>
        <v>Middle Age</v>
      </c>
    </row>
    <row r="440" spans="2:13" x14ac:dyDescent="0.25">
      <c r="B440" s="20"/>
      <c r="C440" s="20"/>
      <c r="D440" s="20"/>
      <c r="E440" s="20" t="str">
        <v>Emma</v>
      </c>
      <c r="F440" s="20" t="str">
        <f>IF(ISBLANK($E440),"",INDEX(Sheet1!$A:$J,MATCH(Index_Match!$E440,Sheet1!$A:$A,0),MATCH(Index_Match!F$1,Sheet1!$A$1:$J$1,0)))</f>
        <v>Female</v>
      </c>
      <c r="G440" s="20" t="str">
        <f>IF(ISBLANK($E440),"",INDEX(Sheet1!$A:$J,MATCH(Index_Match!$E440,Sheet1!$A:$A,0),MATCH(Index_Match!G$1,Sheet1!$A$1:$J$1,0)))</f>
        <v>Baker</v>
      </c>
      <c r="H440" s="20" t="str">
        <f>IF(ISBLANK($E440),"",INDEX(Sheet1!$A:$J,MATCH(Index_Match!$E440,Sheet1!$A:$A,0),MATCH(Index_Match!H$1,Sheet1!$A$1:$J$1,0)))</f>
        <v>Married</v>
      </c>
      <c r="I440" s="23">
        <f>IF(ISBLANK($E440),"",INDEX(Sheet1!$A:$J,MATCH(Index_Match!$E440,Sheet1!$A:$A,0),MATCH(Index_Match!I$1,Sheet1!$A$1:$J$1,0)))</f>
        <v>2</v>
      </c>
      <c r="J440" s="20" t="str">
        <f>IF(ISBLANK($E440),"",INDEX(Sheet1!$A:$J,MATCH(Index_Match!$E440,Sheet1!$A:$A,0),MATCH(Index_Match!J$1,Sheet1!$A$1:$J$1,0)))</f>
        <v>Emma Farrell</v>
      </c>
      <c r="K440" s="23">
        <f>IF(ISBLANK($E440),"",INDEX(Sheet1!$A:$J,MATCH(Index_Match!$E440,Sheet1!$A:$A,0),MATCH(Index_Match!K$1,Sheet1!$A$1:$J$1,0)))</f>
        <v>2</v>
      </c>
      <c r="L440" s="20" t="str">
        <f>IF(ISBLANK($E440),"",INDEX(Sheet1!$A:$J,MATCH(Index_Match!$E440,Sheet1!$A:$A,0),MATCH(Index_Match!L$1,Sheet1!$A$1:$J$1,0)))</f>
        <v>Farrell</v>
      </c>
      <c r="M440" s="20" t="str">
        <f>IF(ISBLANK($E440),"",INDEX(Sheet1!$A:$J,MATCH(Index_Match!$E440,Sheet1!$A:$A,0),MATCH(Index_Match!M$1,Sheet1!$A$1:$J$1,0)))</f>
        <v>Middle Age</v>
      </c>
    </row>
    <row r="441" spans="2:13" x14ac:dyDescent="0.25">
      <c r="B441" s="20"/>
      <c r="C441" s="20"/>
      <c r="D441" s="20"/>
      <c r="E441" s="20" t="str">
        <v>Belinda</v>
      </c>
      <c r="F441" s="20" t="str">
        <f>IF(ISBLANK($E441),"",INDEX(Sheet1!$A:$J,MATCH(Index_Match!$E441,Sheet1!$A:$A,0),MATCH(Index_Match!F$1,Sheet1!$A$1:$J$1,0)))</f>
        <v>Female</v>
      </c>
      <c r="G441" s="20" t="str">
        <f>IF(ISBLANK($E441),"",INDEX(Sheet1!$A:$J,MATCH(Index_Match!$E441,Sheet1!$A:$A,0),MATCH(Index_Match!G$1,Sheet1!$A$1:$J$1,0)))</f>
        <v>Dancer</v>
      </c>
      <c r="H441" s="20" t="str">
        <f>IF(ISBLANK($E441),"",INDEX(Sheet1!$A:$J,MATCH(Index_Match!$E441,Sheet1!$A:$A,0),MATCH(Index_Match!H$1,Sheet1!$A$1:$J$1,0)))</f>
        <v>Married</v>
      </c>
      <c r="I441" s="23">
        <f>IF(ISBLANK($E441),"",INDEX(Sheet1!$A:$J,MATCH(Index_Match!$E441,Sheet1!$A:$A,0),MATCH(Index_Match!I$1,Sheet1!$A$1:$J$1,0)))</f>
        <v>5</v>
      </c>
      <c r="J441" s="20" t="str">
        <f>IF(ISBLANK($E441),"",INDEX(Sheet1!$A:$J,MATCH(Index_Match!$E441,Sheet1!$A:$A,0),MATCH(Index_Match!J$1,Sheet1!$A$1:$J$1,0)))</f>
        <v>Belinda Spencer</v>
      </c>
      <c r="K441" s="23">
        <f>IF(ISBLANK($E441),"",INDEX(Sheet1!$A:$J,MATCH(Index_Match!$E441,Sheet1!$A:$A,0),MATCH(Index_Match!K$1,Sheet1!$A$1:$J$1,0)))</f>
        <v>5</v>
      </c>
      <c r="L441" s="20" t="str">
        <f>IF(ISBLANK($E441),"",INDEX(Sheet1!$A:$J,MATCH(Index_Match!$E441,Sheet1!$A:$A,0),MATCH(Index_Match!L$1,Sheet1!$A$1:$J$1,0)))</f>
        <v>Spencer</v>
      </c>
      <c r="M441" s="20" t="str">
        <f>IF(ISBLANK($E441),"",INDEX(Sheet1!$A:$J,MATCH(Index_Match!$E441,Sheet1!$A:$A,0),MATCH(Index_Match!M$1,Sheet1!$A$1:$J$1,0)))</f>
        <v>Young</v>
      </c>
    </row>
    <row r="442" spans="2:13" x14ac:dyDescent="0.25">
      <c r="B442" s="20"/>
      <c r="C442" s="20"/>
      <c r="D442" s="20"/>
      <c r="E442" s="20" t="str">
        <v>Amelia</v>
      </c>
      <c r="F442" s="20" t="str">
        <f>IF(ISBLANK($E442),"",INDEX(Sheet1!$A:$J,MATCH(Index_Match!$E442,Sheet1!$A:$A,0),MATCH(Index_Match!F$1,Sheet1!$A$1:$J$1,0)))</f>
        <v>Female</v>
      </c>
      <c r="G442" s="20" t="str">
        <f>IF(ISBLANK($E442),"",INDEX(Sheet1!$A:$J,MATCH(Index_Match!$E442,Sheet1!$A:$A,0),MATCH(Index_Match!G$1,Sheet1!$A$1:$J$1,0)))</f>
        <v>Scientist</v>
      </c>
      <c r="H442" s="20" t="str">
        <f>IF(ISBLANK($E442),"",INDEX(Sheet1!$A:$J,MATCH(Index_Match!$E442,Sheet1!$A:$A,0),MATCH(Index_Match!H$1,Sheet1!$A$1:$J$1,0)))</f>
        <v>Single</v>
      </c>
      <c r="I442" s="23">
        <f>IF(ISBLANK($E442),"",INDEX(Sheet1!$A:$J,MATCH(Index_Match!$E442,Sheet1!$A:$A,0),MATCH(Index_Match!I$1,Sheet1!$A$1:$J$1,0)))</f>
        <v>2</v>
      </c>
      <c r="J442" s="20" t="str">
        <f>IF(ISBLANK($E442),"",INDEX(Sheet1!$A:$J,MATCH(Index_Match!$E442,Sheet1!$A:$A,0),MATCH(Index_Match!J$1,Sheet1!$A$1:$J$1,0)))</f>
        <v>Amelia Craig</v>
      </c>
      <c r="K442" s="23">
        <f>IF(ISBLANK($E442),"",INDEX(Sheet1!$A:$J,MATCH(Index_Match!$E442,Sheet1!$A:$A,0),MATCH(Index_Match!K$1,Sheet1!$A$1:$J$1,0)))</f>
        <v>2</v>
      </c>
      <c r="L442" s="20" t="str">
        <f>IF(ISBLANK($E442),"",INDEX(Sheet1!$A:$J,MATCH(Index_Match!$E442,Sheet1!$A:$A,0),MATCH(Index_Match!L$1,Sheet1!$A$1:$J$1,0)))</f>
        <v>Craig</v>
      </c>
      <c r="M442" s="20" t="str">
        <f>IF(ISBLANK($E442),"",INDEX(Sheet1!$A:$J,MATCH(Index_Match!$E442,Sheet1!$A:$A,0),MATCH(Index_Match!M$1,Sheet1!$A$1:$J$1,0)))</f>
        <v>Old</v>
      </c>
    </row>
    <row r="443" spans="2:13" x14ac:dyDescent="0.25">
      <c r="B443" s="20"/>
      <c r="C443" s="20"/>
      <c r="D443" s="20"/>
      <c r="E443" s="20" t="str">
        <v>Alberta</v>
      </c>
      <c r="F443" s="20" t="str">
        <f>IF(ISBLANK($E443),"",INDEX(Sheet1!$A:$J,MATCH(Index_Match!$E443,Sheet1!$A:$A,0),MATCH(Index_Match!F$1,Sheet1!$A$1:$J$1,0)))</f>
        <v>Female</v>
      </c>
      <c r="G443" s="20" t="str">
        <f>IF(ISBLANK($E443),"",INDEX(Sheet1!$A:$J,MATCH(Index_Match!$E443,Sheet1!$A:$A,0),MATCH(Index_Match!G$1,Sheet1!$A$1:$J$1,0)))</f>
        <v>Hairdresser</v>
      </c>
      <c r="H443" s="20" t="str">
        <f>IF(ISBLANK($E443),"",INDEX(Sheet1!$A:$J,MATCH(Index_Match!$E443,Sheet1!$A:$A,0),MATCH(Index_Match!H$1,Sheet1!$A$1:$J$1,0)))</f>
        <v>Married</v>
      </c>
      <c r="I443" s="23">
        <f>IF(ISBLANK($E443),"",INDEX(Sheet1!$A:$J,MATCH(Index_Match!$E443,Sheet1!$A:$A,0),MATCH(Index_Match!I$1,Sheet1!$A$1:$J$1,0)))</f>
        <v>2</v>
      </c>
      <c r="J443" s="20" t="str">
        <f>IF(ISBLANK($E443),"",INDEX(Sheet1!$A:$J,MATCH(Index_Match!$E443,Sheet1!$A:$A,0),MATCH(Index_Match!J$1,Sheet1!$A$1:$J$1,0)))</f>
        <v>Alberta Murray</v>
      </c>
      <c r="K443" s="23">
        <f>IF(ISBLANK($E443),"",INDEX(Sheet1!$A:$J,MATCH(Index_Match!$E443,Sheet1!$A:$A,0),MATCH(Index_Match!K$1,Sheet1!$A$1:$J$1,0)))</f>
        <v>2</v>
      </c>
      <c r="L443" s="20" t="str">
        <f>IF(ISBLANK($E443),"",INDEX(Sheet1!$A:$J,MATCH(Index_Match!$E443,Sheet1!$A:$A,0),MATCH(Index_Match!L$1,Sheet1!$A$1:$J$1,0)))</f>
        <v>Murray</v>
      </c>
      <c r="M443" s="20" t="str">
        <f>IF(ISBLANK($E443),"",INDEX(Sheet1!$A:$J,MATCH(Index_Match!$E443,Sheet1!$A:$A,0),MATCH(Index_Match!M$1,Sheet1!$A$1:$J$1,0)))</f>
        <v>Old</v>
      </c>
    </row>
    <row r="444" spans="2:13" x14ac:dyDescent="0.25">
      <c r="B444" s="20"/>
      <c r="C444" s="20"/>
      <c r="D444" s="20"/>
      <c r="E444" s="20" t="str">
        <v>Violet</v>
      </c>
      <c r="F444" s="20" t="str">
        <f>IF(ISBLANK($E444),"",INDEX(Sheet1!$A:$J,MATCH(Index_Match!$E444,Sheet1!$A:$A,0),MATCH(Index_Match!F$1,Sheet1!$A$1:$J$1,0)))</f>
        <v>Female</v>
      </c>
      <c r="G444" s="20" t="str">
        <f>IF(ISBLANK($E444),"",INDEX(Sheet1!$A:$J,MATCH(Index_Match!$E444,Sheet1!$A:$A,0),MATCH(Index_Match!G$1,Sheet1!$A$1:$J$1,0)))</f>
        <v>Driver</v>
      </c>
      <c r="H444" s="20" t="str">
        <f>IF(ISBLANK($E444),"",INDEX(Sheet1!$A:$J,MATCH(Index_Match!$E444,Sheet1!$A:$A,0),MATCH(Index_Match!H$1,Sheet1!$A$1:$J$1,0)))</f>
        <v>Married</v>
      </c>
      <c r="I444" s="23">
        <f>IF(ISBLANK($E444),"",INDEX(Sheet1!$A:$J,MATCH(Index_Match!$E444,Sheet1!$A:$A,0),MATCH(Index_Match!I$1,Sheet1!$A$1:$J$1,0)))</f>
        <v>2</v>
      </c>
      <c r="J444" s="20" t="str">
        <f>IF(ISBLANK($E444),"",INDEX(Sheet1!$A:$J,MATCH(Index_Match!$E444,Sheet1!$A:$A,0),MATCH(Index_Match!J$1,Sheet1!$A$1:$J$1,0)))</f>
        <v>Violet Cooper</v>
      </c>
      <c r="K444" s="23">
        <f>IF(ISBLANK($E444),"",INDEX(Sheet1!$A:$J,MATCH(Index_Match!$E444,Sheet1!$A:$A,0),MATCH(Index_Match!K$1,Sheet1!$A$1:$J$1,0)))</f>
        <v>2</v>
      </c>
      <c r="L444" s="20" t="str">
        <f>IF(ISBLANK($E444),"",INDEX(Sheet1!$A:$J,MATCH(Index_Match!$E444,Sheet1!$A:$A,0),MATCH(Index_Match!L$1,Sheet1!$A$1:$J$1,0)))</f>
        <v>Cooper</v>
      </c>
      <c r="M444" s="20" t="str">
        <f>IF(ISBLANK($E444),"",INDEX(Sheet1!$A:$J,MATCH(Index_Match!$E444,Sheet1!$A:$A,0),MATCH(Index_Match!M$1,Sheet1!$A$1:$J$1,0)))</f>
        <v>Old</v>
      </c>
    </row>
    <row r="445" spans="2:13" x14ac:dyDescent="0.25">
      <c r="B445" s="20"/>
      <c r="C445" s="20"/>
      <c r="D445" s="20"/>
      <c r="E445" s="20" t="str">
        <v>Brooke</v>
      </c>
      <c r="F445" s="20" t="str">
        <f>IF(ISBLANK($E445),"",INDEX(Sheet1!$A:$J,MATCH(Index_Match!$E445,Sheet1!$A:$A,0),MATCH(Index_Match!F$1,Sheet1!$A$1:$J$1,0)))</f>
        <v>Female</v>
      </c>
      <c r="G445" s="20" t="str">
        <f>IF(ISBLANK($E445),"",INDEX(Sheet1!$A:$J,MATCH(Index_Match!$E445,Sheet1!$A:$A,0),MATCH(Index_Match!G$1,Sheet1!$A$1:$J$1,0)))</f>
        <v>Singer</v>
      </c>
      <c r="H445" s="20" t="str">
        <f>IF(ISBLANK($E445),"",INDEX(Sheet1!$A:$J,MATCH(Index_Match!$E445,Sheet1!$A:$A,0),MATCH(Index_Match!H$1,Sheet1!$A$1:$J$1,0)))</f>
        <v>Single</v>
      </c>
      <c r="I445" s="23">
        <f>IF(ISBLANK($E445),"",INDEX(Sheet1!$A:$J,MATCH(Index_Match!$E445,Sheet1!$A:$A,0),MATCH(Index_Match!I$1,Sheet1!$A$1:$J$1,0)))</f>
        <v>0</v>
      </c>
      <c r="J445" s="20" t="str">
        <f>IF(ISBLANK($E445),"",INDEX(Sheet1!$A:$J,MATCH(Index_Match!$E445,Sheet1!$A:$A,0),MATCH(Index_Match!J$1,Sheet1!$A$1:$J$1,0)))</f>
        <v>Brooke Crawford</v>
      </c>
      <c r="K445" s="23">
        <f>IF(ISBLANK($E445),"",INDEX(Sheet1!$A:$J,MATCH(Index_Match!$E445,Sheet1!$A:$A,0),MATCH(Index_Match!K$1,Sheet1!$A$1:$J$1,0)))</f>
        <v>0</v>
      </c>
      <c r="L445" s="20" t="str">
        <f>IF(ISBLANK($E445),"",INDEX(Sheet1!$A:$J,MATCH(Index_Match!$E445,Sheet1!$A:$A,0),MATCH(Index_Match!L$1,Sheet1!$A$1:$J$1,0)))</f>
        <v>Crawford</v>
      </c>
      <c r="M445" s="20" t="str">
        <f>IF(ISBLANK($E445),"",INDEX(Sheet1!$A:$J,MATCH(Index_Match!$E445,Sheet1!$A:$A,0),MATCH(Index_Match!M$1,Sheet1!$A$1:$J$1,0)))</f>
        <v>Middle Age</v>
      </c>
    </row>
    <row r="446" spans="2:13" x14ac:dyDescent="0.25">
      <c r="B446" s="20"/>
      <c r="C446" s="20"/>
      <c r="D446" s="20"/>
      <c r="E446" s="20" t="str">
        <v>Briony</v>
      </c>
      <c r="F446" s="20" t="str">
        <f>IF(ISBLANK($E446),"",INDEX(Sheet1!$A:$J,MATCH(Index_Match!$E446,Sheet1!$A:$A,0),MATCH(Index_Match!F$1,Sheet1!$A$1:$J$1,0)))</f>
        <v>Female</v>
      </c>
      <c r="G446" s="20" t="str">
        <f>IF(ISBLANK($E446),"",INDEX(Sheet1!$A:$J,MATCH(Index_Match!$E446,Sheet1!$A:$A,0),MATCH(Index_Match!G$1,Sheet1!$A$1:$J$1,0)))</f>
        <v>Salesman</v>
      </c>
      <c r="H446" s="20" t="str">
        <f>IF(ISBLANK($E446),"",INDEX(Sheet1!$A:$J,MATCH(Index_Match!$E446,Sheet1!$A:$A,0),MATCH(Index_Match!H$1,Sheet1!$A$1:$J$1,0)))</f>
        <v>Married</v>
      </c>
      <c r="I446" s="23">
        <f>IF(ISBLANK($E446),"",INDEX(Sheet1!$A:$J,MATCH(Index_Match!$E446,Sheet1!$A:$A,0),MATCH(Index_Match!I$1,Sheet1!$A$1:$J$1,0)))</f>
        <v>0</v>
      </c>
      <c r="J446" s="20" t="str">
        <f>IF(ISBLANK($E446),"",INDEX(Sheet1!$A:$J,MATCH(Index_Match!$E446,Sheet1!$A:$A,0),MATCH(Index_Match!J$1,Sheet1!$A$1:$J$1,0)))</f>
        <v>Briony Higgins</v>
      </c>
      <c r="K446" s="23">
        <f>IF(ISBLANK($E446),"",INDEX(Sheet1!$A:$J,MATCH(Index_Match!$E446,Sheet1!$A:$A,0),MATCH(Index_Match!K$1,Sheet1!$A$1:$J$1,0)))</f>
        <v>0</v>
      </c>
      <c r="L446" s="20" t="str">
        <f>IF(ISBLANK($E446),"",INDEX(Sheet1!$A:$J,MATCH(Index_Match!$E446,Sheet1!$A:$A,0),MATCH(Index_Match!L$1,Sheet1!$A$1:$J$1,0)))</f>
        <v>Higgins</v>
      </c>
      <c r="M446" s="20" t="str">
        <f>IF(ISBLANK($E446),"",INDEX(Sheet1!$A:$J,MATCH(Index_Match!$E446,Sheet1!$A:$A,0),MATCH(Index_Match!M$1,Sheet1!$A$1:$J$1,0)))</f>
        <v>Young</v>
      </c>
    </row>
    <row r="447" spans="2:13" x14ac:dyDescent="0.25">
      <c r="B447" s="20"/>
      <c r="C447" s="20"/>
      <c r="D447" s="20"/>
      <c r="E447" s="20" t="str">
        <v>Tara</v>
      </c>
      <c r="F447" s="20" t="str">
        <f>IF(ISBLANK($E447),"",INDEX(Sheet1!$A:$J,MATCH(Index_Match!$E447,Sheet1!$A:$A,0),MATCH(Index_Match!F$1,Sheet1!$A$1:$J$1,0)))</f>
        <v>Female</v>
      </c>
      <c r="G447" s="20" t="str">
        <f>IF(ISBLANK($E447),"",INDEX(Sheet1!$A:$J,MATCH(Index_Match!$E447,Sheet1!$A:$A,0),MATCH(Index_Match!G$1,Sheet1!$A$1:$J$1,0)))</f>
        <v>Jeweller</v>
      </c>
      <c r="H447" s="20" t="str">
        <f>IF(ISBLANK($E447),"",INDEX(Sheet1!$A:$J,MATCH(Index_Match!$E447,Sheet1!$A:$A,0),MATCH(Index_Match!H$1,Sheet1!$A$1:$J$1,0)))</f>
        <v>Married</v>
      </c>
      <c r="I447" s="23">
        <f>IF(ISBLANK($E447),"",INDEX(Sheet1!$A:$J,MATCH(Index_Match!$E447,Sheet1!$A:$A,0),MATCH(Index_Match!I$1,Sheet1!$A$1:$J$1,0)))</f>
        <v>4</v>
      </c>
      <c r="J447" s="20" t="str">
        <f>IF(ISBLANK($E447),"",INDEX(Sheet1!$A:$J,MATCH(Index_Match!$E447,Sheet1!$A:$A,0),MATCH(Index_Match!J$1,Sheet1!$A$1:$J$1,0)))</f>
        <v>Tara Brown</v>
      </c>
      <c r="K447" s="23">
        <f>IF(ISBLANK($E447),"",INDEX(Sheet1!$A:$J,MATCH(Index_Match!$E447,Sheet1!$A:$A,0),MATCH(Index_Match!K$1,Sheet1!$A$1:$J$1,0)))</f>
        <v>4</v>
      </c>
      <c r="L447" s="20" t="str">
        <f>IF(ISBLANK($E447),"",INDEX(Sheet1!$A:$J,MATCH(Index_Match!$E447,Sheet1!$A:$A,0),MATCH(Index_Match!L$1,Sheet1!$A$1:$J$1,0)))</f>
        <v>Brown</v>
      </c>
      <c r="M447" s="20" t="str">
        <f>IF(ISBLANK($E447),"",INDEX(Sheet1!$A:$J,MATCH(Index_Match!$E447,Sheet1!$A:$A,0),MATCH(Index_Match!M$1,Sheet1!$A$1:$J$1,0)))</f>
        <v>Young</v>
      </c>
    </row>
    <row r="448" spans="2:13" x14ac:dyDescent="0.25">
      <c r="B448" s="20"/>
      <c r="C448" s="20"/>
      <c r="D448" s="20"/>
      <c r="E448" s="20" t="str">
        <v>Adele</v>
      </c>
      <c r="F448" s="20" t="str">
        <f>IF(ISBLANK($E448),"",INDEX(Sheet1!$A:$J,MATCH(Index_Match!$E448,Sheet1!$A:$A,0),MATCH(Index_Match!F$1,Sheet1!$A$1:$J$1,0)))</f>
        <v>Female</v>
      </c>
      <c r="G448" s="20" t="str">
        <f>IF(ISBLANK($E448),"",INDEX(Sheet1!$A:$J,MATCH(Index_Match!$E448,Sheet1!$A:$A,0),MATCH(Index_Match!G$1,Sheet1!$A$1:$J$1,0)))</f>
        <v>Teacher</v>
      </c>
      <c r="H448" s="20" t="str">
        <f>IF(ISBLANK($E448),"",INDEX(Sheet1!$A:$J,MATCH(Index_Match!$E448,Sheet1!$A:$A,0),MATCH(Index_Match!H$1,Sheet1!$A$1:$J$1,0)))</f>
        <v>Married</v>
      </c>
      <c r="I448" s="23">
        <f>IF(ISBLANK($E448),"",INDEX(Sheet1!$A:$J,MATCH(Index_Match!$E448,Sheet1!$A:$A,0),MATCH(Index_Match!I$1,Sheet1!$A$1:$J$1,0)))</f>
        <v>1</v>
      </c>
      <c r="J448" s="20" t="str">
        <f>IF(ISBLANK($E448),"",INDEX(Sheet1!$A:$J,MATCH(Index_Match!$E448,Sheet1!$A:$A,0),MATCH(Index_Match!J$1,Sheet1!$A$1:$J$1,0)))</f>
        <v>Adele Watson</v>
      </c>
      <c r="K448" s="23">
        <f>IF(ISBLANK($E448),"",INDEX(Sheet1!$A:$J,MATCH(Index_Match!$E448,Sheet1!$A:$A,0),MATCH(Index_Match!K$1,Sheet1!$A$1:$J$1,0)))</f>
        <v>1</v>
      </c>
      <c r="L448" s="20" t="str">
        <f>IF(ISBLANK($E448),"",INDEX(Sheet1!$A:$J,MATCH(Index_Match!$E448,Sheet1!$A:$A,0),MATCH(Index_Match!L$1,Sheet1!$A$1:$J$1,0)))</f>
        <v>Watson</v>
      </c>
      <c r="M448" s="20" t="str">
        <f>IF(ISBLANK($E448),"",INDEX(Sheet1!$A:$J,MATCH(Index_Match!$E448,Sheet1!$A:$A,0),MATCH(Index_Match!M$1,Sheet1!$A$1:$J$1,0)))</f>
        <v>Old</v>
      </c>
    </row>
    <row r="449" spans="2:13" x14ac:dyDescent="0.25">
      <c r="B449" s="20"/>
      <c r="C449" s="20"/>
      <c r="D449" s="20"/>
      <c r="E449" s="20" t="str">
        <v>Jenna</v>
      </c>
      <c r="F449" s="20" t="str">
        <f>IF(ISBLANK($E449),"",INDEX(Sheet1!$A:$J,MATCH(Index_Match!$E449,Sheet1!$A:$A,0),MATCH(Index_Match!F$1,Sheet1!$A$1:$J$1,0)))</f>
        <v>Female</v>
      </c>
      <c r="G449" s="20" t="str">
        <f>IF(ISBLANK($E449),"",INDEX(Sheet1!$A:$J,MATCH(Index_Match!$E449,Sheet1!$A:$A,0),MATCH(Index_Match!G$1,Sheet1!$A$1:$J$1,0)))</f>
        <v>Baker</v>
      </c>
      <c r="H449" s="20" t="str">
        <f>IF(ISBLANK($E449),"",INDEX(Sheet1!$A:$J,MATCH(Index_Match!$E449,Sheet1!$A:$A,0),MATCH(Index_Match!H$1,Sheet1!$A$1:$J$1,0)))</f>
        <v>Single</v>
      </c>
      <c r="I449" s="23">
        <f>IF(ISBLANK($E449),"",INDEX(Sheet1!$A:$J,MATCH(Index_Match!$E449,Sheet1!$A:$A,0),MATCH(Index_Match!I$1,Sheet1!$A$1:$J$1,0)))</f>
        <v>1</v>
      </c>
      <c r="J449" s="20" t="str">
        <f>IF(ISBLANK($E449),"",INDEX(Sheet1!$A:$J,MATCH(Index_Match!$E449,Sheet1!$A:$A,0),MATCH(Index_Match!J$1,Sheet1!$A$1:$J$1,0)))</f>
        <v>Jenna Ellis</v>
      </c>
      <c r="K449" s="23">
        <f>IF(ISBLANK($E449),"",INDEX(Sheet1!$A:$J,MATCH(Index_Match!$E449,Sheet1!$A:$A,0),MATCH(Index_Match!K$1,Sheet1!$A$1:$J$1,0)))</f>
        <v>1</v>
      </c>
      <c r="L449" s="20" t="str">
        <f>IF(ISBLANK($E449),"",INDEX(Sheet1!$A:$J,MATCH(Index_Match!$E449,Sheet1!$A:$A,0),MATCH(Index_Match!L$1,Sheet1!$A$1:$J$1,0)))</f>
        <v>Ellis</v>
      </c>
      <c r="M449" s="20" t="str">
        <f>IF(ISBLANK($E449),"",INDEX(Sheet1!$A:$J,MATCH(Index_Match!$E449,Sheet1!$A:$A,0),MATCH(Index_Match!M$1,Sheet1!$A$1:$J$1,0)))</f>
        <v>Old</v>
      </c>
    </row>
    <row r="450" spans="2:13" x14ac:dyDescent="0.25">
      <c r="B450" s="20"/>
      <c r="C450" s="20"/>
      <c r="D450" s="20"/>
      <c r="E450" s="20" t="str">
        <v>Paige</v>
      </c>
      <c r="F450" s="20" t="str">
        <f>IF(ISBLANK($E450),"",INDEX(Sheet1!$A:$J,MATCH(Index_Match!$E450,Sheet1!$A:$A,0),MATCH(Index_Match!F$1,Sheet1!$A$1:$J$1,0)))</f>
        <v>Female</v>
      </c>
      <c r="G450" s="20" t="str">
        <f>IF(ISBLANK($E450),"",INDEX(Sheet1!$A:$J,MATCH(Index_Match!$E450,Sheet1!$A:$A,0),MATCH(Index_Match!G$1,Sheet1!$A$1:$J$1,0)))</f>
        <v>Biochemist</v>
      </c>
      <c r="H450" s="20" t="str">
        <f>IF(ISBLANK($E450),"",INDEX(Sheet1!$A:$J,MATCH(Index_Match!$E450,Sheet1!$A:$A,0),MATCH(Index_Match!H$1,Sheet1!$A$1:$J$1,0)))</f>
        <v>Married</v>
      </c>
      <c r="I450" s="23">
        <f>IF(ISBLANK($E450),"",INDEX(Sheet1!$A:$J,MATCH(Index_Match!$E450,Sheet1!$A:$A,0),MATCH(Index_Match!I$1,Sheet1!$A$1:$J$1,0)))</f>
        <v>4</v>
      </c>
      <c r="J450" s="20" t="str">
        <f>IF(ISBLANK($E450),"",INDEX(Sheet1!$A:$J,MATCH(Index_Match!$E450,Sheet1!$A:$A,0),MATCH(Index_Match!J$1,Sheet1!$A$1:$J$1,0)))</f>
        <v>Paige Moore</v>
      </c>
      <c r="K450" s="23">
        <f>IF(ISBLANK($E450),"",INDEX(Sheet1!$A:$J,MATCH(Index_Match!$E450,Sheet1!$A:$A,0),MATCH(Index_Match!K$1,Sheet1!$A$1:$J$1,0)))</f>
        <v>4</v>
      </c>
      <c r="L450" s="20" t="str">
        <f>IF(ISBLANK($E450),"",INDEX(Sheet1!$A:$J,MATCH(Index_Match!$E450,Sheet1!$A:$A,0),MATCH(Index_Match!L$1,Sheet1!$A$1:$J$1,0)))</f>
        <v>Moore</v>
      </c>
      <c r="M450" s="20" t="str">
        <f>IF(ISBLANK($E450),"",INDEX(Sheet1!$A:$J,MATCH(Index_Match!$E450,Sheet1!$A:$A,0),MATCH(Index_Match!M$1,Sheet1!$A$1:$J$1,0)))</f>
        <v>Middle Age</v>
      </c>
    </row>
    <row r="451" spans="2:13" x14ac:dyDescent="0.25">
      <c r="B451" s="20"/>
      <c r="C451" s="20"/>
      <c r="D451" s="20"/>
      <c r="E451" s="20" t="str">
        <v>Deanna</v>
      </c>
      <c r="F451" s="20" t="str">
        <f>IF(ISBLANK($E451),"",INDEX(Sheet1!$A:$J,MATCH(Index_Match!$E451,Sheet1!$A:$A,0),MATCH(Index_Match!F$1,Sheet1!$A$1:$J$1,0)))</f>
        <v>Female</v>
      </c>
      <c r="G451" s="20" t="str">
        <f>IF(ISBLANK($E451),"",INDEX(Sheet1!$A:$J,MATCH(Index_Match!$E451,Sheet1!$A:$A,0),MATCH(Index_Match!G$1,Sheet1!$A$1:$J$1,0)))</f>
        <v>Actor</v>
      </c>
      <c r="H451" s="20" t="str">
        <f>IF(ISBLANK($E451),"",INDEX(Sheet1!$A:$J,MATCH(Index_Match!$E451,Sheet1!$A:$A,0),MATCH(Index_Match!H$1,Sheet1!$A$1:$J$1,0)))</f>
        <v>Single</v>
      </c>
      <c r="I451" s="23">
        <f>IF(ISBLANK($E451),"",INDEX(Sheet1!$A:$J,MATCH(Index_Match!$E451,Sheet1!$A:$A,0),MATCH(Index_Match!I$1,Sheet1!$A$1:$J$1,0)))</f>
        <v>5</v>
      </c>
      <c r="J451" s="20" t="str">
        <f>IF(ISBLANK($E451),"",INDEX(Sheet1!$A:$J,MATCH(Index_Match!$E451,Sheet1!$A:$A,0),MATCH(Index_Match!J$1,Sheet1!$A$1:$J$1,0)))</f>
        <v>Deanna Spencer</v>
      </c>
      <c r="K451" s="23">
        <f>IF(ISBLANK($E451),"",INDEX(Sheet1!$A:$J,MATCH(Index_Match!$E451,Sheet1!$A:$A,0),MATCH(Index_Match!K$1,Sheet1!$A$1:$J$1,0)))</f>
        <v>5</v>
      </c>
      <c r="L451" s="20" t="str">
        <f>IF(ISBLANK($E451),"",INDEX(Sheet1!$A:$J,MATCH(Index_Match!$E451,Sheet1!$A:$A,0),MATCH(Index_Match!L$1,Sheet1!$A$1:$J$1,0)))</f>
        <v>Spencer</v>
      </c>
      <c r="M451" s="20" t="str">
        <f>IF(ISBLANK($E451),"",INDEX(Sheet1!$A:$J,MATCH(Index_Match!$E451,Sheet1!$A:$A,0),MATCH(Index_Match!M$1,Sheet1!$A$1:$J$1,0)))</f>
        <v>Old</v>
      </c>
    </row>
    <row r="452" spans="2:13" x14ac:dyDescent="0.25">
      <c r="B452" s="20"/>
      <c r="C452" s="20"/>
      <c r="D452" s="20"/>
      <c r="E452" s="20" t="str">
        <v>Edith</v>
      </c>
      <c r="F452" s="20" t="str">
        <f>IF(ISBLANK($E452),"",INDEX(Sheet1!$A:$J,MATCH(Index_Match!$E452,Sheet1!$A:$A,0),MATCH(Index_Match!F$1,Sheet1!$A$1:$J$1,0)))</f>
        <v>Female</v>
      </c>
      <c r="G452" s="20" t="str">
        <f>IF(ISBLANK($E452),"",INDEX(Sheet1!$A:$J,MATCH(Index_Match!$E452,Sheet1!$A:$A,0),MATCH(Index_Match!G$1,Sheet1!$A$1:$J$1,0)))</f>
        <v>Programmer</v>
      </c>
      <c r="H452" s="20" t="str">
        <f>IF(ISBLANK($E452),"",INDEX(Sheet1!$A:$J,MATCH(Index_Match!$E452,Sheet1!$A:$A,0),MATCH(Index_Match!H$1,Sheet1!$A$1:$J$1,0)))</f>
        <v>Single</v>
      </c>
      <c r="I452" s="23">
        <f>IF(ISBLANK($E452),"",INDEX(Sheet1!$A:$J,MATCH(Index_Match!$E452,Sheet1!$A:$A,0),MATCH(Index_Match!I$1,Sheet1!$A$1:$J$1,0)))</f>
        <v>3</v>
      </c>
      <c r="J452" s="20" t="str">
        <f>IF(ISBLANK($E452),"",INDEX(Sheet1!$A:$J,MATCH(Index_Match!$E452,Sheet1!$A:$A,0),MATCH(Index_Match!J$1,Sheet1!$A$1:$J$1,0)))</f>
        <v>Edith Hall</v>
      </c>
      <c r="K452" s="23">
        <f>IF(ISBLANK($E452),"",INDEX(Sheet1!$A:$J,MATCH(Index_Match!$E452,Sheet1!$A:$A,0),MATCH(Index_Match!K$1,Sheet1!$A$1:$J$1,0)))</f>
        <v>3</v>
      </c>
      <c r="L452" s="20" t="str">
        <f>IF(ISBLANK($E452),"",INDEX(Sheet1!$A:$J,MATCH(Index_Match!$E452,Sheet1!$A:$A,0),MATCH(Index_Match!L$1,Sheet1!$A$1:$J$1,0)))</f>
        <v>Hall</v>
      </c>
      <c r="M452" s="20" t="str">
        <f>IF(ISBLANK($E452),"",INDEX(Sheet1!$A:$J,MATCH(Index_Match!$E452,Sheet1!$A:$A,0),MATCH(Index_Match!M$1,Sheet1!$A$1:$J$1,0)))</f>
        <v>Young</v>
      </c>
    </row>
    <row r="453" spans="2:13" x14ac:dyDescent="0.25">
      <c r="B453" s="20"/>
      <c r="C453" s="20"/>
      <c r="D453" s="20"/>
      <c r="E453" s="20" t="str">
        <v>Sarah</v>
      </c>
      <c r="F453" s="20" t="str">
        <f>IF(ISBLANK($E453),"",INDEX(Sheet1!$A:$J,MATCH(Index_Match!$E453,Sheet1!$A:$A,0),MATCH(Index_Match!F$1,Sheet1!$A$1:$J$1,0)))</f>
        <v>Female</v>
      </c>
      <c r="G453" s="20" t="str">
        <f>IF(ISBLANK($E453),"",INDEX(Sheet1!$A:$J,MATCH(Index_Match!$E453,Sheet1!$A:$A,0),MATCH(Index_Match!G$1,Sheet1!$A$1:$J$1,0)))</f>
        <v>Lecturer</v>
      </c>
      <c r="H453" s="20" t="str">
        <f>IF(ISBLANK($E453),"",INDEX(Sheet1!$A:$J,MATCH(Index_Match!$E453,Sheet1!$A:$A,0),MATCH(Index_Match!H$1,Sheet1!$A$1:$J$1,0)))</f>
        <v>Single</v>
      </c>
      <c r="I453" s="23">
        <f>IF(ISBLANK($E453),"",INDEX(Sheet1!$A:$J,MATCH(Index_Match!$E453,Sheet1!$A:$A,0),MATCH(Index_Match!I$1,Sheet1!$A$1:$J$1,0)))</f>
        <v>4</v>
      </c>
      <c r="J453" s="20" t="str">
        <f>IF(ISBLANK($E453),"",INDEX(Sheet1!$A:$J,MATCH(Index_Match!$E453,Sheet1!$A:$A,0),MATCH(Index_Match!J$1,Sheet1!$A$1:$J$1,0)))</f>
        <v>Sarah Stevens</v>
      </c>
      <c r="K453" s="23">
        <f>IF(ISBLANK($E453),"",INDEX(Sheet1!$A:$J,MATCH(Index_Match!$E453,Sheet1!$A:$A,0),MATCH(Index_Match!K$1,Sheet1!$A$1:$J$1,0)))</f>
        <v>4</v>
      </c>
      <c r="L453" s="20" t="str">
        <f>IF(ISBLANK($E453),"",INDEX(Sheet1!$A:$J,MATCH(Index_Match!$E453,Sheet1!$A:$A,0),MATCH(Index_Match!L$1,Sheet1!$A$1:$J$1,0)))</f>
        <v>Stevens</v>
      </c>
      <c r="M453" s="20" t="str">
        <f>IF(ISBLANK($E453),"",INDEX(Sheet1!$A:$J,MATCH(Index_Match!$E453,Sheet1!$A:$A,0),MATCH(Index_Match!M$1,Sheet1!$A$1:$J$1,0)))</f>
        <v>Middle Age</v>
      </c>
    </row>
    <row r="454" spans="2:13" x14ac:dyDescent="0.25">
      <c r="B454" s="20"/>
      <c r="C454" s="20"/>
      <c r="D454" s="20"/>
      <c r="E454" s="20" t="str">
        <v>Evelyn</v>
      </c>
      <c r="F454" s="20" t="str">
        <f>IF(ISBLANK($E454),"",INDEX(Sheet1!$A:$J,MATCH(Index_Match!$E454,Sheet1!$A:$A,0),MATCH(Index_Match!F$1,Sheet1!$A$1:$J$1,0)))</f>
        <v>Female</v>
      </c>
      <c r="G454" s="20" t="str">
        <f>IF(ISBLANK($E454),"",INDEX(Sheet1!$A:$J,MATCH(Index_Match!$E454,Sheet1!$A:$A,0),MATCH(Index_Match!G$1,Sheet1!$A$1:$J$1,0)))</f>
        <v>Teacher</v>
      </c>
      <c r="H454" s="20" t="str">
        <f>IF(ISBLANK($E454),"",INDEX(Sheet1!$A:$J,MATCH(Index_Match!$E454,Sheet1!$A:$A,0),MATCH(Index_Match!H$1,Sheet1!$A$1:$J$1,0)))</f>
        <v>Married</v>
      </c>
      <c r="I454" s="23">
        <f>IF(ISBLANK($E454),"",INDEX(Sheet1!$A:$J,MATCH(Index_Match!$E454,Sheet1!$A:$A,0),MATCH(Index_Match!I$1,Sheet1!$A$1:$J$1,0)))</f>
        <v>3</v>
      </c>
      <c r="J454" s="20" t="str">
        <f>IF(ISBLANK($E454),"",INDEX(Sheet1!$A:$J,MATCH(Index_Match!$E454,Sheet1!$A:$A,0),MATCH(Index_Match!J$1,Sheet1!$A$1:$J$1,0)))</f>
        <v>Evelyn Watson</v>
      </c>
      <c r="K454" s="23">
        <f>IF(ISBLANK($E454),"",INDEX(Sheet1!$A:$J,MATCH(Index_Match!$E454,Sheet1!$A:$A,0),MATCH(Index_Match!K$1,Sheet1!$A$1:$J$1,0)))</f>
        <v>3</v>
      </c>
      <c r="L454" s="20" t="str">
        <f>IF(ISBLANK($E454),"",INDEX(Sheet1!$A:$J,MATCH(Index_Match!$E454,Sheet1!$A:$A,0),MATCH(Index_Match!L$1,Sheet1!$A$1:$J$1,0)))</f>
        <v>Watson</v>
      </c>
      <c r="M454" s="20" t="str">
        <f>IF(ISBLANK($E454),"",INDEX(Sheet1!$A:$J,MATCH(Index_Match!$E454,Sheet1!$A:$A,0),MATCH(Index_Match!M$1,Sheet1!$A$1:$J$1,0)))</f>
        <v>Middle Age</v>
      </c>
    </row>
    <row r="455" spans="2:13" x14ac:dyDescent="0.25">
      <c r="B455" s="20"/>
      <c r="C455" s="20"/>
      <c r="D455" s="20"/>
      <c r="E455" s="20" t="str">
        <v>Heather</v>
      </c>
      <c r="F455" s="20" t="str">
        <f>IF(ISBLANK($E455),"",INDEX(Sheet1!$A:$J,MATCH(Index_Match!$E455,Sheet1!$A:$A,0),MATCH(Index_Match!F$1,Sheet1!$A$1:$J$1,0)))</f>
        <v>Female</v>
      </c>
      <c r="G455" s="20" t="str">
        <f>IF(ISBLANK($E455),"",INDEX(Sheet1!$A:$J,MATCH(Index_Match!$E455,Sheet1!$A:$A,0),MATCH(Index_Match!G$1,Sheet1!$A$1:$J$1,0)))</f>
        <v>Carpenter</v>
      </c>
      <c r="H455" s="20" t="str">
        <f>IF(ISBLANK($E455),"",INDEX(Sheet1!$A:$J,MATCH(Index_Match!$E455,Sheet1!$A:$A,0),MATCH(Index_Match!H$1,Sheet1!$A$1:$J$1,0)))</f>
        <v>Single</v>
      </c>
      <c r="I455" s="23">
        <f>IF(ISBLANK($E455),"",INDEX(Sheet1!$A:$J,MATCH(Index_Match!$E455,Sheet1!$A:$A,0),MATCH(Index_Match!I$1,Sheet1!$A$1:$J$1,0)))</f>
        <v>5</v>
      </c>
      <c r="J455" s="20" t="str">
        <f>IF(ISBLANK($E455),"",INDEX(Sheet1!$A:$J,MATCH(Index_Match!$E455,Sheet1!$A:$A,0),MATCH(Index_Match!J$1,Sheet1!$A$1:$J$1,0)))</f>
        <v>Heather Perry</v>
      </c>
      <c r="K455" s="23">
        <f>IF(ISBLANK($E455),"",INDEX(Sheet1!$A:$J,MATCH(Index_Match!$E455,Sheet1!$A:$A,0),MATCH(Index_Match!K$1,Sheet1!$A$1:$J$1,0)))</f>
        <v>5</v>
      </c>
      <c r="L455" s="20" t="str">
        <f>IF(ISBLANK($E455),"",INDEX(Sheet1!$A:$J,MATCH(Index_Match!$E455,Sheet1!$A:$A,0),MATCH(Index_Match!L$1,Sheet1!$A$1:$J$1,0)))</f>
        <v>Perry</v>
      </c>
      <c r="M455" s="20" t="str">
        <f>IF(ISBLANK($E455),"",INDEX(Sheet1!$A:$J,MATCH(Index_Match!$E455,Sheet1!$A:$A,0),MATCH(Index_Match!M$1,Sheet1!$A$1:$J$1,0)))</f>
        <v>Middle Age</v>
      </c>
    </row>
    <row r="456" spans="2:13" x14ac:dyDescent="0.25">
      <c r="B456" s="20"/>
      <c r="C456" s="20"/>
      <c r="D456" s="20"/>
      <c r="E456" s="20" t="str">
        <v>Fiona</v>
      </c>
      <c r="F456" s="20" t="str">
        <f>IF(ISBLANK($E456),"",INDEX(Sheet1!$A:$J,MATCH(Index_Match!$E456,Sheet1!$A:$A,0),MATCH(Index_Match!F$1,Sheet1!$A$1:$J$1,0)))</f>
        <v>Female</v>
      </c>
      <c r="G456" s="20" t="str">
        <f>IF(ISBLANK($E456),"",INDEX(Sheet1!$A:$J,MATCH(Index_Match!$E456,Sheet1!$A:$A,0),MATCH(Index_Match!G$1,Sheet1!$A$1:$J$1,0)))</f>
        <v>Hairdresser</v>
      </c>
      <c r="H456" s="20" t="str">
        <f>IF(ISBLANK($E456),"",INDEX(Sheet1!$A:$J,MATCH(Index_Match!$E456,Sheet1!$A:$A,0),MATCH(Index_Match!H$1,Sheet1!$A$1:$J$1,0)))</f>
        <v>Married</v>
      </c>
      <c r="I456" s="23">
        <f>IF(ISBLANK($E456),"",INDEX(Sheet1!$A:$J,MATCH(Index_Match!$E456,Sheet1!$A:$A,0),MATCH(Index_Match!I$1,Sheet1!$A$1:$J$1,0)))</f>
        <v>0</v>
      </c>
      <c r="J456" s="20" t="str">
        <f>IF(ISBLANK($E456),"",INDEX(Sheet1!$A:$J,MATCH(Index_Match!$E456,Sheet1!$A:$A,0),MATCH(Index_Match!J$1,Sheet1!$A$1:$J$1,0)))</f>
        <v>Fiona Phillips</v>
      </c>
      <c r="K456" s="23">
        <f>IF(ISBLANK($E456),"",INDEX(Sheet1!$A:$J,MATCH(Index_Match!$E456,Sheet1!$A:$A,0),MATCH(Index_Match!K$1,Sheet1!$A$1:$J$1,0)))</f>
        <v>0</v>
      </c>
      <c r="L456" s="20" t="str">
        <f>IF(ISBLANK($E456),"",INDEX(Sheet1!$A:$J,MATCH(Index_Match!$E456,Sheet1!$A:$A,0),MATCH(Index_Match!L$1,Sheet1!$A$1:$J$1,0)))</f>
        <v>Phillips</v>
      </c>
      <c r="M456" s="20" t="str">
        <f>IF(ISBLANK($E456),"",INDEX(Sheet1!$A:$J,MATCH(Index_Match!$E456,Sheet1!$A:$A,0),MATCH(Index_Match!M$1,Sheet1!$A$1:$J$1,0)))</f>
        <v>Middle Age</v>
      </c>
    </row>
    <row r="457" spans="2:13" x14ac:dyDescent="0.25">
      <c r="B457" s="20"/>
      <c r="C457" s="20"/>
      <c r="D457" s="20"/>
      <c r="E457" s="20" t="str">
        <v>Tess</v>
      </c>
      <c r="F457" s="20" t="str">
        <f>IF(ISBLANK($E457),"",INDEX(Sheet1!$A:$J,MATCH(Index_Match!$E457,Sheet1!$A:$A,0),MATCH(Index_Match!F$1,Sheet1!$A$1:$J$1,0)))</f>
        <v>Female</v>
      </c>
      <c r="G457" s="20" t="str">
        <f>IF(ISBLANK($E457),"",INDEX(Sheet1!$A:$J,MATCH(Index_Match!$E457,Sheet1!$A:$A,0),MATCH(Index_Match!G$1,Sheet1!$A$1:$J$1,0)))</f>
        <v>Cook</v>
      </c>
      <c r="H457" s="20" t="str">
        <f>IF(ISBLANK($E457),"",INDEX(Sheet1!$A:$J,MATCH(Index_Match!$E457,Sheet1!$A:$A,0),MATCH(Index_Match!H$1,Sheet1!$A$1:$J$1,0)))</f>
        <v>Single</v>
      </c>
      <c r="I457" s="23">
        <f>IF(ISBLANK($E457),"",INDEX(Sheet1!$A:$J,MATCH(Index_Match!$E457,Sheet1!$A:$A,0),MATCH(Index_Match!I$1,Sheet1!$A$1:$J$1,0)))</f>
        <v>2</v>
      </c>
      <c r="J457" s="20" t="str">
        <f>IF(ISBLANK($E457),"",INDEX(Sheet1!$A:$J,MATCH(Index_Match!$E457,Sheet1!$A:$A,0),MATCH(Index_Match!J$1,Sheet1!$A$1:$J$1,0)))</f>
        <v>Tess Adams</v>
      </c>
      <c r="K457" s="23">
        <f>IF(ISBLANK($E457),"",INDEX(Sheet1!$A:$J,MATCH(Index_Match!$E457,Sheet1!$A:$A,0),MATCH(Index_Match!K$1,Sheet1!$A$1:$J$1,0)))</f>
        <v>2</v>
      </c>
      <c r="L457" s="20" t="str">
        <f>IF(ISBLANK($E457),"",INDEX(Sheet1!$A:$J,MATCH(Index_Match!$E457,Sheet1!$A:$A,0),MATCH(Index_Match!L$1,Sheet1!$A$1:$J$1,0)))</f>
        <v>Adams</v>
      </c>
      <c r="M457" s="20" t="str">
        <f>IF(ISBLANK($E457),"",INDEX(Sheet1!$A:$J,MATCH(Index_Match!$E457,Sheet1!$A:$A,0),MATCH(Index_Match!M$1,Sheet1!$A$1:$J$1,0)))</f>
        <v>Young</v>
      </c>
    </row>
    <row r="458" spans="2:13" x14ac:dyDescent="0.25">
      <c r="B458" s="20"/>
      <c r="C458" s="20"/>
      <c r="D458" s="20"/>
      <c r="E458" s="20" t="str">
        <v>Jessica</v>
      </c>
      <c r="F458" s="20" t="str">
        <f>IF(ISBLANK($E458),"",INDEX(Sheet1!$A:$J,MATCH(Index_Match!$E458,Sheet1!$A:$A,0),MATCH(Index_Match!F$1,Sheet1!$A$1:$J$1,0)))</f>
        <v>Female</v>
      </c>
      <c r="G458" s="20" t="str">
        <f>IF(ISBLANK($E458),"",INDEX(Sheet1!$A:$J,MATCH(Index_Match!$E458,Sheet1!$A:$A,0),MATCH(Index_Match!G$1,Sheet1!$A$1:$J$1,0)))</f>
        <v>Social Worker</v>
      </c>
      <c r="H458" s="20" t="str">
        <f>IF(ISBLANK($E458),"",INDEX(Sheet1!$A:$J,MATCH(Index_Match!$E458,Sheet1!$A:$A,0),MATCH(Index_Match!H$1,Sheet1!$A$1:$J$1,0)))</f>
        <v>Married</v>
      </c>
      <c r="I458" s="23">
        <f>IF(ISBLANK($E458),"",INDEX(Sheet1!$A:$J,MATCH(Index_Match!$E458,Sheet1!$A:$A,0),MATCH(Index_Match!I$1,Sheet1!$A$1:$J$1,0)))</f>
        <v>1</v>
      </c>
      <c r="J458" s="20" t="str">
        <f>IF(ISBLANK($E458),"",INDEX(Sheet1!$A:$J,MATCH(Index_Match!$E458,Sheet1!$A:$A,0),MATCH(Index_Match!J$1,Sheet1!$A$1:$J$1,0)))</f>
        <v>Jessica Cameron</v>
      </c>
      <c r="K458" s="23">
        <f>IF(ISBLANK($E458),"",INDEX(Sheet1!$A:$J,MATCH(Index_Match!$E458,Sheet1!$A:$A,0),MATCH(Index_Match!K$1,Sheet1!$A$1:$J$1,0)))</f>
        <v>1</v>
      </c>
      <c r="L458" s="20" t="str">
        <f>IF(ISBLANK($E458),"",INDEX(Sheet1!$A:$J,MATCH(Index_Match!$E458,Sheet1!$A:$A,0),MATCH(Index_Match!L$1,Sheet1!$A$1:$J$1,0)))</f>
        <v>Cameron</v>
      </c>
      <c r="M458" s="20" t="str">
        <f>IF(ISBLANK($E458),"",INDEX(Sheet1!$A:$J,MATCH(Index_Match!$E458,Sheet1!$A:$A,0),MATCH(Index_Match!M$1,Sheet1!$A$1:$J$1,0)))</f>
        <v>Young</v>
      </c>
    </row>
    <row r="459" spans="2:13" x14ac:dyDescent="0.25">
      <c r="B459" s="20"/>
      <c r="C459" s="20"/>
      <c r="D459" s="20"/>
      <c r="E459" s="20" t="str">
        <v>Audrey</v>
      </c>
      <c r="F459" s="20" t="str">
        <f>IF(ISBLANK($E459),"",INDEX(Sheet1!$A:$J,MATCH(Index_Match!$E459,Sheet1!$A:$A,0),MATCH(Index_Match!F$1,Sheet1!$A$1:$J$1,0)))</f>
        <v>Female</v>
      </c>
      <c r="G459" s="20" t="str">
        <f>IF(ISBLANK($E459),"",INDEX(Sheet1!$A:$J,MATCH(Index_Match!$E459,Sheet1!$A:$A,0),MATCH(Index_Match!G$1,Sheet1!$A$1:$J$1,0)))</f>
        <v>Florist</v>
      </c>
      <c r="H459" s="20" t="str">
        <f>IF(ISBLANK($E459),"",INDEX(Sheet1!$A:$J,MATCH(Index_Match!$E459,Sheet1!$A:$A,0),MATCH(Index_Match!H$1,Sheet1!$A$1:$J$1,0)))</f>
        <v>Married</v>
      </c>
      <c r="I459" s="23">
        <f>IF(ISBLANK($E459),"",INDEX(Sheet1!$A:$J,MATCH(Index_Match!$E459,Sheet1!$A:$A,0),MATCH(Index_Match!I$1,Sheet1!$A$1:$J$1,0)))</f>
        <v>2</v>
      </c>
      <c r="J459" s="20" t="str">
        <f>IF(ISBLANK($E459),"",INDEX(Sheet1!$A:$J,MATCH(Index_Match!$E459,Sheet1!$A:$A,0),MATCH(Index_Match!J$1,Sheet1!$A$1:$J$1,0)))</f>
        <v>Audrey Watson</v>
      </c>
      <c r="K459" s="23">
        <f>IF(ISBLANK($E459),"",INDEX(Sheet1!$A:$J,MATCH(Index_Match!$E459,Sheet1!$A:$A,0),MATCH(Index_Match!K$1,Sheet1!$A$1:$J$1,0)))</f>
        <v>2</v>
      </c>
      <c r="L459" s="20" t="str">
        <f>IF(ISBLANK($E459),"",INDEX(Sheet1!$A:$J,MATCH(Index_Match!$E459,Sheet1!$A:$A,0),MATCH(Index_Match!L$1,Sheet1!$A$1:$J$1,0)))</f>
        <v>Watson</v>
      </c>
      <c r="M459" s="20" t="str">
        <f>IF(ISBLANK($E459),"",INDEX(Sheet1!$A:$J,MATCH(Index_Match!$E459,Sheet1!$A:$A,0),MATCH(Index_Match!M$1,Sheet1!$A$1:$J$1,0)))</f>
        <v>Old</v>
      </c>
    </row>
    <row r="460" spans="2:13" x14ac:dyDescent="0.25">
      <c r="B460" s="20"/>
      <c r="C460" s="20"/>
      <c r="D460" s="20"/>
      <c r="E460" s="20" t="str">
        <v>Victoria</v>
      </c>
      <c r="F460" s="20" t="str">
        <f>IF(ISBLANK($E460),"",INDEX(Sheet1!$A:$J,MATCH(Index_Match!$E460,Sheet1!$A:$A,0),MATCH(Index_Match!F$1,Sheet1!$A$1:$J$1,0)))</f>
        <v>Female</v>
      </c>
      <c r="G460" s="20" t="str">
        <f>IF(ISBLANK($E460),"",INDEX(Sheet1!$A:$J,MATCH(Index_Match!$E460,Sheet1!$A:$A,0),MATCH(Index_Match!G$1,Sheet1!$A$1:$J$1,0)))</f>
        <v>Salesman</v>
      </c>
      <c r="H460" s="20" t="str">
        <f>IF(ISBLANK($E460),"",INDEX(Sheet1!$A:$J,MATCH(Index_Match!$E460,Sheet1!$A:$A,0),MATCH(Index_Match!H$1,Sheet1!$A$1:$J$1,0)))</f>
        <v>Married</v>
      </c>
      <c r="I460" s="23">
        <f>IF(ISBLANK($E460),"",INDEX(Sheet1!$A:$J,MATCH(Index_Match!$E460,Sheet1!$A:$A,0),MATCH(Index_Match!I$1,Sheet1!$A$1:$J$1,0)))</f>
        <v>3</v>
      </c>
      <c r="J460" s="20" t="str">
        <f>IF(ISBLANK($E460),"",INDEX(Sheet1!$A:$J,MATCH(Index_Match!$E460,Sheet1!$A:$A,0),MATCH(Index_Match!J$1,Sheet1!$A$1:$J$1,0)))</f>
        <v>Victoria Foster</v>
      </c>
      <c r="K460" s="23">
        <f>IF(ISBLANK($E460),"",INDEX(Sheet1!$A:$J,MATCH(Index_Match!$E460,Sheet1!$A:$A,0),MATCH(Index_Match!K$1,Sheet1!$A$1:$J$1,0)))</f>
        <v>3</v>
      </c>
      <c r="L460" s="20" t="str">
        <f>IF(ISBLANK($E460),"",INDEX(Sheet1!$A:$J,MATCH(Index_Match!$E460,Sheet1!$A:$A,0),MATCH(Index_Match!L$1,Sheet1!$A$1:$J$1,0)))</f>
        <v>Foster</v>
      </c>
      <c r="M460" s="20" t="str">
        <f>IF(ISBLANK($E460),"",INDEX(Sheet1!$A:$J,MATCH(Index_Match!$E460,Sheet1!$A:$A,0),MATCH(Index_Match!M$1,Sheet1!$A$1:$J$1,0)))</f>
        <v>Young</v>
      </c>
    </row>
    <row r="461" spans="2:13" x14ac:dyDescent="0.25">
      <c r="B461" s="20"/>
      <c r="C461" s="20"/>
      <c r="D461" s="20"/>
      <c r="E461" s="20" t="str">
        <v>Brooke</v>
      </c>
      <c r="F461" s="20" t="str">
        <f>IF(ISBLANK($E461),"",INDEX(Sheet1!$A:$J,MATCH(Index_Match!$E461,Sheet1!$A:$A,0),MATCH(Index_Match!F$1,Sheet1!$A$1:$J$1,0)))</f>
        <v>Female</v>
      </c>
      <c r="G461" s="20" t="str">
        <f>IF(ISBLANK($E461),"",INDEX(Sheet1!$A:$J,MATCH(Index_Match!$E461,Sheet1!$A:$A,0),MATCH(Index_Match!G$1,Sheet1!$A$1:$J$1,0)))</f>
        <v>Singer</v>
      </c>
      <c r="H461" s="20" t="str">
        <f>IF(ISBLANK($E461),"",INDEX(Sheet1!$A:$J,MATCH(Index_Match!$E461,Sheet1!$A:$A,0),MATCH(Index_Match!H$1,Sheet1!$A$1:$J$1,0)))</f>
        <v>Single</v>
      </c>
      <c r="I461" s="23">
        <f>IF(ISBLANK($E461),"",INDEX(Sheet1!$A:$J,MATCH(Index_Match!$E461,Sheet1!$A:$A,0),MATCH(Index_Match!I$1,Sheet1!$A$1:$J$1,0)))</f>
        <v>0</v>
      </c>
      <c r="J461" s="20" t="str">
        <f>IF(ISBLANK($E461),"",INDEX(Sheet1!$A:$J,MATCH(Index_Match!$E461,Sheet1!$A:$A,0),MATCH(Index_Match!J$1,Sheet1!$A$1:$J$1,0)))</f>
        <v>Brooke Crawford</v>
      </c>
      <c r="K461" s="23">
        <f>IF(ISBLANK($E461),"",INDEX(Sheet1!$A:$J,MATCH(Index_Match!$E461,Sheet1!$A:$A,0),MATCH(Index_Match!K$1,Sheet1!$A$1:$J$1,0)))</f>
        <v>0</v>
      </c>
      <c r="L461" s="20" t="str">
        <f>IF(ISBLANK($E461),"",INDEX(Sheet1!$A:$J,MATCH(Index_Match!$E461,Sheet1!$A:$A,0),MATCH(Index_Match!L$1,Sheet1!$A$1:$J$1,0)))</f>
        <v>Crawford</v>
      </c>
      <c r="M461" s="20" t="str">
        <f>IF(ISBLANK($E461),"",INDEX(Sheet1!$A:$J,MATCH(Index_Match!$E461,Sheet1!$A:$A,0),MATCH(Index_Match!M$1,Sheet1!$A$1:$J$1,0)))</f>
        <v>Middle Age</v>
      </c>
    </row>
    <row r="462" spans="2:13" x14ac:dyDescent="0.25">
      <c r="B462" s="20"/>
      <c r="C462" s="20"/>
      <c r="D462" s="20"/>
      <c r="E462" s="20" t="str">
        <v>Tiana</v>
      </c>
      <c r="F462" s="20" t="str">
        <f>IF(ISBLANK($E462),"",INDEX(Sheet1!$A:$J,MATCH(Index_Match!$E462,Sheet1!$A:$A,0),MATCH(Index_Match!F$1,Sheet1!$A$1:$J$1,0)))</f>
        <v>Female</v>
      </c>
      <c r="G462" s="20" t="str">
        <f>IF(ISBLANK($E462),"",INDEX(Sheet1!$A:$J,MATCH(Index_Match!$E462,Sheet1!$A:$A,0),MATCH(Index_Match!G$1,Sheet1!$A$1:$J$1,0)))</f>
        <v>Composer</v>
      </c>
      <c r="H462" s="20" t="str">
        <f>IF(ISBLANK($E462),"",INDEX(Sheet1!$A:$J,MATCH(Index_Match!$E462,Sheet1!$A:$A,0),MATCH(Index_Match!H$1,Sheet1!$A$1:$J$1,0)))</f>
        <v>Single</v>
      </c>
      <c r="I462" s="23">
        <f>IF(ISBLANK($E462),"",INDEX(Sheet1!$A:$J,MATCH(Index_Match!$E462,Sheet1!$A:$A,0),MATCH(Index_Match!I$1,Sheet1!$A$1:$J$1,0)))</f>
        <v>4</v>
      </c>
      <c r="J462" s="20" t="str">
        <f>IF(ISBLANK($E462),"",INDEX(Sheet1!$A:$J,MATCH(Index_Match!$E462,Sheet1!$A:$A,0),MATCH(Index_Match!J$1,Sheet1!$A$1:$J$1,0)))</f>
        <v>Tiana Wright</v>
      </c>
      <c r="K462" s="23">
        <f>IF(ISBLANK($E462),"",INDEX(Sheet1!$A:$J,MATCH(Index_Match!$E462,Sheet1!$A:$A,0),MATCH(Index_Match!K$1,Sheet1!$A$1:$J$1,0)))</f>
        <v>4</v>
      </c>
      <c r="L462" s="20" t="str">
        <f>IF(ISBLANK($E462),"",INDEX(Sheet1!$A:$J,MATCH(Index_Match!$E462,Sheet1!$A:$A,0),MATCH(Index_Match!L$1,Sheet1!$A$1:$J$1,0)))</f>
        <v>Wright</v>
      </c>
      <c r="M462" s="20" t="str">
        <f>IF(ISBLANK($E462),"",INDEX(Sheet1!$A:$J,MATCH(Index_Match!$E462,Sheet1!$A:$A,0),MATCH(Index_Match!M$1,Sheet1!$A$1:$J$1,0)))</f>
        <v>Old</v>
      </c>
    </row>
    <row r="463" spans="2:13" x14ac:dyDescent="0.25">
      <c r="B463" s="20"/>
      <c r="C463" s="20"/>
      <c r="D463" s="20"/>
      <c r="E463" s="20" t="str">
        <v>Julia</v>
      </c>
      <c r="F463" s="20" t="str">
        <f>IF(ISBLANK($E463),"",INDEX(Sheet1!$A:$J,MATCH(Index_Match!$E463,Sheet1!$A:$A,0),MATCH(Index_Match!F$1,Sheet1!$A$1:$J$1,0)))</f>
        <v>Female</v>
      </c>
      <c r="G463" s="20" t="str">
        <f>IF(ISBLANK($E463),"",INDEX(Sheet1!$A:$J,MATCH(Index_Match!$E463,Sheet1!$A:$A,0),MATCH(Index_Match!G$1,Sheet1!$A$1:$J$1,0)))</f>
        <v>Interpreter</v>
      </c>
      <c r="H463" s="20" t="str">
        <f>IF(ISBLANK($E463),"",INDEX(Sheet1!$A:$J,MATCH(Index_Match!$E463,Sheet1!$A:$A,0),MATCH(Index_Match!H$1,Sheet1!$A$1:$J$1,0)))</f>
        <v>Single</v>
      </c>
      <c r="I463" s="23">
        <f>IF(ISBLANK($E463),"",INDEX(Sheet1!$A:$J,MATCH(Index_Match!$E463,Sheet1!$A:$A,0),MATCH(Index_Match!I$1,Sheet1!$A$1:$J$1,0)))</f>
        <v>5</v>
      </c>
      <c r="J463" s="20" t="str">
        <f>IF(ISBLANK($E463),"",INDEX(Sheet1!$A:$J,MATCH(Index_Match!$E463,Sheet1!$A:$A,0),MATCH(Index_Match!J$1,Sheet1!$A$1:$J$1,0)))</f>
        <v>Julia Harrison</v>
      </c>
      <c r="K463" s="23">
        <f>IF(ISBLANK($E463),"",INDEX(Sheet1!$A:$J,MATCH(Index_Match!$E463,Sheet1!$A:$A,0),MATCH(Index_Match!K$1,Sheet1!$A$1:$J$1,0)))</f>
        <v>5</v>
      </c>
      <c r="L463" s="20" t="str">
        <f>IF(ISBLANK($E463),"",INDEX(Sheet1!$A:$J,MATCH(Index_Match!$E463,Sheet1!$A:$A,0),MATCH(Index_Match!L$1,Sheet1!$A$1:$J$1,0)))</f>
        <v>Harrison</v>
      </c>
      <c r="M463" s="20" t="str">
        <f>IF(ISBLANK($E463),"",INDEX(Sheet1!$A:$J,MATCH(Index_Match!$E463,Sheet1!$A:$A,0),MATCH(Index_Match!M$1,Sheet1!$A$1:$J$1,0)))</f>
        <v>Young</v>
      </c>
    </row>
    <row r="464" spans="2:13" x14ac:dyDescent="0.25">
      <c r="B464" s="20"/>
      <c r="C464" s="20"/>
      <c r="D464" s="20"/>
      <c r="E464" s="20" t="str">
        <v>Chloe</v>
      </c>
      <c r="F464" s="20" t="str">
        <f>IF(ISBLANK($E464),"",INDEX(Sheet1!$A:$J,MATCH(Index_Match!$E464,Sheet1!$A:$A,0),MATCH(Index_Match!F$1,Sheet1!$A$1:$J$1,0)))</f>
        <v>Female</v>
      </c>
      <c r="G464" s="20" t="str">
        <f>IF(ISBLANK($E464),"",INDEX(Sheet1!$A:$J,MATCH(Index_Match!$E464,Sheet1!$A:$A,0),MATCH(Index_Match!G$1,Sheet1!$A$1:$J$1,0)))</f>
        <v>Lecturer</v>
      </c>
      <c r="H464" s="20" t="str">
        <f>IF(ISBLANK($E464),"",INDEX(Sheet1!$A:$J,MATCH(Index_Match!$E464,Sheet1!$A:$A,0),MATCH(Index_Match!H$1,Sheet1!$A$1:$J$1,0)))</f>
        <v>Married</v>
      </c>
      <c r="I464" s="23">
        <f>IF(ISBLANK($E464),"",INDEX(Sheet1!$A:$J,MATCH(Index_Match!$E464,Sheet1!$A:$A,0),MATCH(Index_Match!I$1,Sheet1!$A$1:$J$1,0)))</f>
        <v>0</v>
      </c>
      <c r="J464" s="20" t="str">
        <f>IF(ISBLANK($E464),"",INDEX(Sheet1!$A:$J,MATCH(Index_Match!$E464,Sheet1!$A:$A,0),MATCH(Index_Match!J$1,Sheet1!$A$1:$J$1,0)))</f>
        <v>Chloe Perry</v>
      </c>
      <c r="K464" s="23">
        <f>IF(ISBLANK($E464),"",INDEX(Sheet1!$A:$J,MATCH(Index_Match!$E464,Sheet1!$A:$A,0),MATCH(Index_Match!K$1,Sheet1!$A$1:$J$1,0)))</f>
        <v>0</v>
      </c>
      <c r="L464" s="20" t="str">
        <f>IF(ISBLANK($E464),"",INDEX(Sheet1!$A:$J,MATCH(Index_Match!$E464,Sheet1!$A:$A,0),MATCH(Index_Match!L$1,Sheet1!$A$1:$J$1,0)))</f>
        <v>Perry</v>
      </c>
      <c r="M464" s="20" t="str">
        <f>IF(ISBLANK($E464),"",INDEX(Sheet1!$A:$J,MATCH(Index_Match!$E464,Sheet1!$A:$A,0),MATCH(Index_Match!M$1,Sheet1!$A$1:$J$1,0)))</f>
        <v>Young</v>
      </c>
    </row>
    <row r="465" spans="2:13" x14ac:dyDescent="0.25">
      <c r="B465" s="20"/>
      <c r="C465" s="20"/>
      <c r="D465" s="20"/>
      <c r="E465" s="20" t="str">
        <v>Amy</v>
      </c>
      <c r="F465" s="20" t="str">
        <f>IF(ISBLANK($E465),"",INDEX(Sheet1!$A:$J,MATCH(Index_Match!$E465,Sheet1!$A:$A,0),MATCH(Index_Match!F$1,Sheet1!$A$1:$J$1,0)))</f>
        <v>Female</v>
      </c>
      <c r="G465" s="20" t="str">
        <f>IF(ISBLANK($E465),"",INDEX(Sheet1!$A:$J,MATCH(Index_Match!$E465,Sheet1!$A:$A,0),MATCH(Index_Match!G$1,Sheet1!$A$1:$J$1,0)))</f>
        <v>Social Worker</v>
      </c>
      <c r="H465" s="20" t="str">
        <f>IF(ISBLANK($E465),"",INDEX(Sheet1!$A:$J,MATCH(Index_Match!$E465,Sheet1!$A:$A,0),MATCH(Index_Match!H$1,Sheet1!$A$1:$J$1,0)))</f>
        <v>Single</v>
      </c>
      <c r="I465" s="23">
        <f>IF(ISBLANK($E465),"",INDEX(Sheet1!$A:$J,MATCH(Index_Match!$E465,Sheet1!$A:$A,0),MATCH(Index_Match!I$1,Sheet1!$A$1:$J$1,0)))</f>
        <v>3</v>
      </c>
      <c r="J465" s="20" t="str">
        <f>IF(ISBLANK($E465),"",INDEX(Sheet1!$A:$J,MATCH(Index_Match!$E465,Sheet1!$A:$A,0),MATCH(Index_Match!J$1,Sheet1!$A$1:$J$1,0)))</f>
        <v>Amy Wilson</v>
      </c>
      <c r="K465" s="23">
        <f>IF(ISBLANK($E465),"",INDEX(Sheet1!$A:$J,MATCH(Index_Match!$E465,Sheet1!$A:$A,0),MATCH(Index_Match!K$1,Sheet1!$A$1:$J$1,0)))</f>
        <v>3</v>
      </c>
      <c r="L465" s="20" t="str">
        <f>IF(ISBLANK($E465),"",INDEX(Sheet1!$A:$J,MATCH(Index_Match!$E465,Sheet1!$A:$A,0),MATCH(Index_Match!L$1,Sheet1!$A$1:$J$1,0)))</f>
        <v>Wilson</v>
      </c>
      <c r="M465" s="20" t="str">
        <f>IF(ISBLANK($E465),"",INDEX(Sheet1!$A:$J,MATCH(Index_Match!$E465,Sheet1!$A:$A,0),MATCH(Index_Match!M$1,Sheet1!$A$1:$J$1,0)))</f>
        <v>Middle Age</v>
      </c>
    </row>
    <row r="466" spans="2:13" x14ac:dyDescent="0.25">
      <c r="B466" s="20"/>
      <c r="C466" s="20"/>
      <c r="D466" s="20"/>
      <c r="E466" s="20" t="str">
        <v>Rebecca</v>
      </c>
      <c r="F466" s="20" t="str">
        <f>IF(ISBLANK($E466),"",INDEX(Sheet1!$A:$J,MATCH(Index_Match!$E466,Sheet1!$A:$A,0),MATCH(Index_Match!F$1,Sheet1!$A$1:$J$1,0)))</f>
        <v>Female</v>
      </c>
      <c r="G466" s="20" t="str">
        <f>IF(ISBLANK($E466),"",INDEX(Sheet1!$A:$J,MATCH(Index_Match!$E466,Sheet1!$A:$A,0),MATCH(Index_Match!G$1,Sheet1!$A$1:$J$1,0)))</f>
        <v>Jeweller</v>
      </c>
      <c r="H466" s="20" t="str">
        <f>IF(ISBLANK($E466),"",INDEX(Sheet1!$A:$J,MATCH(Index_Match!$E466,Sheet1!$A:$A,0),MATCH(Index_Match!H$1,Sheet1!$A$1:$J$1,0)))</f>
        <v>Married</v>
      </c>
      <c r="I466" s="23">
        <f>IF(ISBLANK($E466),"",INDEX(Sheet1!$A:$J,MATCH(Index_Match!$E466,Sheet1!$A:$A,0),MATCH(Index_Match!I$1,Sheet1!$A$1:$J$1,0)))</f>
        <v>0</v>
      </c>
      <c r="J466" s="20" t="str">
        <f>IF(ISBLANK($E466),"",INDEX(Sheet1!$A:$J,MATCH(Index_Match!$E466,Sheet1!$A:$A,0),MATCH(Index_Match!J$1,Sheet1!$A$1:$J$1,0)))</f>
        <v>Rebecca Martin</v>
      </c>
      <c r="K466" s="23">
        <f>IF(ISBLANK($E466),"",INDEX(Sheet1!$A:$J,MATCH(Index_Match!$E466,Sheet1!$A:$A,0),MATCH(Index_Match!K$1,Sheet1!$A$1:$J$1,0)))</f>
        <v>0</v>
      </c>
      <c r="L466" s="20" t="str">
        <f>IF(ISBLANK($E466),"",INDEX(Sheet1!$A:$J,MATCH(Index_Match!$E466,Sheet1!$A:$A,0),MATCH(Index_Match!L$1,Sheet1!$A$1:$J$1,0)))</f>
        <v>Martin</v>
      </c>
      <c r="M466" s="20" t="str">
        <f>IF(ISBLANK($E466),"",INDEX(Sheet1!$A:$J,MATCH(Index_Match!$E466,Sheet1!$A:$A,0),MATCH(Index_Match!M$1,Sheet1!$A$1:$J$1,0)))</f>
        <v>Middle Age</v>
      </c>
    </row>
    <row r="467" spans="2:13" x14ac:dyDescent="0.25">
      <c r="B467" s="20"/>
      <c r="C467" s="20"/>
      <c r="D467" s="20"/>
      <c r="E467" s="20" t="str">
        <v>Fiona</v>
      </c>
      <c r="F467" s="20" t="str">
        <f>IF(ISBLANK($E467),"",INDEX(Sheet1!$A:$J,MATCH(Index_Match!$E467,Sheet1!$A:$A,0),MATCH(Index_Match!F$1,Sheet1!$A$1:$J$1,0)))</f>
        <v>Female</v>
      </c>
      <c r="G467" s="20" t="str">
        <f>IF(ISBLANK($E467),"",INDEX(Sheet1!$A:$J,MATCH(Index_Match!$E467,Sheet1!$A:$A,0),MATCH(Index_Match!G$1,Sheet1!$A$1:$J$1,0)))</f>
        <v>Hairdresser</v>
      </c>
      <c r="H467" s="20" t="str">
        <f>IF(ISBLANK($E467),"",INDEX(Sheet1!$A:$J,MATCH(Index_Match!$E467,Sheet1!$A:$A,0),MATCH(Index_Match!H$1,Sheet1!$A$1:$J$1,0)))</f>
        <v>Married</v>
      </c>
      <c r="I467" s="23">
        <f>IF(ISBLANK($E467),"",INDEX(Sheet1!$A:$J,MATCH(Index_Match!$E467,Sheet1!$A:$A,0),MATCH(Index_Match!I$1,Sheet1!$A$1:$J$1,0)))</f>
        <v>0</v>
      </c>
      <c r="J467" s="20" t="str">
        <f>IF(ISBLANK($E467),"",INDEX(Sheet1!$A:$J,MATCH(Index_Match!$E467,Sheet1!$A:$A,0),MATCH(Index_Match!J$1,Sheet1!$A$1:$J$1,0)))</f>
        <v>Fiona Phillips</v>
      </c>
      <c r="K467" s="23">
        <f>IF(ISBLANK($E467),"",INDEX(Sheet1!$A:$J,MATCH(Index_Match!$E467,Sheet1!$A:$A,0),MATCH(Index_Match!K$1,Sheet1!$A$1:$J$1,0)))</f>
        <v>0</v>
      </c>
      <c r="L467" s="20" t="str">
        <f>IF(ISBLANK($E467),"",INDEX(Sheet1!$A:$J,MATCH(Index_Match!$E467,Sheet1!$A:$A,0),MATCH(Index_Match!L$1,Sheet1!$A$1:$J$1,0)))</f>
        <v>Phillips</v>
      </c>
      <c r="M467" s="20" t="str">
        <f>IF(ISBLANK($E467),"",INDEX(Sheet1!$A:$J,MATCH(Index_Match!$E467,Sheet1!$A:$A,0),MATCH(Index_Match!M$1,Sheet1!$A$1:$J$1,0)))</f>
        <v>Middle Age</v>
      </c>
    </row>
    <row r="468" spans="2:13" x14ac:dyDescent="0.25">
      <c r="B468" s="20"/>
      <c r="C468" s="20"/>
      <c r="D468" s="20"/>
      <c r="E468" s="20" t="str">
        <v>Sydney</v>
      </c>
      <c r="F468" s="20" t="str">
        <f>IF(ISBLANK($E468),"",INDEX(Sheet1!$A:$J,MATCH(Index_Match!$E468,Sheet1!$A:$A,0),MATCH(Index_Match!F$1,Sheet1!$A$1:$J$1,0)))</f>
        <v>Female</v>
      </c>
      <c r="G468" s="20" t="str">
        <f>IF(ISBLANK($E468),"",INDEX(Sheet1!$A:$J,MATCH(Index_Match!$E468,Sheet1!$A:$A,0),MATCH(Index_Match!G$1,Sheet1!$A$1:$J$1,0)))</f>
        <v>Lawyer</v>
      </c>
      <c r="H468" s="20" t="str">
        <f>IF(ISBLANK($E468),"",INDEX(Sheet1!$A:$J,MATCH(Index_Match!$E468,Sheet1!$A:$A,0),MATCH(Index_Match!H$1,Sheet1!$A$1:$J$1,0)))</f>
        <v>Single</v>
      </c>
      <c r="I468" s="23">
        <f>IF(ISBLANK($E468),"",INDEX(Sheet1!$A:$J,MATCH(Index_Match!$E468,Sheet1!$A:$A,0),MATCH(Index_Match!I$1,Sheet1!$A$1:$J$1,0)))</f>
        <v>1</v>
      </c>
      <c r="J468" s="20" t="str">
        <f>IF(ISBLANK($E468),"",INDEX(Sheet1!$A:$J,MATCH(Index_Match!$E468,Sheet1!$A:$A,0),MATCH(Index_Match!J$1,Sheet1!$A$1:$J$1,0)))</f>
        <v>Sydney Craig</v>
      </c>
      <c r="K468" s="23">
        <f>IF(ISBLANK($E468),"",INDEX(Sheet1!$A:$J,MATCH(Index_Match!$E468,Sheet1!$A:$A,0),MATCH(Index_Match!K$1,Sheet1!$A$1:$J$1,0)))</f>
        <v>1</v>
      </c>
      <c r="L468" s="20" t="str">
        <f>IF(ISBLANK($E468),"",INDEX(Sheet1!$A:$J,MATCH(Index_Match!$E468,Sheet1!$A:$A,0),MATCH(Index_Match!L$1,Sheet1!$A$1:$J$1,0)))</f>
        <v>Craig</v>
      </c>
      <c r="M468" s="20" t="str">
        <f>IF(ISBLANK($E468),"",INDEX(Sheet1!$A:$J,MATCH(Index_Match!$E468,Sheet1!$A:$A,0),MATCH(Index_Match!M$1,Sheet1!$A$1:$J$1,0)))</f>
        <v>Middle Age</v>
      </c>
    </row>
    <row r="469" spans="2:13" x14ac:dyDescent="0.25">
      <c r="B469" s="20"/>
      <c r="C469" s="20"/>
      <c r="D469" s="20"/>
      <c r="E469" s="20" t="str">
        <v>Cadie</v>
      </c>
      <c r="F469" s="20" t="str">
        <f>IF(ISBLANK($E469),"",INDEX(Sheet1!$A:$J,MATCH(Index_Match!$E469,Sheet1!$A:$A,0),MATCH(Index_Match!F$1,Sheet1!$A$1:$J$1,0)))</f>
        <v>Female</v>
      </c>
      <c r="G469" s="20" t="str">
        <f>IF(ISBLANK($E469),"",INDEX(Sheet1!$A:$J,MATCH(Index_Match!$E469,Sheet1!$A:$A,0),MATCH(Index_Match!G$1,Sheet1!$A$1:$J$1,0)))</f>
        <v>Auditor</v>
      </c>
      <c r="H469" s="20" t="str">
        <f>IF(ISBLANK($E469),"",INDEX(Sheet1!$A:$J,MATCH(Index_Match!$E469,Sheet1!$A:$A,0),MATCH(Index_Match!H$1,Sheet1!$A$1:$J$1,0)))</f>
        <v>Married</v>
      </c>
      <c r="I469" s="23">
        <f>IF(ISBLANK($E469),"",INDEX(Sheet1!$A:$J,MATCH(Index_Match!$E469,Sheet1!$A:$A,0),MATCH(Index_Match!I$1,Sheet1!$A$1:$J$1,0)))</f>
        <v>2</v>
      </c>
      <c r="J469" s="20" t="str">
        <f>IF(ISBLANK($E469),"",INDEX(Sheet1!$A:$J,MATCH(Index_Match!$E469,Sheet1!$A:$A,0),MATCH(Index_Match!J$1,Sheet1!$A$1:$J$1,0)))</f>
        <v>Cadie Taylor</v>
      </c>
      <c r="K469" s="23">
        <f>IF(ISBLANK($E469),"",INDEX(Sheet1!$A:$J,MATCH(Index_Match!$E469,Sheet1!$A:$A,0),MATCH(Index_Match!K$1,Sheet1!$A$1:$J$1,0)))</f>
        <v>2</v>
      </c>
      <c r="L469" s="20" t="str">
        <f>IF(ISBLANK($E469),"",INDEX(Sheet1!$A:$J,MATCH(Index_Match!$E469,Sheet1!$A:$A,0),MATCH(Index_Match!L$1,Sheet1!$A$1:$J$1,0)))</f>
        <v>Taylor</v>
      </c>
      <c r="M469" s="20" t="str">
        <f>IF(ISBLANK($E469),"",INDEX(Sheet1!$A:$J,MATCH(Index_Match!$E469,Sheet1!$A:$A,0),MATCH(Index_Match!M$1,Sheet1!$A$1:$J$1,0)))</f>
        <v>Young</v>
      </c>
    </row>
    <row r="470" spans="2:13" x14ac:dyDescent="0.25">
      <c r="B470" s="20"/>
      <c r="C470" s="20"/>
      <c r="D470" s="20"/>
      <c r="E470" s="20" t="str">
        <v>Briony</v>
      </c>
      <c r="F470" s="20" t="str">
        <f>IF(ISBLANK($E470),"",INDEX(Sheet1!$A:$J,MATCH(Index_Match!$E470,Sheet1!$A:$A,0),MATCH(Index_Match!F$1,Sheet1!$A$1:$J$1,0)))</f>
        <v>Female</v>
      </c>
      <c r="G470" s="20" t="str">
        <f>IF(ISBLANK($E470),"",INDEX(Sheet1!$A:$J,MATCH(Index_Match!$E470,Sheet1!$A:$A,0),MATCH(Index_Match!G$1,Sheet1!$A$1:$J$1,0)))</f>
        <v>Salesman</v>
      </c>
      <c r="H470" s="20" t="str">
        <f>IF(ISBLANK($E470),"",INDEX(Sheet1!$A:$J,MATCH(Index_Match!$E470,Sheet1!$A:$A,0),MATCH(Index_Match!H$1,Sheet1!$A$1:$J$1,0)))</f>
        <v>Married</v>
      </c>
      <c r="I470" s="23">
        <f>IF(ISBLANK($E470),"",INDEX(Sheet1!$A:$J,MATCH(Index_Match!$E470,Sheet1!$A:$A,0),MATCH(Index_Match!I$1,Sheet1!$A$1:$J$1,0)))</f>
        <v>0</v>
      </c>
      <c r="J470" s="20" t="str">
        <f>IF(ISBLANK($E470),"",INDEX(Sheet1!$A:$J,MATCH(Index_Match!$E470,Sheet1!$A:$A,0),MATCH(Index_Match!J$1,Sheet1!$A$1:$J$1,0)))</f>
        <v>Briony Higgins</v>
      </c>
      <c r="K470" s="23">
        <f>IF(ISBLANK($E470),"",INDEX(Sheet1!$A:$J,MATCH(Index_Match!$E470,Sheet1!$A:$A,0),MATCH(Index_Match!K$1,Sheet1!$A$1:$J$1,0)))</f>
        <v>0</v>
      </c>
      <c r="L470" s="20" t="str">
        <f>IF(ISBLANK($E470),"",INDEX(Sheet1!$A:$J,MATCH(Index_Match!$E470,Sheet1!$A:$A,0),MATCH(Index_Match!L$1,Sheet1!$A$1:$J$1,0)))</f>
        <v>Higgins</v>
      </c>
      <c r="M470" s="20" t="str">
        <f>IF(ISBLANK($E470),"",INDEX(Sheet1!$A:$J,MATCH(Index_Match!$E470,Sheet1!$A:$A,0),MATCH(Index_Match!M$1,Sheet1!$A$1:$J$1,0)))</f>
        <v>Young</v>
      </c>
    </row>
    <row r="471" spans="2:13" x14ac:dyDescent="0.25">
      <c r="B471" s="20"/>
      <c r="C471" s="20"/>
      <c r="D471" s="20"/>
      <c r="E471" s="20" t="str">
        <v>Emily</v>
      </c>
      <c r="F471" s="20" t="str">
        <f>IF(ISBLANK($E471),"",INDEX(Sheet1!$A:$J,MATCH(Index_Match!$E471,Sheet1!$A:$A,0),MATCH(Index_Match!F$1,Sheet1!$A$1:$J$1,0)))</f>
        <v>Female</v>
      </c>
      <c r="G471" s="20" t="str">
        <f>IF(ISBLANK($E471),"",INDEX(Sheet1!$A:$J,MATCH(Index_Match!$E471,Sheet1!$A:$A,0),MATCH(Index_Match!G$1,Sheet1!$A$1:$J$1,0)))</f>
        <v>Lawyer</v>
      </c>
      <c r="H471" s="20" t="str">
        <f>IF(ISBLANK($E471),"",INDEX(Sheet1!$A:$J,MATCH(Index_Match!$E471,Sheet1!$A:$A,0),MATCH(Index_Match!H$1,Sheet1!$A$1:$J$1,0)))</f>
        <v>Single</v>
      </c>
      <c r="I471" s="23">
        <f>IF(ISBLANK($E471),"",INDEX(Sheet1!$A:$J,MATCH(Index_Match!$E471,Sheet1!$A:$A,0),MATCH(Index_Match!I$1,Sheet1!$A$1:$J$1,0)))</f>
        <v>0</v>
      </c>
      <c r="J471" s="20" t="str">
        <f>IF(ISBLANK($E471),"",INDEX(Sheet1!$A:$J,MATCH(Index_Match!$E471,Sheet1!$A:$A,0),MATCH(Index_Match!J$1,Sheet1!$A$1:$J$1,0)))</f>
        <v>Emily Chapman</v>
      </c>
      <c r="K471" s="23">
        <f>IF(ISBLANK($E471),"",INDEX(Sheet1!$A:$J,MATCH(Index_Match!$E471,Sheet1!$A:$A,0),MATCH(Index_Match!K$1,Sheet1!$A$1:$J$1,0)))</f>
        <v>0</v>
      </c>
      <c r="L471" s="20" t="str">
        <f>IF(ISBLANK($E471),"",INDEX(Sheet1!$A:$J,MATCH(Index_Match!$E471,Sheet1!$A:$A,0),MATCH(Index_Match!L$1,Sheet1!$A$1:$J$1,0)))</f>
        <v>Chapman</v>
      </c>
      <c r="M471" s="20" t="str">
        <f>IF(ISBLANK($E471),"",INDEX(Sheet1!$A:$J,MATCH(Index_Match!$E471,Sheet1!$A:$A,0),MATCH(Index_Match!M$1,Sheet1!$A$1:$J$1,0)))</f>
        <v>Middle Age</v>
      </c>
    </row>
    <row r="472" spans="2:13" x14ac:dyDescent="0.25">
      <c r="B472" s="20"/>
      <c r="C472" s="20"/>
      <c r="D472" s="20"/>
      <c r="E472" s="20" t="str">
        <v>Paige</v>
      </c>
      <c r="F472" s="20" t="str">
        <f>IF(ISBLANK($E472),"",INDEX(Sheet1!$A:$J,MATCH(Index_Match!$E472,Sheet1!$A:$A,0),MATCH(Index_Match!F$1,Sheet1!$A$1:$J$1,0)))</f>
        <v>Female</v>
      </c>
      <c r="G472" s="20" t="str">
        <f>IF(ISBLANK($E472),"",INDEX(Sheet1!$A:$J,MATCH(Index_Match!$E472,Sheet1!$A:$A,0),MATCH(Index_Match!G$1,Sheet1!$A$1:$J$1,0)))</f>
        <v>Biochemist</v>
      </c>
      <c r="H472" s="20" t="str">
        <f>IF(ISBLANK($E472),"",INDEX(Sheet1!$A:$J,MATCH(Index_Match!$E472,Sheet1!$A:$A,0),MATCH(Index_Match!H$1,Sheet1!$A$1:$J$1,0)))</f>
        <v>Married</v>
      </c>
      <c r="I472" s="23">
        <f>IF(ISBLANK($E472),"",INDEX(Sheet1!$A:$J,MATCH(Index_Match!$E472,Sheet1!$A:$A,0),MATCH(Index_Match!I$1,Sheet1!$A$1:$J$1,0)))</f>
        <v>4</v>
      </c>
      <c r="J472" s="20" t="str">
        <f>IF(ISBLANK($E472),"",INDEX(Sheet1!$A:$J,MATCH(Index_Match!$E472,Sheet1!$A:$A,0),MATCH(Index_Match!J$1,Sheet1!$A$1:$J$1,0)))</f>
        <v>Paige Moore</v>
      </c>
      <c r="K472" s="23">
        <f>IF(ISBLANK($E472),"",INDEX(Sheet1!$A:$J,MATCH(Index_Match!$E472,Sheet1!$A:$A,0),MATCH(Index_Match!K$1,Sheet1!$A$1:$J$1,0)))</f>
        <v>4</v>
      </c>
      <c r="L472" s="20" t="str">
        <f>IF(ISBLANK($E472),"",INDEX(Sheet1!$A:$J,MATCH(Index_Match!$E472,Sheet1!$A:$A,0),MATCH(Index_Match!L$1,Sheet1!$A$1:$J$1,0)))</f>
        <v>Moore</v>
      </c>
      <c r="M472" s="20" t="str">
        <f>IF(ISBLANK($E472),"",INDEX(Sheet1!$A:$J,MATCH(Index_Match!$E472,Sheet1!$A:$A,0),MATCH(Index_Match!M$1,Sheet1!$A$1:$J$1,0)))</f>
        <v>Middle Age</v>
      </c>
    </row>
    <row r="473" spans="2:13" x14ac:dyDescent="0.25">
      <c r="B473" s="20"/>
      <c r="C473" s="20"/>
      <c r="D473" s="20"/>
      <c r="E473" s="20" t="str">
        <v>Elise</v>
      </c>
      <c r="F473" s="20" t="str">
        <f>IF(ISBLANK($E473),"",INDEX(Sheet1!$A:$J,MATCH(Index_Match!$E473,Sheet1!$A:$A,0),MATCH(Index_Match!F$1,Sheet1!$A$1:$J$1,0)))</f>
        <v>Female</v>
      </c>
      <c r="G473" s="20" t="str">
        <f>IF(ISBLANK($E473),"",INDEX(Sheet1!$A:$J,MATCH(Index_Match!$E473,Sheet1!$A:$A,0),MATCH(Index_Match!G$1,Sheet1!$A$1:$J$1,0)))</f>
        <v>Engineer</v>
      </c>
      <c r="H473" s="20" t="str">
        <f>IF(ISBLANK($E473),"",INDEX(Sheet1!$A:$J,MATCH(Index_Match!$E473,Sheet1!$A:$A,0),MATCH(Index_Match!H$1,Sheet1!$A$1:$J$1,0)))</f>
        <v>Married</v>
      </c>
      <c r="I473" s="23">
        <f>IF(ISBLANK($E473),"",INDEX(Sheet1!$A:$J,MATCH(Index_Match!$E473,Sheet1!$A:$A,0),MATCH(Index_Match!I$1,Sheet1!$A$1:$J$1,0)))</f>
        <v>5</v>
      </c>
      <c r="J473" s="20" t="str">
        <f>IF(ISBLANK($E473),"",INDEX(Sheet1!$A:$J,MATCH(Index_Match!$E473,Sheet1!$A:$A,0),MATCH(Index_Match!J$1,Sheet1!$A$1:$J$1,0)))</f>
        <v>Elise Tucker</v>
      </c>
      <c r="K473" s="23">
        <f>IF(ISBLANK($E473),"",INDEX(Sheet1!$A:$J,MATCH(Index_Match!$E473,Sheet1!$A:$A,0),MATCH(Index_Match!K$1,Sheet1!$A$1:$J$1,0)))</f>
        <v>5</v>
      </c>
      <c r="L473" s="20" t="str">
        <f>IF(ISBLANK($E473),"",INDEX(Sheet1!$A:$J,MATCH(Index_Match!$E473,Sheet1!$A:$A,0),MATCH(Index_Match!L$1,Sheet1!$A$1:$J$1,0)))</f>
        <v>Tucker</v>
      </c>
      <c r="M473" s="20" t="str">
        <f>IF(ISBLANK($E473),"",INDEX(Sheet1!$A:$J,MATCH(Index_Match!$E473,Sheet1!$A:$A,0),MATCH(Index_Match!M$1,Sheet1!$A$1:$J$1,0)))</f>
        <v>Young</v>
      </c>
    </row>
    <row r="474" spans="2:13" x14ac:dyDescent="0.25">
      <c r="B474" s="20"/>
      <c r="C474" s="20"/>
      <c r="D474" s="20"/>
      <c r="E474" s="20" t="str">
        <v>Alexia</v>
      </c>
      <c r="F474" s="20" t="str">
        <f>IF(ISBLANK($E474),"",INDEX(Sheet1!$A:$J,MATCH(Index_Match!$E474,Sheet1!$A:$A,0),MATCH(Index_Match!F$1,Sheet1!$A$1:$J$1,0)))</f>
        <v>Female</v>
      </c>
      <c r="G474" s="20" t="str">
        <f>IF(ISBLANK($E474),"",INDEX(Sheet1!$A:$J,MATCH(Index_Match!$E474,Sheet1!$A:$A,0),MATCH(Index_Match!G$1,Sheet1!$A$1:$J$1,0)))</f>
        <v>Auditor</v>
      </c>
      <c r="H474" s="20" t="str">
        <f>IF(ISBLANK($E474),"",INDEX(Sheet1!$A:$J,MATCH(Index_Match!$E474,Sheet1!$A:$A,0),MATCH(Index_Match!H$1,Sheet1!$A$1:$J$1,0)))</f>
        <v>Married</v>
      </c>
      <c r="I474" s="23">
        <f>IF(ISBLANK($E474),"",INDEX(Sheet1!$A:$J,MATCH(Index_Match!$E474,Sheet1!$A:$A,0),MATCH(Index_Match!I$1,Sheet1!$A$1:$J$1,0)))</f>
        <v>0</v>
      </c>
      <c r="J474" s="20" t="str">
        <f>IF(ISBLANK($E474),"",INDEX(Sheet1!$A:$J,MATCH(Index_Match!$E474,Sheet1!$A:$A,0),MATCH(Index_Match!J$1,Sheet1!$A$1:$J$1,0)))</f>
        <v>Alexia Cooper</v>
      </c>
      <c r="K474" s="23">
        <f>IF(ISBLANK($E474),"",INDEX(Sheet1!$A:$J,MATCH(Index_Match!$E474,Sheet1!$A:$A,0),MATCH(Index_Match!K$1,Sheet1!$A$1:$J$1,0)))</f>
        <v>0</v>
      </c>
      <c r="L474" s="20" t="str">
        <f>IF(ISBLANK($E474),"",INDEX(Sheet1!$A:$J,MATCH(Index_Match!$E474,Sheet1!$A:$A,0),MATCH(Index_Match!L$1,Sheet1!$A$1:$J$1,0)))</f>
        <v>Cooper</v>
      </c>
      <c r="M474" s="20" t="str">
        <f>IF(ISBLANK($E474),"",INDEX(Sheet1!$A:$J,MATCH(Index_Match!$E474,Sheet1!$A:$A,0),MATCH(Index_Match!M$1,Sheet1!$A$1:$J$1,0)))</f>
        <v>Young</v>
      </c>
    </row>
    <row r="475" spans="2:13" x14ac:dyDescent="0.25">
      <c r="B475" s="20"/>
      <c r="C475" s="20"/>
      <c r="D475" s="20"/>
      <c r="E475" s="20" t="str">
        <v>Jessica</v>
      </c>
      <c r="F475" s="20" t="str">
        <f>IF(ISBLANK($E475),"",INDEX(Sheet1!$A:$J,MATCH(Index_Match!$E475,Sheet1!$A:$A,0),MATCH(Index_Match!F$1,Sheet1!$A$1:$J$1,0)))</f>
        <v>Female</v>
      </c>
      <c r="G475" s="20" t="str">
        <f>IF(ISBLANK($E475),"",INDEX(Sheet1!$A:$J,MATCH(Index_Match!$E475,Sheet1!$A:$A,0),MATCH(Index_Match!G$1,Sheet1!$A$1:$J$1,0)))</f>
        <v>Social Worker</v>
      </c>
      <c r="H475" s="20" t="str">
        <f>IF(ISBLANK($E475),"",INDEX(Sheet1!$A:$J,MATCH(Index_Match!$E475,Sheet1!$A:$A,0),MATCH(Index_Match!H$1,Sheet1!$A$1:$J$1,0)))</f>
        <v>Married</v>
      </c>
      <c r="I475" s="23">
        <f>IF(ISBLANK($E475),"",INDEX(Sheet1!$A:$J,MATCH(Index_Match!$E475,Sheet1!$A:$A,0),MATCH(Index_Match!I$1,Sheet1!$A$1:$J$1,0)))</f>
        <v>1</v>
      </c>
      <c r="J475" s="20" t="str">
        <f>IF(ISBLANK($E475),"",INDEX(Sheet1!$A:$J,MATCH(Index_Match!$E475,Sheet1!$A:$A,0),MATCH(Index_Match!J$1,Sheet1!$A$1:$J$1,0)))</f>
        <v>Jessica Cameron</v>
      </c>
      <c r="K475" s="23">
        <f>IF(ISBLANK($E475),"",INDEX(Sheet1!$A:$J,MATCH(Index_Match!$E475,Sheet1!$A:$A,0),MATCH(Index_Match!K$1,Sheet1!$A$1:$J$1,0)))</f>
        <v>1</v>
      </c>
      <c r="L475" s="20" t="str">
        <f>IF(ISBLANK($E475),"",INDEX(Sheet1!$A:$J,MATCH(Index_Match!$E475,Sheet1!$A:$A,0),MATCH(Index_Match!L$1,Sheet1!$A$1:$J$1,0)))</f>
        <v>Cameron</v>
      </c>
      <c r="M475" s="20" t="str">
        <f>IF(ISBLANK($E475),"",INDEX(Sheet1!$A:$J,MATCH(Index_Match!$E475,Sheet1!$A:$A,0),MATCH(Index_Match!M$1,Sheet1!$A$1:$J$1,0)))</f>
        <v>Young</v>
      </c>
    </row>
    <row r="476" spans="2:13" x14ac:dyDescent="0.25">
      <c r="B476" s="20"/>
      <c r="C476" s="20"/>
      <c r="D476" s="20"/>
      <c r="E476" s="20" t="str">
        <v>Jasmine</v>
      </c>
      <c r="F476" s="20" t="str">
        <f>IF(ISBLANK($E476),"",INDEX(Sheet1!$A:$J,MATCH(Index_Match!$E476,Sheet1!$A:$A,0),MATCH(Index_Match!F$1,Sheet1!$A$1:$J$1,0)))</f>
        <v>Female</v>
      </c>
      <c r="G476" s="20" t="str">
        <f>IF(ISBLANK($E476),"",INDEX(Sheet1!$A:$J,MATCH(Index_Match!$E476,Sheet1!$A:$A,0),MATCH(Index_Match!G$1,Sheet1!$A$1:$J$1,0)))</f>
        <v>Mechanic</v>
      </c>
      <c r="H476" s="20" t="str">
        <f>IF(ISBLANK($E476),"",INDEX(Sheet1!$A:$J,MATCH(Index_Match!$E476,Sheet1!$A:$A,0),MATCH(Index_Match!H$1,Sheet1!$A$1:$J$1,0)))</f>
        <v>Married</v>
      </c>
      <c r="I476" s="23">
        <f>IF(ISBLANK($E476),"",INDEX(Sheet1!$A:$J,MATCH(Index_Match!$E476,Sheet1!$A:$A,0),MATCH(Index_Match!I$1,Sheet1!$A$1:$J$1,0)))</f>
        <v>2</v>
      </c>
      <c r="J476" s="20" t="str">
        <f>IF(ISBLANK($E476),"",INDEX(Sheet1!$A:$J,MATCH(Index_Match!$E476,Sheet1!$A:$A,0),MATCH(Index_Match!J$1,Sheet1!$A$1:$J$1,0)))</f>
        <v>Jasmine Martin</v>
      </c>
      <c r="K476" s="23">
        <f>IF(ISBLANK($E476),"",INDEX(Sheet1!$A:$J,MATCH(Index_Match!$E476,Sheet1!$A:$A,0),MATCH(Index_Match!K$1,Sheet1!$A$1:$J$1,0)))</f>
        <v>2</v>
      </c>
      <c r="L476" s="20" t="str">
        <f>IF(ISBLANK($E476),"",INDEX(Sheet1!$A:$J,MATCH(Index_Match!$E476,Sheet1!$A:$A,0),MATCH(Index_Match!L$1,Sheet1!$A$1:$J$1,0)))</f>
        <v>Martin</v>
      </c>
      <c r="M476" s="20" t="str">
        <f>IF(ISBLANK($E476),"",INDEX(Sheet1!$A:$J,MATCH(Index_Match!$E476,Sheet1!$A:$A,0),MATCH(Index_Match!M$1,Sheet1!$A$1:$J$1,0)))</f>
        <v>Middle Age</v>
      </c>
    </row>
    <row r="477" spans="2:13" x14ac:dyDescent="0.25">
      <c r="B477" s="20"/>
      <c r="C477" s="20"/>
      <c r="D477" s="20"/>
      <c r="E477" s="20" t="str">
        <v>Vivian</v>
      </c>
      <c r="F477" s="20" t="str">
        <f>IF(ISBLANK($E477),"",INDEX(Sheet1!$A:$J,MATCH(Index_Match!$E477,Sheet1!$A:$A,0),MATCH(Index_Match!F$1,Sheet1!$A$1:$J$1,0)))</f>
        <v>Female</v>
      </c>
      <c r="G477" s="20" t="str">
        <f>IF(ISBLANK($E477),"",INDEX(Sheet1!$A:$J,MATCH(Index_Match!$E477,Sheet1!$A:$A,0),MATCH(Index_Match!G$1,Sheet1!$A$1:$J$1,0)))</f>
        <v>Fine Artist</v>
      </c>
      <c r="H477" s="20" t="str">
        <f>IF(ISBLANK($E477),"",INDEX(Sheet1!$A:$J,MATCH(Index_Match!$E477,Sheet1!$A:$A,0),MATCH(Index_Match!H$1,Sheet1!$A$1:$J$1,0)))</f>
        <v>Married</v>
      </c>
      <c r="I477" s="23">
        <f>IF(ISBLANK($E477),"",INDEX(Sheet1!$A:$J,MATCH(Index_Match!$E477,Sheet1!$A:$A,0),MATCH(Index_Match!I$1,Sheet1!$A$1:$J$1,0)))</f>
        <v>5</v>
      </c>
      <c r="J477" s="20" t="str">
        <f>IF(ISBLANK($E477),"",INDEX(Sheet1!$A:$J,MATCH(Index_Match!$E477,Sheet1!$A:$A,0),MATCH(Index_Match!J$1,Sheet1!$A$1:$J$1,0)))</f>
        <v>Vivian Edwards</v>
      </c>
      <c r="K477" s="23">
        <f>IF(ISBLANK($E477),"",INDEX(Sheet1!$A:$J,MATCH(Index_Match!$E477,Sheet1!$A:$A,0),MATCH(Index_Match!K$1,Sheet1!$A$1:$J$1,0)))</f>
        <v>5</v>
      </c>
      <c r="L477" s="20" t="str">
        <f>IF(ISBLANK($E477),"",INDEX(Sheet1!$A:$J,MATCH(Index_Match!$E477,Sheet1!$A:$A,0),MATCH(Index_Match!L$1,Sheet1!$A$1:$J$1,0)))</f>
        <v>Edwards</v>
      </c>
      <c r="M477" s="20" t="str">
        <f>IF(ISBLANK($E477),"",INDEX(Sheet1!$A:$J,MATCH(Index_Match!$E477,Sheet1!$A:$A,0),MATCH(Index_Match!M$1,Sheet1!$A$1:$J$1,0)))</f>
        <v>Middle Age</v>
      </c>
    </row>
    <row r="478" spans="2:13" x14ac:dyDescent="0.25">
      <c r="B478" s="20"/>
      <c r="C478" s="20"/>
      <c r="D478" s="20"/>
      <c r="E478" s="20" t="str">
        <v>Penelope</v>
      </c>
      <c r="F478" s="20" t="str">
        <f>IF(ISBLANK($E478),"",INDEX(Sheet1!$A:$J,MATCH(Index_Match!$E478,Sheet1!$A:$A,0),MATCH(Index_Match!F$1,Sheet1!$A$1:$J$1,0)))</f>
        <v>Female</v>
      </c>
      <c r="G478" s="20" t="str">
        <f>IF(ISBLANK($E478),"",INDEX(Sheet1!$A:$J,MATCH(Index_Match!$E478,Sheet1!$A:$A,0),MATCH(Index_Match!G$1,Sheet1!$A$1:$J$1,0)))</f>
        <v>Singer</v>
      </c>
      <c r="H478" s="20" t="str">
        <f>IF(ISBLANK($E478),"",INDEX(Sheet1!$A:$J,MATCH(Index_Match!$E478,Sheet1!$A:$A,0),MATCH(Index_Match!H$1,Sheet1!$A$1:$J$1,0)))</f>
        <v>Single</v>
      </c>
      <c r="I478" s="23">
        <f>IF(ISBLANK($E478),"",INDEX(Sheet1!$A:$J,MATCH(Index_Match!$E478,Sheet1!$A:$A,0),MATCH(Index_Match!I$1,Sheet1!$A$1:$J$1,0)))</f>
        <v>5</v>
      </c>
      <c r="J478" s="20" t="str">
        <f>IF(ISBLANK($E478),"",INDEX(Sheet1!$A:$J,MATCH(Index_Match!$E478,Sheet1!$A:$A,0),MATCH(Index_Match!J$1,Sheet1!$A$1:$J$1,0)))</f>
        <v>Penelope Henderson</v>
      </c>
      <c r="K478" s="23">
        <f>IF(ISBLANK($E478),"",INDEX(Sheet1!$A:$J,MATCH(Index_Match!$E478,Sheet1!$A:$A,0),MATCH(Index_Match!K$1,Sheet1!$A$1:$J$1,0)))</f>
        <v>5</v>
      </c>
      <c r="L478" s="20" t="str">
        <f>IF(ISBLANK($E478),"",INDEX(Sheet1!$A:$J,MATCH(Index_Match!$E478,Sheet1!$A:$A,0),MATCH(Index_Match!L$1,Sheet1!$A$1:$J$1,0)))</f>
        <v>Henderson</v>
      </c>
      <c r="M478" s="20" t="str">
        <f>IF(ISBLANK($E478),"",INDEX(Sheet1!$A:$J,MATCH(Index_Match!$E478,Sheet1!$A:$A,0),MATCH(Index_Match!M$1,Sheet1!$A$1:$J$1,0)))</f>
        <v>Middle Age</v>
      </c>
    </row>
    <row r="479" spans="2:13" x14ac:dyDescent="0.25">
      <c r="B479" s="20"/>
      <c r="C479" s="20"/>
      <c r="D479" s="20"/>
      <c r="E479" s="20" t="str">
        <v>Anna</v>
      </c>
      <c r="F479" s="20" t="str">
        <f>IF(ISBLANK($E479),"",INDEX(Sheet1!$A:$J,MATCH(Index_Match!$E479,Sheet1!$A:$A,0),MATCH(Index_Match!F$1,Sheet1!$A$1:$J$1,0)))</f>
        <v>Female</v>
      </c>
      <c r="G479" s="20" t="str">
        <f>IF(ISBLANK($E479),"",INDEX(Sheet1!$A:$J,MATCH(Index_Match!$E479,Sheet1!$A:$A,0),MATCH(Index_Match!G$1,Sheet1!$A$1:$J$1,0)))</f>
        <v>Fine Artist</v>
      </c>
      <c r="H479" s="20" t="str">
        <f>IF(ISBLANK($E479),"",INDEX(Sheet1!$A:$J,MATCH(Index_Match!$E479,Sheet1!$A:$A,0),MATCH(Index_Match!H$1,Sheet1!$A$1:$J$1,0)))</f>
        <v>Single</v>
      </c>
      <c r="I479" s="23">
        <f>IF(ISBLANK($E479),"",INDEX(Sheet1!$A:$J,MATCH(Index_Match!$E479,Sheet1!$A:$A,0),MATCH(Index_Match!I$1,Sheet1!$A$1:$J$1,0)))</f>
        <v>2</v>
      </c>
      <c r="J479" s="20" t="str">
        <f>IF(ISBLANK($E479),"",INDEX(Sheet1!$A:$J,MATCH(Index_Match!$E479,Sheet1!$A:$A,0),MATCH(Index_Match!J$1,Sheet1!$A$1:$J$1,0)))</f>
        <v>Anna Smith</v>
      </c>
      <c r="K479" s="23">
        <f>IF(ISBLANK($E479),"",INDEX(Sheet1!$A:$J,MATCH(Index_Match!$E479,Sheet1!$A:$A,0),MATCH(Index_Match!K$1,Sheet1!$A$1:$J$1,0)))</f>
        <v>2</v>
      </c>
      <c r="L479" s="20" t="str">
        <f>IF(ISBLANK($E479),"",INDEX(Sheet1!$A:$J,MATCH(Index_Match!$E479,Sheet1!$A:$A,0),MATCH(Index_Match!L$1,Sheet1!$A$1:$J$1,0)))</f>
        <v>Smith</v>
      </c>
      <c r="M479" s="20" t="str">
        <f>IF(ISBLANK($E479),"",INDEX(Sheet1!$A:$J,MATCH(Index_Match!$E479,Sheet1!$A:$A,0),MATCH(Index_Match!M$1,Sheet1!$A$1:$J$1,0)))</f>
        <v>Old</v>
      </c>
    </row>
    <row r="480" spans="2:13" x14ac:dyDescent="0.25">
      <c r="B480" s="20"/>
      <c r="C480" s="20"/>
      <c r="D480" s="20"/>
      <c r="E480" s="20" t="str">
        <v>Lucia</v>
      </c>
      <c r="F480" s="20" t="str">
        <f>IF(ISBLANK($E480),"",INDEX(Sheet1!$A:$J,MATCH(Index_Match!$E480,Sheet1!$A:$A,0),MATCH(Index_Match!F$1,Sheet1!$A$1:$J$1,0)))</f>
        <v>Female</v>
      </c>
      <c r="G480" s="20" t="str">
        <f>IF(ISBLANK($E480),"",INDEX(Sheet1!$A:$J,MATCH(Index_Match!$E480,Sheet1!$A:$A,0),MATCH(Index_Match!G$1,Sheet1!$A$1:$J$1,0)))</f>
        <v>Driver</v>
      </c>
      <c r="H480" s="20" t="str">
        <f>IF(ISBLANK($E480),"",INDEX(Sheet1!$A:$J,MATCH(Index_Match!$E480,Sheet1!$A:$A,0),MATCH(Index_Match!H$1,Sheet1!$A$1:$J$1,0)))</f>
        <v>Single</v>
      </c>
      <c r="I480" s="23">
        <f>IF(ISBLANK($E480),"",INDEX(Sheet1!$A:$J,MATCH(Index_Match!$E480,Sheet1!$A:$A,0),MATCH(Index_Match!I$1,Sheet1!$A$1:$J$1,0)))</f>
        <v>5</v>
      </c>
      <c r="J480" s="20" t="str">
        <f>IF(ISBLANK($E480),"",INDEX(Sheet1!$A:$J,MATCH(Index_Match!$E480,Sheet1!$A:$A,0),MATCH(Index_Match!J$1,Sheet1!$A$1:$J$1,0)))</f>
        <v>Lucia Cameron</v>
      </c>
      <c r="K480" s="23">
        <f>IF(ISBLANK($E480),"",INDEX(Sheet1!$A:$J,MATCH(Index_Match!$E480,Sheet1!$A:$A,0),MATCH(Index_Match!K$1,Sheet1!$A$1:$J$1,0)))</f>
        <v>5</v>
      </c>
      <c r="L480" s="20" t="str">
        <f>IF(ISBLANK($E480),"",INDEX(Sheet1!$A:$J,MATCH(Index_Match!$E480,Sheet1!$A:$A,0),MATCH(Index_Match!L$1,Sheet1!$A$1:$J$1,0)))</f>
        <v>Cameron</v>
      </c>
      <c r="M480" s="20" t="str">
        <f>IF(ISBLANK($E480),"",INDEX(Sheet1!$A:$J,MATCH(Index_Match!$E480,Sheet1!$A:$A,0),MATCH(Index_Match!M$1,Sheet1!$A$1:$J$1,0)))</f>
        <v>Middle Age</v>
      </c>
    </row>
    <row r="481" spans="2:13" x14ac:dyDescent="0.25">
      <c r="B481" s="20"/>
      <c r="C481" s="20"/>
      <c r="D481" s="20"/>
      <c r="E481" s="20" t="str">
        <v>Adelaide</v>
      </c>
      <c r="F481" s="20" t="str">
        <f>IF(ISBLANK($E481),"",INDEX(Sheet1!$A:$J,MATCH(Index_Match!$E481,Sheet1!$A:$A,0),MATCH(Index_Match!F$1,Sheet1!$A$1:$J$1,0)))</f>
        <v>Female</v>
      </c>
      <c r="G481" s="20" t="str">
        <f>IF(ISBLANK($E481),"",INDEX(Sheet1!$A:$J,MATCH(Index_Match!$E481,Sheet1!$A:$A,0),MATCH(Index_Match!G$1,Sheet1!$A$1:$J$1,0)))</f>
        <v>Producer</v>
      </c>
      <c r="H481" s="20" t="str">
        <f>IF(ISBLANK($E481),"",INDEX(Sheet1!$A:$J,MATCH(Index_Match!$E481,Sheet1!$A:$A,0),MATCH(Index_Match!H$1,Sheet1!$A$1:$J$1,0)))</f>
        <v>Single</v>
      </c>
      <c r="I481" s="23">
        <f>IF(ISBLANK($E481),"",INDEX(Sheet1!$A:$J,MATCH(Index_Match!$E481,Sheet1!$A:$A,0),MATCH(Index_Match!I$1,Sheet1!$A$1:$J$1,0)))</f>
        <v>3</v>
      </c>
      <c r="J481" s="20" t="str">
        <f>IF(ISBLANK($E481),"",INDEX(Sheet1!$A:$J,MATCH(Index_Match!$E481,Sheet1!$A:$A,0),MATCH(Index_Match!J$1,Sheet1!$A$1:$J$1,0)))</f>
        <v>Adelaide Farrell</v>
      </c>
      <c r="K481" s="23">
        <f>IF(ISBLANK($E481),"",INDEX(Sheet1!$A:$J,MATCH(Index_Match!$E481,Sheet1!$A:$A,0),MATCH(Index_Match!K$1,Sheet1!$A$1:$J$1,0)))</f>
        <v>3</v>
      </c>
      <c r="L481" s="20" t="str">
        <f>IF(ISBLANK($E481),"",INDEX(Sheet1!$A:$J,MATCH(Index_Match!$E481,Sheet1!$A:$A,0),MATCH(Index_Match!L$1,Sheet1!$A$1:$J$1,0)))</f>
        <v>Farrell</v>
      </c>
      <c r="M481" s="20" t="str">
        <f>IF(ISBLANK($E481),"",INDEX(Sheet1!$A:$J,MATCH(Index_Match!$E481,Sheet1!$A:$A,0),MATCH(Index_Match!M$1,Sheet1!$A$1:$J$1,0)))</f>
        <v>Middle Age</v>
      </c>
    </row>
    <row r="482" spans="2:13" x14ac:dyDescent="0.25">
      <c r="B482" s="20"/>
      <c r="C482" s="20"/>
      <c r="D482" s="20"/>
      <c r="E482" s="20" t="str">
        <v>Rosie</v>
      </c>
      <c r="F482" s="20" t="str">
        <f>IF(ISBLANK($E482),"",INDEX(Sheet1!$A:$J,MATCH(Index_Match!$E482,Sheet1!$A:$A,0),MATCH(Index_Match!F$1,Sheet1!$A$1:$J$1,0)))</f>
        <v>Female</v>
      </c>
      <c r="G482" s="20" t="str">
        <f>IF(ISBLANK($E482),"",INDEX(Sheet1!$A:$J,MATCH(Index_Match!$E482,Sheet1!$A:$A,0),MATCH(Index_Match!G$1,Sheet1!$A$1:$J$1,0)))</f>
        <v>Baker</v>
      </c>
      <c r="H482" s="20" t="str">
        <f>IF(ISBLANK($E482),"",INDEX(Sheet1!$A:$J,MATCH(Index_Match!$E482,Sheet1!$A:$A,0),MATCH(Index_Match!H$1,Sheet1!$A$1:$J$1,0)))</f>
        <v>Single</v>
      </c>
      <c r="I482" s="23">
        <f>IF(ISBLANK($E482),"",INDEX(Sheet1!$A:$J,MATCH(Index_Match!$E482,Sheet1!$A:$A,0),MATCH(Index_Match!I$1,Sheet1!$A$1:$J$1,0)))</f>
        <v>2</v>
      </c>
      <c r="J482" s="20" t="str">
        <f>IF(ISBLANK($E482),"",INDEX(Sheet1!$A:$J,MATCH(Index_Match!$E482,Sheet1!$A:$A,0),MATCH(Index_Match!J$1,Sheet1!$A$1:$J$1,0)))</f>
        <v>Rosie Moore</v>
      </c>
      <c r="K482" s="23">
        <f>IF(ISBLANK($E482),"",INDEX(Sheet1!$A:$J,MATCH(Index_Match!$E482,Sheet1!$A:$A,0),MATCH(Index_Match!K$1,Sheet1!$A$1:$J$1,0)))</f>
        <v>2</v>
      </c>
      <c r="L482" s="20" t="str">
        <f>IF(ISBLANK($E482),"",INDEX(Sheet1!$A:$J,MATCH(Index_Match!$E482,Sheet1!$A:$A,0),MATCH(Index_Match!L$1,Sheet1!$A$1:$J$1,0)))</f>
        <v>Moore</v>
      </c>
      <c r="M482" s="20" t="str">
        <f>IF(ISBLANK($E482),"",INDEX(Sheet1!$A:$J,MATCH(Index_Match!$E482,Sheet1!$A:$A,0),MATCH(Index_Match!M$1,Sheet1!$A$1:$J$1,0)))</f>
        <v>Old</v>
      </c>
    </row>
    <row r="483" spans="2:13" x14ac:dyDescent="0.25">
      <c r="B483" s="20"/>
      <c r="C483" s="20"/>
      <c r="D483" s="20"/>
      <c r="E483" s="20" t="str">
        <v>Sophia</v>
      </c>
      <c r="F483" s="20" t="str">
        <f>IF(ISBLANK($E483),"",INDEX(Sheet1!$A:$J,MATCH(Index_Match!$E483,Sheet1!$A:$A,0),MATCH(Index_Match!F$1,Sheet1!$A$1:$J$1,0)))</f>
        <v>Female</v>
      </c>
      <c r="G483" s="20" t="str">
        <f>IF(ISBLANK($E483),"",INDEX(Sheet1!$A:$J,MATCH(Index_Match!$E483,Sheet1!$A:$A,0),MATCH(Index_Match!G$1,Sheet1!$A$1:$J$1,0)))</f>
        <v>Mechanic</v>
      </c>
      <c r="H483" s="20" t="str">
        <f>IF(ISBLANK($E483),"",INDEX(Sheet1!$A:$J,MATCH(Index_Match!$E483,Sheet1!$A:$A,0),MATCH(Index_Match!H$1,Sheet1!$A$1:$J$1,0)))</f>
        <v>Single</v>
      </c>
      <c r="I483" s="23">
        <f>IF(ISBLANK($E483),"",INDEX(Sheet1!$A:$J,MATCH(Index_Match!$E483,Sheet1!$A:$A,0),MATCH(Index_Match!I$1,Sheet1!$A$1:$J$1,0)))</f>
        <v>1</v>
      </c>
      <c r="J483" s="20" t="str">
        <f>IF(ISBLANK($E483),"",INDEX(Sheet1!$A:$J,MATCH(Index_Match!$E483,Sheet1!$A:$A,0),MATCH(Index_Match!J$1,Sheet1!$A$1:$J$1,0)))</f>
        <v>Sophia Kelley</v>
      </c>
      <c r="K483" s="23">
        <f>IF(ISBLANK($E483),"",INDEX(Sheet1!$A:$J,MATCH(Index_Match!$E483,Sheet1!$A:$A,0),MATCH(Index_Match!K$1,Sheet1!$A$1:$J$1,0)))</f>
        <v>1</v>
      </c>
      <c r="L483" s="20" t="str">
        <f>IF(ISBLANK($E483),"",INDEX(Sheet1!$A:$J,MATCH(Index_Match!$E483,Sheet1!$A:$A,0),MATCH(Index_Match!L$1,Sheet1!$A$1:$J$1,0)))</f>
        <v>Kelley</v>
      </c>
      <c r="M483" s="20" t="str">
        <f>IF(ISBLANK($E483),"",INDEX(Sheet1!$A:$J,MATCH(Index_Match!$E483,Sheet1!$A:$A,0),MATCH(Index_Match!M$1,Sheet1!$A$1:$J$1,0)))</f>
        <v>Young</v>
      </c>
    </row>
    <row r="484" spans="2:13" x14ac:dyDescent="0.25">
      <c r="B484" s="20"/>
      <c r="C484" s="20"/>
      <c r="D484" s="20"/>
      <c r="E484" s="20" t="str">
        <v>Emily</v>
      </c>
      <c r="F484" s="20" t="str">
        <f>IF(ISBLANK($E484),"",INDEX(Sheet1!$A:$J,MATCH(Index_Match!$E484,Sheet1!$A:$A,0),MATCH(Index_Match!F$1,Sheet1!$A$1:$J$1,0)))</f>
        <v>Female</v>
      </c>
      <c r="G484" s="20" t="str">
        <f>IF(ISBLANK($E484),"",INDEX(Sheet1!$A:$J,MATCH(Index_Match!$E484,Sheet1!$A:$A,0),MATCH(Index_Match!G$1,Sheet1!$A$1:$J$1,0)))</f>
        <v>Lawyer</v>
      </c>
      <c r="H484" s="20" t="str">
        <f>IF(ISBLANK($E484),"",INDEX(Sheet1!$A:$J,MATCH(Index_Match!$E484,Sheet1!$A:$A,0),MATCH(Index_Match!H$1,Sheet1!$A$1:$J$1,0)))</f>
        <v>Single</v>
      </c>
      <c r="I484" s="23">
        <f>IF(ISBLANK($E484),"",INDEX(Sheet1!$A:$J,MATCH(Index_Match!$E484,Sheet1!$A:$A,0),MATCH(Index_Match!I$1,Sheet1!$A$1:$J$1,0)))</f>
        <v>0</v>
      </c>
      <c r="J484" s="20" t="str">
        <f>IF(ISBLANK($E484),"",INDEX(Sheet1!$A:$J,MATCH(Index_Match!$E484,Sheet1!$A:$A,0),MATCH(Index_Match!J$1,Sheet1!$A$1:$J$1,0)))</f>
        <v>Emily Chapman</v>
      </c>
      <c r="K484" s="23">
        <f>IF(ISBLANK($E484),"",INDEX(Sheet1!$A:$J,MATCH(Index_Match!$E484,Sheet1!$A:$A,0),MATCH(Index_Match!K$1,Sheet1!$A$1:$J$1,0)))</f>
        <v>0</v>
      </c>
      <c r="L484" s="20" t="str">
        <f>IF(ISBLANK($E484),"",INDEX(Sheet1!$A:$J,MATCH(Index_Match!$E484,Sheet1!$A:$A,0),MATCH(Index_Match!L$1,Sheet1!$A$1:$J$1,0)))</f>
        <v>Chapman</v>
      </c>
      <c r="M484" s="20" t="str">
        <f>IF(ISBLANK($E484),"",INDEX(Sheet1!$A:$J,MATCH(Index_Match!$E484,Sheet1!$A:$A,0),MATCH(Index_Match!M$1,Sheet1!$A$1:$J$1,0)))</f>
        <v>Middle Age</v>
      </c>
    </row>
    <row r="485" spans="2:13" x14ac:dyDescent="0.25">
      <c r="B485" s="20"/>
      <c r="C485" s="20"/>
      <c r="D485" s="20"/>
      <c r="E485" s="20" t="str">
        <v>Alina</v>
      </c>
      <c r="F485" s="20" t="str">
        <f>IF(ISBLANK($E485),"",INDEX(Sheet1!$A:$J,MATCH(Index_Match!$E485,Sheet1!$A:$A,0),MATCH(Index_Match!F$1,Sheet1!$A$1:$J$1,0)))</f>
        <v>Female</v>
      </c>
      <c r="G485" s="20" t="str">
        <f>IF(ISBLANK($E485),"",INDEX(Sheet1!$A:$J,MATCH(Index_Match!$E485,Sheet1!$A:$A,0),MATCH(Index_Match!G$1,Sheet1!$A$1:$J$1,0)))</f>
        <v>Engineer</v>
      </c>
      <c r="H485" s="20" t="str">
        <f>IF(ISBLANK($E485),"",INDEX(Sheet1!$A:$J,MATCH(Index_Match!$E485,Sheet1!$A:$A,0),MATCH(Index_Match!H$1,Sheet1!$A$1:$J$1,0)))</f>
        <v>Single</v>
      </c>
      <c r="I485" s="23">
        <f>IF(ISBLANK($E485),"",INDEX(Sheet1!$A:$J,MATCH(Index_Match!$E485,Sheet1!$A:$A,0),MATCH(Index_Match!I$1,Sheet1!$A$1:$J$1,0)))</f>
        <v>0</v>
      </c>
      <c r="J485" s="20" t="str">
        <f>IF(ISBLANK($E485),"",INDEX(Sheet1!$A:$J,MATCH(Index_Match!$E485,Sheet1!$A:$A,0),MATCH(Index_Match!J$1,Sheet1!$A$1:$J$1,0)))</f>
        <v>Alina Russell</v>
      </c>
      <c r="K485" s="23">
        <f>IF(ISBLANK($E485),"",INDEX(Sheet1!$A:$J,MATCH(Index_Match!$E485,Sheet1!$A:$A,0),MATCH(Index_Match!K$1,Sheet1!$A$1:$J$1,0)))</f>
        <v>0</v>
      </c>
      <c r="L485" s="20" t="str">
        <f>IF(ISBLANK($E485),"",INDEX(Sheet1!$A:$J,MATCH(Index_Match!$E485,Sheet1!$A:$A,0),MATCH(Index_Match!L$1,Sheet1!$A$1:$J$1,0)))</f>
        <v>Russell</v>
      </c>
      <c r="M485" s="20" t="str">
        <f>IF(ISBLANK($E485),"",INDEX(Sheet1!$A:$J,MATCH(Index_Match!$E485,Sheet1!$A:$A,0),MATCH(Index_Match!M$1,Sheet1!$A$1:$J$1,0)))</f>
        <v>Old</v>
      </c>
    </row>
    <row r="486" spans="2:13" x14ac:dyDescent="0.25">
      <c r="B486" s="20"/>
      <c r="C486" s="20"/>
      <c r="D486" s="20"/>
      <c r="E486" s="20" t="str">
        <v>Lydia</v>
      </c>
      <c r="F486" s="20" t="str">
        <f>IF(ISBLANK($E486),"",INDEX(Sheet1!$A:$J,MATCH(Index_Match!$E486,Sheet1!$A:$A,0),MATCH(Index_Match!F$1,Sheet1!$A$1:$J$1,0)))</f>
        <v>Female</v>
      </c>
      <c r="G486" s="20" t="str">
        <f>IF(ISBLANK($E486),"",INDEX(Sheet1!$A:$J,MATCH(Index_Match!$E486,Sheet1!$A:$A,0),MATCH(Index_Match!G$1,Sheet1!$A$1:$J$1,0)))</f>
        <v>Agronomist</v>
      </c>
      <c r="H486" s="20" t="str">
        <f>IF(ISBLANK($E486),"",INDEX(Sheet1!$A:$J,MATCH(Index_Match!$E486,Sheet1!$A:$A,0),MATCH(Index_Match!H$1,Sheet1!$A$1:$J$1,0)))</f>
        <v>Single</v>
      </c>
      <c r="I486" s="23">
        <f>IF(ISBLANK($E486),"",INDEX(Sheet1!$A:$J,MATCH(Index_Match!$E486,Sheet1!$A:$A,0),MATCH(Index_Match!I$1,Sheet1!$A$1:$J$1,0)))</f>
        <v>0</v>
      </c>
      <c r="J486" s="20" t="str">
        <f>IF(ISBLANK($E486),"",INDEX(Sheet1!$A:$J,MATCH(Index_Match!$E486,Sheet1!$A:$A,0),MATCH(Index_Match!J$1,Sheet1!$A$1:$J$1,0)))</f>
        <v>Lydia Roberts</v>
      </c>
      <c r="K486" s="23">
        <f>IF(ISBLANK($E486),"",INDEX(Sheet1!$A:$J,MATCH(Index_Match!$E486,Sheet1!$A:$A,0),MATCH(Index_Match!K$1,Sheet1!$A$1:$J$1,0)))</f>
        <v>0</v>
      </c>
      <c r="L486" s="20" t="str">
        <f>IF(ISBLANK($E486),"",INDEX(Sheet1!$A:$J,MATCH(Index_Match!$E486,Sheet1!$A:$A,0),MATCH(Index_Match!L$1,Sheet1!$A$1:$J$1,0)))</f>
        <v>Roberts</v>
      </c>
      <c r="M486" s="20" t="str">
        <f>IF(ISBLANK($E486),"",INDEX(Sheet1!$A:$J,MATCH(Index_Match!$E486,Sheet1!$A:$A,0),MATCH(Index_Match!M$1,Sheet1!$A$1:$J$1,0)))</f>
        <v>Young</v>
      </c>
    </row>
    <row r="487" spans="2:13" x14ac:dyDescent="0.25">
      <c r="B487" s="20"/>
      <c r="C487" s="20"/>
      <c r="D487" s="20"/>
      <c r="E487" s="20" t="str">
        <v>Rosie</v>
      </c>
      <c r="F487" s="20" t="str">
        <f>IF(ISBLANK($E487),"",INDEX(Sheet1!$A:$J,MATCH(Index_Match!$E487,Sheet1!$A:$A,0),MATCH(Index_Match!F$1,Sheet1!$A$1:$J$1,0)))</f>
        <v>Female</v>
      </c>
      <c r="G487" s="20" t="str">
        <f>IF(ISBLANK($E487),"",INDEX(Sheet1!$A:$J,MATCH(Index_Match!$E487,Sheet1!$A:$A,0),MATCH(Index_Match!G$1,Sheet1!$A$1:$J$1,0)))</f>
        <v>Baker</v>
      </c>
      <c r="H487" s="20" t="str">
        <f>IF(ISBLANK($E487),"",INDEX(Sheet1!$A:$J,MATCH(Index_Match!$E487,Sheet1!$A:$A,0),MATCH(Index_Match!H$1,Sheet1!$A$1:$J$1,0)))</f>
        <v>Single</v>
      </c>
      <c r="I487" s="23">
        <f>IF(ISBLANK($E487),"",INDEX(Sheet1!$A:$J,MATCH(Index_Match!$E487,Sheet1!$A:$A,0),MATCH(Index_Match!I$1,Sheet1!$A$1:$J$1,0)))</f>
        <v>2</v>
      </c>
      <c r="J487" s="20" t="str">
        <f>IF(ISBLANK($E487),"",INDEX(Sheet1!$A:$J,MATCH(Index_Match!$E487,Sheet1!$A:$A,0),MATCH(Index_Match!J$1,Sheet1!$A$1:$J$1,0)))</f>
        <v>Rosie Moore</v>
      </c>
      <c r="K487" s="23">
        <f>IF(ISBLANK($E487),"",INDEX(Sheet1!$A:$J,MATCH(Index_Match!$E487,Sheet1!$A:$A,0),MATCH(Index_Match!K$1,Sheet1!$A$1:$J$1,0)))</f>
        <v>2</v>
      </c>
      <c r="L487" s="20" t="str">
        <f>IF(ISBLANK($E487),"",INDEX(Sheet1!$A:$J,MATCH(Index_Match!$E487,Sheet1!$A:$A,0),MATCH(Index_Match!L$1,Sheet1!$A$1:$J$1,0)))</f>
        <v>Moore</v>
      </c>
      <c r="M487" s="20" t="str">
        <f>IF(ISBLANK($E487),"",INDEX(Sheet1!$A:$J,MATCH(Index_Match!$E487,Sheet1!$A:$A,0),MATCH(Index_Match!M$1,Sheet1!$A$1:$J$1,0)))</f>
        <v>Old</v>
      </c>
    </row>
    <row r="488" spans="2:13" x14ac:dyDescent="0.25">
      <c r="F488" s="20" t="str">
        <f>IF(ISBLANK($E488),"",INDEX(Sheet1!$A:$J,MATCH(Index_Match!$E488,Sheet1!$A:$A,0),MATCH(Index_Match!F$1,Sheet1!$A$1:$J$1,0)))</f>
        <v/>
      </c>
      <c r="G488" s="20" t="str">
        <f>IF(ISBLANK($E488),"",INDEX(Sheet1!$A:$J,MATCH(Index_Match!$E488,Sheet1!$A:$A,0),MATCH(Index_Match!G$1,Sheet1!$A$1:$J$1,0)))</f>
        <v/>
      </c>
      <c r="H488" s="20" t="str">
        <f>IF(ISBLANK($E488),"",INDEX(Sheet1!$A:$J,MATCH(Index_Match!$E488,Sheet1!$A:$A,0),MATCH(Index_Match!H$1,Sheet1!$A$1:$J$1,0)))</f>
        <v/>
      </c>
      <c r="I488" s="23" t="str">
        <f>IF(ISBLANK($E488),"",INDEX(Sheet1!$A:$J,MATCH(Index_Match!$E488,Sheet1!$A:$A,0),MATCH(Index_Match!I$1,Sheet1!$A$1:$J$1,0)))</f>
        <v/>
      </c>
      <c r="J488" s="20" t="str">
        <f>IF(ISBLANK($E488),"",INDEX(Sheet1!$A:$J,MATCH(Index_Match!$E488,Sheet1!$A:$A,0),MATCH(Index_Match!J$1,Sheet1!$A$1:$J$1,0)))</f>
        <v/>
      </c>
      <c r="K488" s="23" t="str">
        <f>IF(ISBLANK($E488),"",INDEX(Sheet1!$A:$J,MATCH(Index_Match!$E488,Sheet1!$A:$A,0),MATCH(Index_Match!K$1,Sheet1!$A$1:$J$1,0)))</f>
        <v/>
      </c>
      <c r="L488" s="20" t="str">
        <f>IF(ISBLANK($E488),"",INDEX(Sheet1!$A:$J,MATCH(Index_Match!$E488,Sheet1!$A:$A,0),MATCH(Index_Match!L$1,Sheet1!$A$1:$J$1,0)))</f>
        <v/>
      </c>
      <c r="M488" s="20" t="str">
        <f>IF(ISBLANK($E488),"",INDEX(Sheet1!$A:$J,MATCH(Index_Match!$E488,Sheet1!$A:$A,0),MATCH(Index_Match!M$1,Sheet1!$A$1:$J$1,0)))</f>
        <v/>
      </c>
    </row>
    <row r="489" spans="2:13" x14ac:dyDescent="0.25">
      <c r="F489" s="20" t="str">
        <f>IF(ISBLANK($E489),"",INDEX(Sheet1!$A:$J,MATCH(Index_Match!$E489,Sheet1!$A:$A,0),MATCH(Index_Match!F$1,Sheet1!$A$1:$J$1,0)))</f>
        <v/>
      </c>
      <c r="G489" s="20" t="str">
        <f>IF(ISBLANK($E489),"",INDEX(Sheet1!$A:$J,MATCH(Index_Match!$E489,Sheet1!$A:$A,0),MATCH(Index_Match!G$1,Sheet1!$A$1:$J$1,0)))</f>
        <v/>
      </c>
      <c r="H489" s="20" t="str">
        <f>IF(ISBLANK($E489),"",INDEX(Sheet1!$A:$J,MATCH(Index_Match!$E489,Sheet1!$A:$A,0),MATCH(Index_Match!H$1,Sheet1!$A$1:$J$1,0)))</f>
        <v/>
      </c>
      <c r="I489" s="23" t="str">
        <f>IF(ISBLANK($E489),"",INDEX(Sheet1!$A:$J,MATCH(Index_Match!$E489,Sheet1!$A:$A,0),MATCH(Index_Match!I$1,Sheet1!$A$1:$J$1,0)))</f>
        <v/>
      </c>
      <c r="J489" s="20" t="str">
        <f>IF(ISBLANK($E489),"",INDEX(Sheet1!$A:$J,MATCH(Index_Match!$E489,Sheet1!$A:$A,0),MATCH(Index_Match!J$1,Sheet1!$A$1:$J$1,0)))</f>
        <v/>
      </c>
      <c r="K489" s="23" t="str">
        <f>IF(ISBLANK($E489),"",INDEX(Sheet1!$A:$J,MATCH(Index_Match!$E489,Sheet1!$A:$A,0),MATCH(Index_Match!K$1,Sheet1!$A$1:$J$1,0)))</f>
        <v/>
      </c>
      <c r="L489" s="20" t="str">
        <f>IF(ISBLANK($E489),"",INDEX(Sheet1!$A:$J,MATCH(Index_Match!$E489,Sheet1!$A:$A,0),MATCH(Index_Match!L$1,Sheet1!$A$1:$J$1,0)))</f>
        <v/>
      </c>
      <c r="M489" s="20" t="str">
        <f>IF(ISBLANK($E489),"",INDEX(Sheet1!$A:$J,MATCH(Index_Match!$E489,Sheet1!$A:$A,0),MATCH(Index_Match!M$1,Sheet1!$A$1:$J$1,0)))</f>
        <v/>
      </c>
    </row>
    <row r="490" spans="2:13" x14ac:dyDescent="0.25">
      <c r="F490" s="20" t="str">
        <f>IF(ISBLANK($E490),"",INDEX(Sheet1!$A:$J,MATCH(Index_Match!$E490,Sheet1!$A:$A,0),MATCH(Index_Match!F$1,Sheet1!$A$1:$J$1,0)))</f>
        <v/>
      </c>
      <c r="G490" s="20" t="str">
        <f>IF(ISBLANK($E490),"",INDEX(Sheet1!$A:$J,MATCH(Index_Match!$E490,Sheet1!$A:$A,0),MATCH(Index_Match!G$1,Sheet1!$A$1:$J$1,0)))</f>
        <v/>
      </c>
      <c r="H490" s="20" t="str">
        <f>IF(ISBLANK($E490),"",INDEX(Sheet1!$A:$J,MATCH(Index_Match!$E490,Sheet1!$A:$A,0),MATCH(Index_Match!H$1,Sheet1!$A$1:$J$1,0)))</f>
        <v/>
      </c>
      <c r="I490" s="23" t="str">
        <f>IF(ISBLANK($E490),"",INDEX(Sheet1!$A:$J,MATCH(Index_Match!$E490,Sheet1!$A:$A,0),MATCH(Index_Match!I$1,Sheet1!$A$1:$J$1,0)))</f>
        <v/>
      </c>
      <c r="J490" s="20" t="str">
        <f>IF(ISBLANK($E490),"",INDEX(Sheet1!$A:$J,MATCH(Index_Match!$E490,Sheet1!$A:$A,0),MATCH(Index_Match!J$1,Sheet1!$A$1:$J$1,0)))</f>
        <v/>
      </c>
      <c r="K490" s="23" t="str">
        <f>IF(ISBLANK($E490),"",INDEX(Sheet1!$A:$J,MATCH(Index_Match!$E490,Sheet1!$A:$A,0),MATCH(Index_Match!K$1,Sheet1!$A$1:$J$1,0)))</f>
        <v/>
      </c>
      <c r="L490" s="20" t="str">
        <f>IF(ISBLANK($E490),"",INDEX(Sheet1!$A:$J,MATCH(Index_Match!$E490,Sheet1!$A:$A,0),MATCH(Index_Match!L$1,Sheet1!$A$1:$J$1,0)))</f>
        <v/>
      </c>
      <c r="M490" s="20" t="str">
        <f>IF(ISBLANK($E490),"",INDEX(Sheet1!$A:$J,MATCH(Index_Match!$E490,Sheet1!$A:$A,0),MATCH(Index_Match!M$1,Sheet1!$A$1:$J$1,0)))</f>
        <v/>
      </c>
    </row>
    <row r="491" spans="2:13" x14ac:dyDescent="0.25">
      <c r="F491" s="20" t="str">
        <f>IF(ISBLANK($E491),"",INDEX(Sheet1!$A:$J,MATCH(Index_Match!$E491,Sheet1!$A:$A,0),MATCH(Index_Match!F$1,Sheet1!$A$1:$J$1,0)))</f>
        <v/>
      </c>
      <c r="G491" s="20" t="str">
        <f>IF(ISBLANK($E491),"",INDEX(Sheet1!$A:$J,MATCH(Index_Match!$E491,Sheet1!$A:$A,0),MATCH(Index_Match!G$1,Sheet1!$A$1:$J$1,0)))</f>
        <v/>
      </c>
      <c r="H491" s="20" t="str">
        <f>IF(ISBLANK($E491),"",INDEX(Sheet1!$A:$J,MATCH(Index_Match!$E491,Sheet1!$A:$A,0),MATCH(Index_Match!H$1,Sheet1!$A$1:$J$1,0)))</f>
        <v/>
      </c>
      <c r="I491" s="23" t="str">
        <f>IF(ISBLANK($E491),"",INDEX(Sheet1!$A:$J,MATCH(Index_Match!$E491,Sheet1!$A:$A,0),MATCH(Index_Match!I$1,Sheet1!$A$1:$J$1,0)))</f>
        <v/>
      </c>
      <c r="J491" s="20" t="str">
        <f>IF(ISBLANK($E491),"",INDEX(Sheet1!$A:$J,MATCH(Index_Match!$E491,Sheet1!$A:$A,0),MATCH(Index_Match!J$1,Sheet1!$A$1:$J$1,0)))</f>
        <v/>
      </c>
      <c r="K491" s="23" t="str">
        <f>IF(ISBLANK($E491),"",INDEX(Sheet1!$A:$J,MATCH(Index_Match!$E491,Sheet1!$A:$A,0),MATCH(Index_Match!K$1,Sheet1!$A$1:$J$1,0)))</f>
        <v/>
      </c>
      <c r="L491" s="20" t="str">
        <f>IF(ISBLANK($E491),"",INDEX(Sheet1!$A:$J,MATCH(Index_Match!$E491,Sheet1!$A:$A,0),MATCH(Index_Match!L$1,Sheet1!$A$1:$J$1,0)))</f>
        <v/>
      </c>
      <c r="M491" s="20" t="str">
        <f>IF(ISBLANK($E491),"",INDEX(Sheet1!$A:$J,MATCH(Index_Match!$E491,Sheet1!$A:$A,0),MATCH(Index_Match!M$1,Sheet1!$A$1:$J$1,0)))</f>
        <v/>
      </c>
    </row>
    <row r="492" spans="2:13" x14ac:dyDescent="0.25">
      <c r="F492" s="20" t="str">
        <f>IF(ISBLANK($E492),"",INDEX(Sheet1!$A:$J,MATCH(Index_Match!$E492,Sheet1!$A:$A,0),MATCH(Index_Match!F$1,Sheet1!$A$1:$J$1,0)))</f>
        <v/>
      </c>
      <c r="G492" s="20" t="str">
        <f>IF(ISBLANK($E492),"",INDEX(Sheet1!$A:$J,MATCH(Index_Match!$E492,Sheet1!$A:$A,0),MATCH(Index_Match!G$1,Sheet1!$A$1:$J$1,0)))</f>
        <v/>
      </c>
      <c r="H492" s="20" t="str">
        <f>IF(ISBLANK($E492),"",INDEX(Sheet1!$A:$J,MATCH(Index_Match!$E492,Sheet1!$A:$A,0),MATCH(Index_Match!H$1,Sheet1!$A$1:$J$1,0)))</f>
        <v/>
      </c>
      <c r="I492" s="23" t="str">
        <f>IF(ISBLANK($E492),"",INDEX(Sheet1!$A:$J,MATCH(Index_Match!$E492,Sheet1!$A:$A,0),MATCH(Index_Match!I$1,Sheet1!$A$1:$J$1,0)))</f>
        <v/>
      </c>
      <c r="J492" s="20" t="str">
        <f>IF(ISBLANK($E492),"",INDEX(Sheet1!$A:$J,MATCH(Index_Match!$E492,Sheet1!$A:$A,0),MATCH(Index_Match!J$1,Sheet1!$A$1:$J$1,0)))</f>
        <v/>
      </c>
      <c r="K492" s="23" t="str">
        <f>IF(ISBLANK($E492),"",INDEX(Sheet1!$A:$J,MATCH(Index_Match!$E492,Sheet1!$A:$A,0),MATCH(Index_Match!K$1,Sheet1!$A$1:$J$1,0)))</f>
        <v/>
      </c>
      <c r="L492" s="20" t="str">
        <f>IF(ISBLANK($E492),"",INDEX(Sheet1!$A:$J,MATCH(Index_Match!$E492,Sheet1!$A:$A,0),MATCH(Index_Match!L$1,Sheet1!$A$1:$J$1,0)))</f>
        <v/>
      </c>
      <c r="M492" s="20" t="str">
        <f>IF(ISBLANK($E492),"",INDEX(Sheet1!$A:$J,MATCH(Index_Match!$E492,Sheet1!$A:$A,0),MATCH(Index_Match!M$1,Sheet1!$A$1:$J$1,0)))</f>
        <v/>
      </c>
    </row>
    <row r="493" spans="2:13" x14ac:dyDescent="0.25">
      <c r="F493" s="20" t="str">
        <f>IF(ISBLANK($E493),"",INDEX(Sheet1!$A:$J,MATCH(Index_Match!$E493,Sheet1!$A:$A,0),MATCH(Index_Match!F$1,Sheet1!$A$1:$J$1,0)))</f>
        <v/>
      </c>
      <c r="G493" s="20" t="str">
        <f>IF(ISBLANK($E493),"",INDEX(Sheet1!$A:$J,MATCH(Index_Match!$E493,Sheet1!$A:$A,0),MATCH(Index_Match!G$1,Sheet1!$A$1:$J$1,0)))</f>
        <v/>
      </c>
      <c r="H493" s="20" t="str">
        <f>IF(ISBLANK($E493),"",INDEX(Sheet1!$A:$J,MATCH(Index_Match!$E493,Sheet1!$A:$A,0),MATCH(Index_Match!H$1,Sheet1!$A$1:$J$1,0)))</f>
        <v/>
      </c>
      <c r="I493" s="23" t="str">
        <f>IF(ISBLANK($E493),"",INDEX(Sheet1!$A:$J,MATCH(Index_Match!$E493,Sheet1!$A:$A,0),MATCH(Index_Match!I$1,Sheet1!$A$1:$J$1,0)))</f>
        <v/>
      </c>
      <c r="J493" s="20" t="str">
        <f>IF(ISBLANK($E493),"",INDEX(Sheet1!$A:$J,MATCH(Index_Match!$E493,Sheet1!$A:$A,0),MATCH(Index_Match!J$1,Sheet1!$A$1:$J$1,0)))</f>
        <v/>
      </c>
      <c r="K493" s="23" t="str">
        <f>IF(ISBLANK($E493),"",INDEX(Sheet1!$A:$J,MATCH(Index_Match!$E493,Sheet1!$A:$A,0),MATCH(Index_Match!K$1,Sheet1!$A$1:$J$1,0)))</f>
        <v/>
      </c>
      <c r="L493" s="20" t="str">
        <f>IF(ISBLANK($E493),"",INDEX(Sheet1!$A:$J,MATCH(Index_Match!$E493,Sheet1!$A:$A,0),MATCH(Index_Match!L$1,Sheet1!$A$1:$J$1,0)))</f>
        <v/>
      </c>
      <c r="M493" s="20" t="str">
        <f>IF(ISBLANK($E493),"",INDEX(Sheet1!$A:$J,MATCH(Index_Match!$E493,Sheet1!$A:$A,0),MATCH(Index_Match!M$1,Sheet1!$A$1:$J$1,0)))</f>
        <v/>
      </c>
    </row>
    <row r="494" spans="2:13" x14ac:dyDescent="0.25">
      <c r="F494" s="20" t="str">
        <f>IF(ISBLANK($E494),"",INDEX(Sheet1!$A:$J,MATCH(Index_Match!$E494,Sheet1!$A:$A,0),MATCH(Index_Match!F$1,Sheet1!$A$1:$J$1,0)))</f>
        <v/>
      </c>
      <c r="G494" s="20" t="str">
        <f>IF(ISBLANK($E494),"",INDEX(Sheet1!$A:$J,MATCH(Index_Match!$E494,Sheet1!$A:$A,0),MATCH(Index_Match!G$1,Sheet1!$A$1:$J$1,0)))</f>
        <v/>
      </c>
      <c r="H494" s="20" t="str">
        <f>IF(ISBLANK($E494),"",INDEX(Sheet1!$A:$J,MATCH(Index_Match!$E494,Sheet1!$A:$A,0),MATCH(Index_Match!H$1,Sheet1!$A$1:$J$1,0)))</f>
        <v/>
      </c>
      <c r="I494" s="23" t="str">
        <f>IF(ISBLANK($E494),"",INDEX(Sheet1!$A:$J,MATCH(Index_Match!$E494,Sheet1!$A:$A,0),MATCH(Index_Match!I$1,Sheet1!$A$1:$J$1,0)))</f>
        <v/>
      </c>
      <c r="J494" s="20" t="str">
        <f>IF(ISBLANK($E494),"",INDEX(Sheet1!$A:$J,MATCH(Index_Match!$E494,Sheet1!$A:$A,0),MATCH(Index_Match!J$1,Sheet1!$A$1:$J$1,0)))</f>
        <v/>
      </c>
      <c r="K494" s="23" t="str">
        <f>IF(ISBLANK($E494),"",INDEX(Sheet1!$A:$J,MATCH(Index_Match!$E494,Sheet1!$A:$A,0),MATCH(Index_Match!K$1,Sheet1!$A$1:$J$1,0)))</f>
        <v/>
      </c>
      <c r="L494" s="20" t="str">
        <f>IF(ISBLANK($E494),"",INDEX(Sheet1!$A:$J,MATCH(Index_Match!$E494,Sheet1!$A:$A,0),MATCH(Index_Match!L$1,Sheet1!$A$1:$J$1,0)))</f>
        <v/>
      </c>
      <c r="M494" s="20" t="str">
        <f>IF(ISBLANK($E494),"",INDEX(Sheet1!$A:$J,MATCH(Index_Match!$E494,Sheet1!$A:$A,0),MATCH(Index_Match!M$1,Sheet1!$A$1:$J$1,0)))</f>
        <v/>
      </c>
    </row>
    <row r="495" spans="2:13" x14ac:dyDescent="0.25">
      <c r="F495" s="20" t="str">
        <f>IF(ISBLANK($E495),"",INDEX(Sheet1!$A:$J,MATCH(Index_Match!$E495,Sheet1!$A:$A,0),MATCH(Index_Match!F$1,Sheet1!$A$1:$J$1,0)))</f>
        <v/>
      </c>
      <c r="G495" s="20" t="str">
        <f>IF(ISBLANK($E495),"",INDEX(Sheet1!$A:$J,MATCH(Index_Match!$E495,Sheet1!$A:$A,0),MATCH(Index_Match!G$1,Sheet1!$A$1:$J$1,0)))</f>
        <v/>
      </c>
      <c r="H495" s="20" t="str">
        <f>IF(ISBLANK($E495),"",INDEX(Sheet1!$A:$J,MATCH(Index_Match!$E495,Sheet1!$A:$A,0),MATCH(Index_Match!H$1,Sheet1!$A$1:$J$1,0)))</f>
        <v/>
      </c>
      <c r="I495" s="23" t="str">
        <f>IF(ISBLANK($E495),"",INDEX(Sheet1!$A:$J,MATCH(Index_Match!$E495,Sheet1!$A:$A,0),MATCH(Index_Match!I$1,Sheet1!$A$1:$J$1,0)))</f>
        <v/>
      </c>
      <c r="J495" s="20" t="str">
        <f>IF(ISBLANK($E495),"",INDEX(Sheet1!$A:$J,MATCH(Index_Match!$E495,Sheet1!$A:$A,0),MATCH(Index_Match!J$1,Sheet1!$A$1:$J$1,0)))</f>
        <v/>
      </c>
      <c r="K495" s="23" t="str">
        <f>IF(ISBLANK($E495),"",INDEX(Sheet1!$A:$J,MATCH(Index_Match!$E495,Sheet1!$A:$A,0),MATCH(Index_Match!K$1,Sheet1!$A$1:$J$1,0)))</f>
        <v/>
      </c>
      <c r="L495" s="20" t="str">
        <f>IF(ISBLANK($E495),"",INDEX(Sheet1!$A:$J,MATCH(Index_Match!$E495,Sheet1!$A:$A,0),MATCH(Index_Match!L$1,Sheet1!$A$1:$J$1,0)))</f>
        <v/>
      </c>
      <c r="M495" s="20" t="str">
        <f>IF(ISBLANK($E495),"",INDEX(Sheet1!$A:$J,MATCH(Index_Match!$E495,Sheet1!$A:$A,0),MATCH(Index_Match!M$1,Sheet1!$A$1:$J$1,0)))</f>
        <v/>
      </c>
    </row>
    <row r="496" spans="2:13" x14ac:dyDescent="0.25">
      <c r="F496" s="20" t="str">
        <f>IF(ISBLANK($E496),"",INDEX(Sheet1!$A:$J,MATCH(Index_Match!$E496,Sheet1!$A:$A,0),MATCH(Index_Match!F$1,Sheet1!$A$1:$J$1,0)))</f>
        <v/>
      </c>
      <c r="G496" s="20" t="str">
        <f>IF(ISBLANK($E496),"",INDEX(Sheet1!$A:$J,MATCH(Index_Match!$E496,Sheet1!$A:$A,0),MATCH(Index_Match!G$1,Sheet1!$A$1:$J$1,0)))</f>
        <v/>
      </c>
      <c r="H496" s="20" t="str">
        <f>IF(ISBLANK($E496),"",INDEX(Sheet1!$A:$J,MATCH(Index_Match!$E496,Sheet1!$A:$A,0),MATCH(Index_Match!H$1,Sheet1!$A$1:$J$1,0)))</f>
        <v/>
      </c>
      <c r="I496" s="23" t="str">
        <f>IF(ISBLANK($E496),"",INDEX(Sheet1!$A:$J,MATCH(Index_Match!$E496,Sheet1!$A:$A,0),MATCH(Index_Match!I$1,Sheet1!$A$1:$J$1,0)))</f>
        <v/>
      </c>
      <c r="J496" s="20" t="str">
        <f>IF(ISBLANK($E496),"",INDEX(Sheet1!$A:$J,MATCH(Index_Match!$E496,Sheet1!$A:$A,0),MATCH(Index_Match!J$1,Sheet1!$A$1:$J$1,0)))</f>
        <v/>
      </c>
      <c r="K496" s="23" t="str">
        <f>IF(ISBLANK($E496),"",INDEX(Sheet1!$A:$J,MATCH(Index_Match!$E496,Sheet1!$A:$A,0),MATCH(Index_Match!K$1,Sheet1!$A$1:$J$1,0)))</f>
        <v/>
      </c>
      <c r="L496" s="20" t="str">
        <f>IF(ISBLANK($E496),"",INDEX(Sheet1!$A:$J,MATCH(Index_Match!$E496,Sheet1!$A:$A,0),MATCH(Index_Match!L$1,Sheet1!$A$1:$J$1,0)))</f>
        <v/>
      </c>
      <c r="M496" s="20" t="str">
        <f>IF(ISBLANK($E496),"",INDEX(Sheet1!$A:$J,MATCH(Index_Match!$E496,Sheet1!$A:$A,0),MATCH(Index_Match!M$1,Sheet1!$A$1:$J$1,0)))</f>
        <v/>
      </c>
    </row>
    <row r="497" spans="6:13" x14ac:dyDescent="0.25">
      <c r="F497" s="20" t="str">
        <f>IF(ISBLANK($E497),"",INDEX(Sheet1!$A:$J,MATCH(Index_Match!$E497,Sheet1!$A:$A,0),MATCH(Index_Match!F$1,Sheet1!$A$1:$J$1,0)))</f>
        <v/>
      </c>
      <c r="G497" s="20" t="str">
        <f>IF(ISBLANK($E497),"",INDEX(Sheet1!$A:$J,MATCH(Index_Match!$E497,Sheet1!$A:$A,0),MATCH(Index_Match!G$1,Sheet1!$A$1:$J$1,0)))</f>
        <v/>
      </c>
      <c r="H497" s="20" t="str">
        <f>IF(ISBLANK($E497),"",INDEX(Sheet1!$A:$J,MATCH(Index_Match!$E497,Sheet1!$A:$A,0),MATCH(Index_Match!H$1,Sheet1!$A$1:$J$1,0)))</f>
        <v/>
      </c>
      <c r="I497" s="23" t="str">
        <f>IF(ISBLANK($E497),"",INDEX(Sheet1!$A:$J,MATCH(Index_Match!$E497,Sheet1!$A:$A,0),MATCH(Index_Match!I$1,Sheet1!$A$1:$J$1,0)))</f>
        <v/>
      </c>
      <c r="J497" s="20" t="str">
        <f>IF(ISBLANK($E497),"",INDEX(Sheet1!$A:$J,MATCH(Index_Match!$E497,Sheet1!$A:$A,0),MATCH(Index_Match!J$1,Sheet1!$A$1:$J$1,0)))</f>
        <v/>
      </c>
      <c r="K497" s="23" t="str">
        <f>IF(ISBLANK($E497),"",INDEX(Sheet1!$A:$J,MATCH(Index_Match!$E497,Sheet1!$A:$A,0),MATCH(Index_Match!K$1,Sheet1!$A$1:$J$1,0)))</f>
        <v/>
      </c>
      <c r="L497" s="20" t="str">
        <f>IF(ISBLANK($E497),"",INDEX(Sheet1!$A:$J,MATCH(Index_Match!$E497,Sheet1!$A:$A,0),MATCH(Index_Match!L$1,Sheet1!$A$1:$J$1,0)))</f>
        <v/>
      </c>
      <c r="M497" s="20" t="str">
        <f>IF(ISBLANK($E497),"",INDEX(Sheet1!$A:$J,MATCH(Index_Match!$E497,Sheet1!$A:$A,0),MATCH(Index_Match!M$1,Sheet1!$A$1:$J$1,0)))</f>
        <v/>
      </c>
    </row>
    <row r="498" spans="6:13" x14ac:dyDescent="0.25">
      <c r="F498" s="20" t="str">
        <f>IF(ISBLANK($E498),"",INDEX(Sheet1!$A:$J,MATCH(Index_Match!$E498,Sheet1!$A:$A,0),MATCH(Index_Match!F$1,Sheet1!$A$1:$J$1,0)))</f>
        <v/>
      </c>
      <c r="G498" s="20" t="str">
        <f>IF(ISBLANK($E498),"",INDEX(Sheet1!$A:$J,MATCH(Index_Match!$E498,Sheet1!$A:$A,0),MATCH(Index_Match!G$1,Sheet1!$A$1:$J$1,0)))</f>
        <v/>
      </c>
      <c r="H498" s="20" t="str">
        <f>IF(ISBLANK($E498),"",INDEX(Sheet1!$A:$J,MATCH(Index_Match!$E498,Sheet1!$A:$A,0),MATCH(Index_Match!H$1,Sheet1!$A$1:$J$1,0)))</f>
        <v/>
      </c>
      <c r="I498" s="23" t="str">
        <f>IF(ISBLANK($E498),"",INDEX(Sheet1!$A:$J,MATCH(Index_Match!$E498,Sheet1!$A:$A,0),MATCH(Index_Match!I$1,Sheet1!$A$1:$J$1,0)))</f>
        <v/>
      </c>
      <c r="J498" s="20" t="str">
        <f>IF(ISBLANK($E498),"",INDEX(Sheet1!$A:$J,MATCH(Index_Match!$E498,Sheet1!$A:$A,0),MATCH(Index_Match!J$1,Sheet1!$A$1:$J$1,0)))</f>
        <v/>
      </c>
      <c r="K498" s="23" t="str">
        <f>IF(ISBLANK($E498),"",INDEX(Sheet1!$A:$J,MATCH(Index_Match!$E498,Sheet1!$A:$A,0),MATCH(Index_Match!K$1,Sheet1!$A$1:$J$1,0)))</f>
        <v/>
      </c>
      <c r="L498" s="20" t="str">
        <f>IF(ISBLANK($E498),"",INDEX(Sheet1!$A:$J,MATCH(Index_Match!$E498,Sheet1!$A:$A,0),MATCH(Index_Match!L$1,Sheet1!$A$1:$J$1,0)))</f>
        <v/>
      </c>
      <c r="M498" s="20" t="str">
        <f>IF(ISBLANK($E498),"",INDEX(Sheet1!$A:$J,MATCH(Index_Match!$E498,Sheet1!$A:$A,0),MATCH(Index_Match!M$1,Sheet1!$A$1:$J$1,0)))</f>
        <v/>
      </c>
    </row>
    <row r="499" spans="6:13" x14ac:dyDescent="0.25">
      <c r="F499" s="20" t="str">
        <f>IF(ISBLANK($E499),"",INDEX(Sheet1!$A:$J,MATCH(Index_Match!$E499,Sheet1!$A:$A,0),MATCH(Index_Match!F$1,Sheet1!$A$1:$J$1,0)))</f>
        <v/>
      </c>
      <c r="G499" s="20" t="str">
        <f>IF(ISBLANK($E499),"",INDEX(Sheet1!$A:$J,MATCH(Index_Match!$E499,Sheet1!$A:$A,0),MATCH(Index_Match!G$1,Sheet1!$A$1:$J$1,0)))</f>
        <v/>
      </c>
      <c r="H499" s="20" t="str">
        <f>IF(ISBLANK($E499),"",INDEX(Sheet1!$A:$J,MATCH(Index_Match!$E499,Sheet1!$A:$A,0),MATCH(Index_Match!H$1,Sheet1!$A$1:$J$1,0)))</f>
        <v/>
      </c>
      <c r="I499" s="23" t="str">
        <f>IF(ISBLANK($E499),"",INDEX(Sheet1!$A:$J,MATCH(Index_Match!$E499,Sheet1!$A:$A,0),MATCH(Index_Match!I$1,Sheet1!$A$1:$J$1,0)))</f>
        <v/>
      </c>
      <c r="J499" s="20" t="str">
        <f>IF(ISBLANK($E499),"",INDEX(Sheet1!$A:$J,MATCH(Index_Match!$E499,Sheet1!$A:$A,0),MATCH(Index_Match!J$1,Sheet1!$A$1:$J$1,0)))</f>
        <v/>
      </c>
      <c r="K499" s="23" t="str">
        <f>IF(ISBLANK($E499),"",INDEX(Sheet1!$A:$J,MATCH(Index_Match!$E499,Sheet1!$A:$A,0),MATCH(Index_Match!K$1,Sheet1!$A$1:$J$1,0)))</f>
        <v/>
      </c>
      <c r="L499" s="20" t="str">
        <f>IF(ISBLANK($E499),"",INDEX(Sheet1!$A:$J,MATCH(Index_Match!$E499,Sheet1!$A:$A,0),MATCH(Index_Match!L$1,Sheet1!$A$1:$J$1,0)))</f>
        <v/>
      </c>
      <c r="M499" s="20" t="str">
        <f>IF(ISBLANK($E499),"",INDEX(Sheet1!$A:$J,MATCH(Index_Match!$E499,Sheet1!$A:$A,0),MATCH(Index_Match!M$1,Sheet1!$A$1:$J$1,0)))</f>
        <v/>
      </c>
    </row>
    <row r="500" spans="6:13" x14ac:dyDescent="0.25">
      <c r="F500" s="20" t="str">
        <f>IF(ISBLANK($E500),"",INDEX(Sheet1!$A:$J,MATCH(Index_Match!$E500,Sheet1!$A:$A,0),MATCH(Index_Match!F$1,Sheet1!$A$1:$J$1,0)))</f>
        <v/>
      </c>
      <c r="G500" s="20" t="str">
        <f>IF(ISBLANK($E500),"",INDEX(Sheet1!$A:$J,MATCH(Index_Match!$E500,Sheet1!$A:$A,0),MATCH(Index_Match!G$1,Sheet1!$A$1:$J$1,0)))</f>
        <v/>
      </c>
      <c r="H500" s="20" t="str">
        <f>IF(ISBLANK($E500),"",INDEX(Sheet1!$A:$J,MATCH(Index_Match!$E500,Sheet1!$A:$A,0),MATCH(Index_Match!H$1,Sheet1!$A$1:$J$1,0)))</f>
        <v/>
      </c>
      <c r="I500" s="23" t="str">
        <f>IF(ISBLANK($E500),"",INDEX(Sheet1!$A:$J,MATCH(Index_Match!$E500,Sheet1!$A:$A,0),MATCH(Index_Match!I$1,Sheet1!$A$1:$J$1,0)))</f>
        <v/>
      </c>
      <c r="J500" s="20" t="str">
        <f>IF(ISBLANK($E500),"",INDEX(Sheet1!$A:$J,MATCH(Index_Match!$E500,Sheet1!$A:$A,0),MATCH(Index_Match!J$1,Sheet1!$A$1:$J$1,0)))</f>
        <v/>
      </c>
      <c r="K500" s="23" t="str">
        <f>IF(ISBLANK($E500),"",INDEX(Sheet1!$A:$J,MATCH(Index_Match!$E500,Sheet1!$A:$A,0),MATCH(Index_Match!K$1,Sheet1!$A$1:$J$1,0)))</f>
        <v/>
      </c>
      <c r="L500" s="20" t="str">
        <f>IF(ISBLANK($E500),"",INDEX(Sheet1!$A:$J,MATCH(Index_Match!$E500,Sheet1!$A:$A,0),MATCH(Index_Match!L$1,Sheet1!$A$1:$J$1,0)))</f>
        <v/>
      </c>
      <c r="M500" s="20" t="str">
        <f>IF(ISBLANK($E500),"",INDEX(Sheet1!$A:$J,MATCH(Index_Match!$E500,Sheet1!$A:$A,0),MATCH(Index_Match!M$1,Sheet1!$A$1:$J$1,0)))</f>
        <v/>
      </c>
    </row>
    <row r="501" spans="6:13" x14ac:dyDescent="0.25">
      <c r="F501" s="20" t="str">
        <f>IF(ISBLANK($E501),"",INDEX(Sheet1!$A:$J,MATCH(Index_Match!$E501,Sheet1!$A:$A,0),MATCH(Index_Match!F$1,Sheet1!$A$1:$J$1,0)))</f>
        <v/>
      </c>
      <c r="G501" s="20" t="str">
        <f>IF(ISBLANK($E501),"",INDEX(Sheet1!$A:$J,MATCH(Index_Match!$E501,Sheet1!$A:$A,0),MATCH(Index_Match!G$1,Sheet1!$A$1:$J$1,0)))</f>
        <v/>
      </c>
      <c r="H501" s="20" t="str">
        <f>IF(ISBLANK($E501),"",INDEX(Sheet1!$A:$J,MATCH(Index_Match!$E501,Sheet1!$A:$A,0),MATCH(Index_Match!H$1,Sheet1!$A$1:$J$1,0)))</f>
        <v/>
      </c>
      <c r="I501" s="23" t="str">
        <f>IF(ISBLANK($E501),"",INDEX(Sheet1!$A:$J,MATCH(Index_Match!$E501,Sheet1!$A:$A,0),MATCH(Index_Match!I$1,Sheet1!$A$1:$J$1,0)))</f>
        <v/>
      </c>
      <c r="J501" s="20" t="str">
        <f>IF(ISBLANK($E501),"",INDEX(Sheet1!$A:$J,MATCH(Index_Match!$E501,Sheet1!$A:$A,0),MATCH(Index_Match!J$1,Sheet1!$A$1:$J$1,0)))</f>
        <v/>
      </c>
      <c r="K501" s="23" t="str">
        <f>IF(ISBLANK($E501),"",INDEX(Sheet1!$A:$J,MATCH(Index_Match!$E501,Sheet1!$A:$A,0),MATCH(Index_Match!K$1,Sheet1!$A$1:$J$1,0)))</f>
        <v/>
      </c>
      <c r="L501" s="20" t="str">
        <f>IF(ISBLANK($E501),"",INDEX(Sheet1!$A:$J,MATCH(Index_Match!$E501,Sheet1!$A:$A,0),MATCH(Index_Match!L$1,Sheet1!$A$1:$J$1,0)))</f>
        <v/>
      </c>
      <c r="M501" s="20" t="str">
        <f>IF(ISBLANK($E501),"",INDEX(Sheet1!$A:$J,MATCH(Index_Match!$E501,Sheet1!$A:$A,0),MATCH(Index_Match!M$1,Sheet1!$A$1:$J$1,0)))</f>
        <v/>
      </c>
    </row>
    <row r="502" spans="6:13" x14ac:dyDescent="0.25">
      <c r="F502" s="20" t="str">
        <f>IF(ISBLANK($E502),"",INDEX(Sheet1!$A:$J,MATCH(Index_Match!$E502,Sheet1!$A:$A,0),MATCH(Index_Match!F$1,Sheet1!$A$1:$J$1,0)))</f>
        <v/>
      </c>
      <c r="G502" s="20" t="str">
        <f>IF(ISBLANK($E502),"",INDEX(Sheet1!$A:$J,MATCH(Index_Match!$E502,Sheet1!$A:$A,0),MATCH(Index_Match!G$1,Sheet1!$A$1:$J$1,0)))</f>
        <v/>
      </c>
      <c r="H502" s="20" t="str">
        <f>IF(ISBLANK($E502),"",INDEX(Sheet1!$A:$J,MATCH(Index_Match!$E502,Sheet1!$A:$A,0),MATCH(Index_Match!H$1,Sheet1!$A$1:$J$1,0)))</f>
        <v/>
      </c>
      <c r="I502" s="23" t="str">
        <f>IF(ISBLANK($E502),"",INDEX(Sheet1!$A:$J,MATCH(Index_Match!$E502,Sheet1!$A:$A,0),MATCH(Index_Match!I$1,Sheet1!$A$1:$J$1,0)))</f>
        <v/>
      </c>
      <c r="J502" s="20" t="str">
        <f>IF(ISBLANK($E502),"",INDEX(Sheet1!$A:$J,MATCH(Index_Match!$E502,Sheet1!$A:$A,0),MATCH(Index_Match!J$1,Sheet1!$A$1:$J$1,0)))</f>
        <v/>
      </c>
      <c r="K502" s="23" t="str">
        <f>IF(ISBLANK($E502),"",INDEX(Sheet1!$A:$J,MATCH(Index_Match!$E502,Sheet1!$A:$A,0),MATCH(Index_Match!K$1,Sheet1!$A$1:$J$1,0)))</f>
        <v/>
      </c>
      <c r="L502" s="20" t="str">
        <f>IF(ISBLANK($E502),"",INDEX(Sheet1!$A:$J,MATCH(Index_Match!$E502,Sheet1!$A:$A,0),MATCH(Index_Match!L$1,Sheet1!$A$1:$J$1,0)))</f>
        <v/>
      </c>
      <c r="M502" s="20" t="str">
        <f>IF(ISBLANK($E502),"",INDEX(Sheet1!$A:$J,MATCH(Index_Match!$E502,Sheet1!$A:$A,0),MATCH(Index_Match!M$1,Sheet1!$A$1:$J$1,0)))</f>
        <v/>
      </c>
    </row>
    <row r="503" spans="6:13" x14ac:dyDescent="0.25">
      <c r="F503" s="20" t="str">
        <f>IF(ISBLANK($E503),"",INDEX(Sheet1!$A:$J,MATCH(Index_Match!$E503,Sheet1!$A:$A,0),MATCH(Index_Match!F$1,Sheet1!$A$1:$J$1,0)))</f>
        <v/>
      </c>
      <c r="G503" s="20" t="str">
        <f>IF(ISBLANK($E503),"",INDEX(Sheet1!$A:$J,MATCH(Index_Match!$E503,Sheet1!$A:$A,0),MATCH(Index_Match!G$1,Sheet1!$A$1:$J$1,0)))</f>
        <v/>
      </c>
      <c r="H503" s="20" t="str">
        <f>IF(ISBLANK($E503),"",INDEX(Sheet1!$A:$J,MATCH(Index_Match!$E503,Sheet1!$A:$A,0),MATCH(Index_Match!H$1,Sheet1!$A$1:$J$1,0)))</f>
        <v/>
      </c>
      <c r="I503" s="23" t="str">
        <f>IF(ISBLANK($E503),"",INDEX(Sheet1!$A:$J,MATCH(Index_Match!$E503,Sheet1!$A:$A,0),MATCH(Index_Match!I$1,Sheet1!$A$1:$J$1,0)))</f>
        <v/>
      </c>
      <c r="J503" s="20" t="str">
        <f>IF(ISBLANK($E503),"",INDEX(Sheet1!$A:$J,MATCH(Index_Match!$E503,Sheet1!$A:$A,0),MATCH(Index_Match!J$1,Sheet1!$A$1:$J$1,0)))</f>
        <v/>
      </c>
      <c r="K503" s="23" t="str">
        <f>IF(ISBLANK($E503),"",INDEX(Sheet1!$A:$J,MATCH(Index_Match!$E503,Sheet1!$A:$A,0),MATCH(Index_Match!K$1,Sheet1!$A$1:$J$1,0)))</f>
        <v/>
      </c>
      <c r="L503" s="20" t="str">
        <f>IF(ISBLANK($E503),"",INDEX(Sheet1!$A:$J,MATCH(Index_Match!$E503,Sheet1!$A:$A,0),MATCH(Index_Match!L$1,Sheet1!$A$1:$J$1,0)))</f>
        <v/>
      </c>
      <c r="M503" s="20" t="str">
        <f>IF(ISBLANK($E503),"",INDEX(Sheet1!$A:$J,MATCH(Index_Match!$E503,Sheet1!$A:$A,0),MATCH(Index_Match!M$1,Sheet1!$A$1:$J$1,0)))</f>
        <v/>
      </c>
    </row>
    <row r="504" spans="6:13" x14ac:dyDescent="0.25">
      <c r="F504" s="20" t="str">
        <f>IF(ISBLANK($E504),"",INDEX(Sheet1!$A:$J,MATCH(Index_Match!$E504,Sheet1!$A:$A,0),MATCH(Index_Match!F$1,Sheet1!$A$1:$J$1,0)))</f>
        <v/>
      </c>
      <c r="G504" s="20" t="str">
        <f>IF(ISBLANK($E504),"",INDEX(Sheet1!$A:$J,MATCH(Index_Match!$E504,Sheet1!$A:$A,0),MATCH(Index_Match!G$1,Sheet1!$A$1:$J$1,0)))</f>
        <v/>
      </c>
      <c r="H504" s="20" t="str">
        <f>IF(ISBLANK($E504),"",INDEX(Sheet1!$A:$J,MATCH(Index_Match!$E504,Sheet1!$A:$A,0),MATCH(Index_Match!H$1,Sheet1!$A$1:$J$1,0)))</f>
        <v/>
      </c>
      <c r="I504" s="23" t="str">
        <f>IF(ISBLANK($E504),"",INDEX(Sheet1!$A:$J,MATCH(Index_Match!$E504,Sheet1!$A:$A,0),MATCH(Index_Match!I$1,Sheet1!$A$1:$J$1,0)))</f>
        <v/>
      </c>
      <c r="J504" s="20" t="str">
        <f>IF(ISBLANK($E504),"",INDEX(Sheet1!$A:$J,MATCH(Index_Match!$E504,Sheet1!$A:$A,0),MATCH(Index_Match!J$1,Sheet1!$A$1:$J$1,0)))</f>
        <v/>
      </c>
      <c r="K504" s="23" t="str">
        <f>IF(ISBLANK($E504),"",INDEX(Sheet1!$A:$J,MATCH(Index_Match!$E504,Sheet1!$A:$A,0),MATCH(Index_Match!K$1,Sheet1!$A$1:$J$1,0)))</f>
        <v/>
      </c>
      <c r="L504" s="20" t="str">
        <f>IF(ISBLANK($E504),"",INDEX(Sheet1!$A:$J,MATCH(Index_Match!$E504,Sheet1!$A:$A,0),MATCH(Index_Match!L$1,Sheet1!$A$1:$J$1,0)))</f>
        <v/>
      </c>
      <c r="M504" s="20" t="str">
        <f>IF(ISBLANK($E504),"",INDEX(Sheet1!$A:$J,MATCH(Index_Match!$E504,Sheet1!$A:$A,0),MATCH(Index_Match!M$1,Sheet1!$A$1:$J$1,0)))</f>
        <v/>
      </c>
    </row>
    <row r="505" spans="6:13" x14ac:dyDescent="0.25">
      <c r="F505" s="20" t="str">
        <f>IF(ISBLANK($E505),"",INDEX(Sheet1!$A:$J,MATCH(Index_Match!$E505,Sheet1!$A:$A,0),MATCH(Index_Match!F$1,Sheet1!$A$1:$J$1,0)))</f>
        <v/>
      </c>
      <c r="G505" s="20" t="str">
        <f>IF(ISBLANK($E505),"",INDEX(Sheet1!$A:$J,MATCH(Index_Match!$E505,Sheet1!$A:$A,0),MATCH(Index_Match!G$1,Sheet1!$A$1:$J$1,0)))</f>
        <v/>
      </c>
      <c r="H505" s="20" t="str">
        <f>IF(ISBLANK($E505),"",INDEX(Sheet1!$A:$J,MATCH(Index_Match!$E505,Sheet1!$A:$A,0),MATCH(Index_Match!H$1,Sheet1!$A$1:$J$1,0)))</f>
        <v/>
      </c>
      <c r="I505" s="23" t="str">
        <f>IF(ISBLANK($E505),"",INDEX(Sheet1!$A:$J,MATCH(Index_Match!$E505,Sheet1!$A:$A,0),MATCH(Index_Match!I$1,Sheet1!$A$1:$J$1,0)))</f>
        <v/>
      </c>
      <c r="J505" s="20" t="str">
        <f>IF(ISBLANK($E505),"",INDEX(Sheet1!$A:$J,MATCH(Index_Match!$E505,Sheet1!$A:$A,0),MATCH(Index_Match!J$1,Sheet1!$A$1:$J$1,0)))</f>
        <v/>
      </c>
      <c r="K505" s="23" t="str">
        <f>IF(ISBLANK($E505),"",INDEX(Sheet1!$A:$J,MATCH(Index_Match!$E505,Sheet1!$A:$A,0),MATCH(Index_Match!K$1,Sheet1!$A$1:$J$1,0)))</f>
        <v/>
      </c>
      <c r="L505" s="20" t="str">
        <f>IF(ISBLANK($E505),"",INDEX(Sheet1!$A:$J,MATCH(Index_Match!$E505,Sheet1!$A:$A,0),MATCH(Index_Match!L$1,Sheet1!$A$1:$J$1,0)))</f>
        <v/>
      </c>
      <c r="M505" s="20" t="str">
        <f>IF(ISBLANK($E505),"",INDEX(Sheet1!$A:$J,MATCH(Index_Match!$E505,Sheet1!$A:$A,0),MATCH(Index_Match!M$1,Sheet1!$A$1:$J$1,0)))</f>
        <v/>
      </c>
    </row>
    <row r="506" spans="6:13" x14ac:dyDescent="0.25">
      <c r="F506" s="20" t="str">
        <f>IF(ISBLANK($E506),"",INDEX(Sheet1!$A:$J,MATCH(Index_Match!$E506,Sheet1!$A:$A,0),MATCH(Index_Match!F$1,Sheet1!$A$1:$J$1,0)))</f>
        <v/>
      </c>
      <c r="G506" s="20" t="str">
        <f>IF(ISBLANK($E506),"",INDEX(Sheet1!$A:$J,MATCH(Index_Match!$E506,Sheet1!$A:$A,0),MATCH(Index_Match!G$1,Sheet1!$A$1:$J$1,0)))</f>
        <v/>
      </c>
      <c r="H506" s="20" t="str">
        <f>IF(ISBLANK($E506),"",INDEX(Sheet1!$A:$J,MATCH(Index_Match!$E506,Sheet1!$A:$A,0),MATCH(Index_Match!H$1,Sheet1!$A$1:$J$1,0)))</f>
        <v/>
      </c>
      <c r="I506" s="23" t="str">
        <f>IF(ISBLANK($E506),"",INDEX(Sheet1!$A:$J,MATCH(Index_Match!$E506,Sheet1!$A:$A,0),MATCH(Index_Match!I$1,Sheet1!$A$1:$J$1,0)))</f>
        <v/>
      </c>
      <c r="J506" s="20" t="str">
        <f>IF(ISBLANK($E506),"",INDEX(Sheet1!$A:$J,MATCH(Index_Match!$E506,Sheet1!$A:$A,0),MATCH(Index_Match!J$1,Sheet1!$A$1:$J$1,0)))</f>
        <v/>
      </c>
      <c r="K506" s="23" t="str">
        <f>IF(ISBLANK($E506),"",INDEX(Sheet1!$A:$J,MATCH(Index_Match!$E506,Sheet1!$A:$A,0),MATCH(Index_Match!K$1,Sheet1!$A$1:$J$1,0)))</f>
        <v/>
      </c>
      <c r="L506" s="20" t="str">
        <f>IF(ISBLANK($E506),"",INDEX(Sheet1!$A:$J,MATCH(Index_Match!$E506,Sheet1!$A:$A,0),MATCH(Index_Match!L$1,Sheet1!$A$1:$J$1,0)))</f>
        <v/>
      </c>
      <c r="M506" s="20" t="str">
        <f>IF(ISBLANK($E506),"",INDEX(Sheet1!$A:$J,MATCH(Index_Match!$E506,Sheet1!$A:$A,0),MATCH(Index_Match!M$1,Sheet1!$A$1:$J$1,0)))</f>
        <v/>
      </c>
    </row>
    <row r="507" spans="6:13" x14ac:dyDescent="0.25">
      <c r="F507" s="20" t="str">
        <f>IF(ISBLANK($E507),"",INDEX(Sheet1!$A:$J,MATCH(Index_Match!$E507,Sheet1!$A:$A,0),MATCH(Index_Match!F$1,Sheet1!$A$1:$J$1,0)))</f>
        <v/>
      </c>
      <c r="G507" s="20" t="str">
        <f>IF(ISBLANK($E507),"",INDEX(Sheet1!$A:$J,MATCH(Index_Match!$E507,Sheet1!$A:$A,0),MATCH(Index_Match!G$1,Sheet1!$A$1:$J$1,0)))</f>
        <v/>
      </c>
      <c r="H507" s="20" t="str">
        <f>IF(ISBLANK($E507),"",INDEX(Sheet1!$A:$J,MATCH(Index_Match!$E507,Sheet1!$A:$A,0),MATCH(Index_Match!H$1,Sheet1!$A$1:$J$1,0)))</f>
        <v/>
      </c>
      <c r="I507" s="23" t="str">
        <f>IF(ISBLANK($E507),"",INDEX(Sheet1!$A:$J,MATCH(Index_Match!$E507,Sheet1!$A:$A,0),MATCH(Index_Match!I$1,Sheet1!$A$1:$J$1,0)))</f>
        <v/>
      </c>
      <c r="J507" s="20" t="str">
        <f>IF(ISBLANK($E507),"",INDEX(Sheet1!$A:$J,MATCH(Index_Match!$E507,Sheet1!$A:$A,0),MATCH(Index_Match!J$1,Sheet1!$A$1:$J$1,0)))</f>
        <v/>
      </c>
      <c r="K507" s="23" t="str">
        <f>IF(ISBLANK($E507),"",INDEX(Sheet1!$A:$J,MATCH(Index_Match!$E507,Sheet1!$A:$A,0),MATCH(Index_Match!K$1,Sheet1!$A$1:$J$1,0)))</f>
        <v/>
      </c>
      <c r="L507" s="20" t="str">
        <f>IF(ISBLANK($E507),"",INDEX(Sheet1!$A:$J,MATCH(Index_Match!$E507,Sheet1!$A:$A,0),MATCH(Index_Match!L$1,Sheet1!$A$1:$J$1,0)))</f>
        <v/>
      </c>
      <c r="M507" s="20" t="str">
        <f>IF(ISBLANK($E507),"",INDEX(Sheet1!$A:$J,MATCH(Index_Match!$E507,Sheet1!$A:$A,0),MATCH(Index_Match!M$1,Sheet1!$A$1:$J$1,0)))</f>
        <v/>
      </c>
    </row>
    <row r="508" spans="6:13" x14ac:dyDescent="0.25">
      <c r="F508" s="20" t="str">
        <f>IF(ISBLANK($E508),"",INDEX(Sheet1!$A:$J,MATCH(Index_Match!$E508,Sheet1!$A:$A,0),MATCH(Index_Match!F$1,Sheet1!$A$1:$J$1,0)))</f>
        <v/>
      </c>
      <c r="G508" s="20" t="str">
        <f>IF(ISBLANK($E508),"",INDEX(Sheet1!$A:$J,MATCH(Index_Match!$E508,Sheet1!$A:$A,0),MATCH(Index_Match!G$1,Sheet1!$A$1:$J$1,0)))</f>
        <v/>
      </c>
      <c r="H508" s="20" t="str">
        <f>IF(ISBLANK($E508),"",INDEX(Sheet1!$A:$J,MATCH(Index_Match!$E508,Sheet1!$A:$A,0),MATCH(Index_Match!H$1,Sheet1!$A$1:$J$1,0)))</f>
        <v/>
      </c>
      <c r="I508" s="23" t="str">
        <f>IF(ISBLANK($E508),"",INDEX(Sheet1!$A:$J,MATCH(Index_Match!$E508,Sheet1!$A:$A,0),MATCH(Index_Match!I$1,Sheet1!$A$1:$J$1,0)))</f>
        <v/>
      </c>
      <c r="J508" s="20" t="str">
        <f>IF(ISBLANK($E508),"",INDEX(Sheet1!$A:$J,MATCH(Index_Match!$E508,Sheet1!$A:$A,0),MATCH(Index_Match!J$1,Sheet1!$A$1:$J$1,0)))</f>
        <v/>
      </c>
      <c r="K508" s="23" t="str">
        <f>IF(ISBLANK($E508),"",INDEX(Sheet1!$A:$J,MATCH(Index_Match!$E508,Sheet1!$A:$A,0),MATCH(Index_Match!K$1,Sheet1!$A$1:$J$1,0)))</f>
        <v/>
      </c>
      <c r="L508" s="20" t="str">
        <f>IF(ISBLANK($E508),"",INDEX(Sheet1!$A:$J,MATCH(Index_Match!$E508,Sheet1!$A:$A,0),MATCH(Index_Match!L$1,Sheet1!$A$1:$J$1,0)))</f>
        <v/>
      </c>
      <c r="M508" s="20" t="str">
        <f>IF(ISBLANK($E508),"",INDEX(Sheet1!$A:$J,MATCH(Index_Match!$E508,Sheet1!$A:$A,0),MATCH(Index_Match!M$1,Sheet1!$A$1:$J$1,0)))</f>
        <v/>
      </c>
    </row>
    <row r="509" spans="6:13" x14ac:dyDescent="0.25">
      <c r="F509" s="20" t="str">
        <f>IF(ISBLANK($E509),"",INDEX(Sheet1!$A:$J,MATCH(Index_Match!$E509,Sheet1!$A:$A,0),MATCH(Index_Match!F$1,Sheet1!$A$1:$J$1,0)))</f>
        <v/>
      </c>
      <c r="G509" s="20" t="str">
        <f>IF(ISBLANK($E509),"",INDEX(Sheet1!$A:$J,MATCH(Index_Match!$E509,Sheet1!$A:$A,0),MATCH(Index_Match!G$1,Sheet1!$A$1:$J$1,0)))</f>
        <v/>
      </c>
      <c r="H509" s="20" t="str">
        <f>IF(ISBLANK($E509),"",INDEX(Sheet1!$A:$J,MATCH(Index_Match!$E509,Sheet1!$A:$A,0),MATCH(Index_Match!H$1,Sheet1!$A$1:$J$1,0)))</f>
        <v/>
      </c>
      <c r="I509" s="23" t="str">
        <f>IF(ISBLANK($E509),"",INDEX(Sheet1!$A:$J,MATCH(Index_Match!$E509,Sheet1!$A:$A,0),MATCH(Index_Match!I$1,Sheet1!$A$1:$J$1,0)))</f>
        <v/>
      </c>
      <c r="J509" s="20" t="str">
        <f>IF(ISBLANK($E509),"",INDEX(Sheet1!$A:$J,MATCH(Index_Match!$E509,Sheet1!$A:$A,0),MATCH(Index_Match!J$1,Sheet1!$A$1:$J$1,0)))</f>
        <v/>
      </c>
      <c r="K509" s="23" t="str">
        <f>IF(ISBLANK($E509),"",INDEX(Sheet1!$A:$J,MATCH(Index_Match!$E509,Sheet1!$A:$A,0),MATCH(Index_Match!K$1,Sheet1!$A$1:$J$1,0)))</f>
        <v/>
      </c>
      <c r="L509" s="20" t="str">
        <f>IF(ISBLANK($E509),"",INDEX(Sheet1!$A:$J,MATCH(Index_Match!$E509,Sheet1!$A:$A,0),MATCH(Index_Match!L$1,Sheet1!$A$1:$J$1,0)))</f>
        <v/>
      </c>
      <c r="M509" s="20" t="str">
        <f>IF(ISBLANK($E509),"",INDEX(Sheet1!$A:$J,MATCH(Index_Match!$E509,Sheet1!$A:$A,0),MATCH(Index_Match!M$1,Sheet1!$A$1:$J$1,0)))</f>
        <v/>
      </c>
    </row>
    <row r="510" spans="6:13" x14ac:dyDescent="0.25">
      <c r="F510" s="20" t="str">
        <f>IF(ISBLANK($E510),"",INDEX(Sheet1!$A:$J,MATCH(Index_Match!$E510,Sheet1!$A:$A,0),MATCH(Index_Match!F$1,Sheet1!$A$1:$J$1,0)))</f>
        <v/>
      </c>
      <c r="G510" s="20" t="str">
        <f>IF(ISBLANK($E510),"",INDEX(Sheet1!$A:$J,MATCH(Index_Match!$E510,Sheet1!$A:$A,0),MATCH(Index_Match!G$1,Sheet1!$A$1:$J$1,0)))</f>
        <v/>
      </c>
      <c r="H510" s="20" t="str">
        <f>IF(ISBLANK($E510),"",INDEX(Sheet1!$A:$J,MATCH(Index_Match!$E510,Sheet1!$A:$A,0),MATCH(Index_Match!H$1,Sheet1!$A$1:$J$1,0)))</f>
        <v/>
      </c>
      <c r="I510" s="23" t="str">
        <f>IF(ISBLANK($E510),"",INDEX(Sheet1!$A:$J,MATCH(Index_Match!$E510,Sheet1!$A:$A,0),MATCH(Index_Match!I$1,Sheet1!$A$1:$J$1,0)))</f>
        <v/>
      </c>
      <c r="J510" s="20" t="str">
        <f>IF(ISBLANK($E510),"",INDEX(Sheet1!$A:$J,MATCH(Index_Match!$E510,Sheet1!$A:$A,0),MATCH(Index_Match!J$1,Sheet1!$A$1:$J$1,0)))</f>
        <v/>
      </c>
      <c r="K510" s="23" t="str">
        <f>IF(ISBLANK($E510),"",INDEX(Sheet1!$A:$J,MATCH(Index_Match!$E510,Sheet1!$A:$A,0),MATCH(Index_Match!K$1,Sheet1!$A$1:$J$1,0)))</f>
        <v/>
      </c>
      <c r="L510" s="20" t="str">
        <f>IF(ISBLANK($E510),"",INDEX(Sheet1!$A:$J,MATCH(Index_Match!$E510,Sheet1!$A:$A,0),MATCH(Index_Match!L$1,Sheet1!$A$1:$J$1,0)))</f>
        <v/>
      </c>
      <c r="M510" s="20" t="str">
        <f>IF(ISBLANK($E510),"",INDEX(Sheet1!$A:$J,MATCH(Index_Match!$E510,Sheet1!$A:$A,0),MATCH(Index_Match!M$1,Sheet1!$A$1:$J$1,0)))</f>
        <v/>
      </c>
    </row>
    <row r="511" spans="6:13" x14ac:dyDescent="0.25">
      <c r="F511" s="20" t="str">
        <f>IF(ISBLANK($E511),"",INDEX(Sheet1!$A:$J,MATCH(Index_Match!$E511,Sheet1!$A:$A,0),MATCH(Index_Match!F$1,Sheet1!$A$1:$J$1,0)))</f>
        <v/>
      </c>
      <c r="G511" s="20" t="str">
        <f>IF(ISBLANK($E511),"",INDEX(Sheet1!$A:$J,MATCH(Index_Match!$E511,Sheet1!$A:$A,0),MATCH(Index_Match!G$1,Sheet1!$A$1:$J$1,0)))</f>
        <v/>
      </c>
      <c r="H511" s="20" t="str">
        <f>IF(ISBLANK($E511),"",INDEX(Sheet1!$A:$J,MATCH(Index_Match!$E511,Sheet1!$A:$A,0),MATCH(Index_Match!H$1,Sheet1!$A$1:$J$1,0)))</f>
        <v/>
      </c>
      <c r="I511" s="23" t="str">
        <f>IF(ISBLANK($E511),"",INDEX(Sheet1!$A:$J,MATCH(Index_Match!$E511,Sheet1!$A:$A,0),MATCH(Index_Match!I$1,Sheet1!$A$1:$J$1,0)))</f>
        <v/>
      </c>
      <c r="J511" s="20" t="str">
        <f>IF(ISBLANK($E511),"",INDEX(Sheet1!$A:$J,MATCH(Index_Match!$E511,Sheet1!$A:$A,0),MATCH(Index_Match!J$1,Sheet1!$A$1:$J$1,0)))</f>
        <v/>
      </c>
      <c r="K511" s="23" t="str">
        <f>IF(ISBLANK($E511),"",INDEX(Sheet1!$A:$J,MATCH(Index_Match!$E511,Sheet1!$A:$A,0),MATCH(Index_Match!K$1,Sheet1!$A$1:$J$1,0)))</f>
        <v/>
      </c>
      <c r="L511" s="20" t="str">
        <f>IF(ISBLANK($E511),"",INDEX(Sheet1!$A:$J,MATCH(Index_Match!$E511,Sheet1!$A:$A,0),MATCH(Index_Match!L$1,Sheet1!$A$1:$J$1,0)))</f>
        <v/>
      </c>
      <c r="M511" s="20" t="str">
        <f>IF(ISBLANK($E511),"",INDEX(Sheet1!$A:$J,MATCH(Index_Match!$E511,Sheet1!$A:$A,0),MATCH(Index_Match!M$1,Sheet1!$A$1:$J$1,0)))</f>
        <v/>
      </c>
    </row>
    <row r="512" spans="6:13" x14ac:dyDescent="0.25">
      <c r="F512" s="20" t="str">
        <f>IF(ISBLANK($E512),"",INDEX(Sheet1!$A:$J,MATCH(Index_Match!$E512,Sheet1!$A:$A,0),MATCH(Index_Match!F$1,Sheet1!$A$1:$J$1,0)))</f>
        <v/>
      </c>
      <c r="G512" s="20" t="str">
        <f>IF(ISBLANK($E512),"",INDEX(Sheet1!$A:$J,MATCH(Index_Match!$E512,Sheet1!$A:$A,0),MATCH(Index_Match!G$1,Sheet1!$A$1:$J$1,0)))</f>
        <v/>
      </c>
      <c r="H512" s="20" t="str">
        <f>IF(ISBLANK($E512),"",INDEX(Sheet1!$A:$J,MATCH(Index_Match!$E512,Sheet1!$A:$A,0),MATCH(Index_Match!H$1,Sheet1!$A$1:$J$1,0)))</f>
        <v/>
      </c>
      <c r="I512" s="23" t="str">
        <f>IF(ISBLANK($E512),"",INDEX(Sheet1!$A:$J,MATCH(Index_Match!$E512,Sheet1!$A:$A,0),MATCH(Index_Match!I$1,Sheet1!$A$1:$J$1,0)))</f>
        <v/>
      </c>
      <c r="J512" s="20" t="str">
        <f>IF(ISBLANK($E512),"",INDEX(Sheet1!$A:$J,MATCH(Index_Match!$E512,Sheet1!$A:$A,0),MATCH(Index_Match!J$1,Sheet1!$A$1:$J$1,0)))</f>
        <v/>
      </c>
      <c r="K512" s="23" t="str">
        <f>IF(ISBLANK($E512),"",INDEX(Sheet1!$A:$J,MATCH(Index_Match!$E512,Sheet1!$A:$A,0),MATCH(Index_Match!K$1,Sheet1!$A$1:$J$1,0)))</f>
        <v/>
      </c>
      <c r="L512" s="20" t="str">
        <f>IF(ISBLANK($E512),"",INDEX(Sheet1!$A:$J,MATCH(Index_Match!$E512,Sheet1!$A:$A,0),MATCH(Index_Match!L$1,Sheet1!$A$1:$J$1,0)))</f>
        <v/>
      </c>
      <c r="M512" s="20" t="str">
        <f>IF(ISBLANK($E512),"",INDEX(Sheet1!$A:$J,MATCH(Index_Match!$E512,Sheet1!$A:$A,0),MATCH(Index_Match!M$1,Sheet1!$A$1:$J$1,0)))</f>
        <v/>
      </c>
    </row>
    <row r="513" spans="6:13" x14ac:dyDescent="0.25">
      <c r="F513" s="20" t="str">
        <f>IF(ISBLANK($E513),"",INDEX(Sheet1!$A:$J,MATCH(Index_Match!$E513,Sheet1!$A:$A,0),MATCH(Index_Match!F$1,Sheet1!$A$1:$J$1,0)))</f>
        <v/>
      </c>
      <c r="G513" s="20" t="str">
        <f>IF(ISBLANK($E513),"",INDEX(Sheet1!$A:$J,MATCH(Index_Match!$E513,Sheet1!$A:$A,0),MATCH(Index_Match!G$1,Sheet1!$A$1:$J$1,0)))</f>
        <v/>
      </c>
      <c r="H513" s="20" t="str">
        <f>IF(ISBLANK($E513),"",INDEX(Sheet1!$A:$J,MATCH(Index_Match!$E513,Sheet1!$A:$A,0),MATCH(Index_Match!H$1,Sheet1!$A$1:$J$1,0)))</f>
        <v/>
      </c>
      <c r="I513" s="23" t="str">
        <f>IF(ISBLANK($E513),"",INDEX(Sheet1!$A:$J,MATCH(Index_Match!$E513,Sheet1!$A:$A,0),MATCH(Index_Match!I$1,Sheet1!$A$1:$J$1,0)))</f>
        <v/>
      </c>
      <c r="J513" s="20" t="str">
        <f>IF(ISBLANK($E513),"",INDEX(Sheet1!$A:$J,MATCH(Index_Match!$E513,Sheet1!$A:$A,0),MATCH(Index_Match!J$1,Sheet1!$A$1:$J$1,0)))</f>
        <v/>
      </c>
      <c r="K513" s="23" t="str">
        <f>IF(ISBLANK($E513),"",INDEX(Sheet1!$A:$J,MATCH(Index_Match!$E513,Sheet1!$A:$A,0),MATCH(Index_Match!K$1,Sheet1!$A$1:$J$1,0)))</f>
        <v/>
      </c>
      <c r="L513" s="20" t="str">
        <f>IF(ISBLANK($E513),"",INDEX(Sheet1!$A:$J,MATCH(Index_Match!$E513,Sheet1!$A:$A,0),MATCH(Index_Match!L$1,Sheet1!$A$1:$J$1,0)))</f>
        <v/>
      </c>
      <c r="M513" s="20" t="str">
        <f>IF(ISBLANK($E513),"",INDEX(Sheet1!$A:$J,MATCH(Index_Match!$E513,Sheet1!$A:$A,0),MATCH(Index_Match!M$1,Sheet1!$A$1:$J$1,0)))</f>
        <v/>
      </c>
    </row>
    <row r="514" spans="6:13" x14ac:dyDescent="0.25">
      <c r="F514" s="20" t="str">
        <f>IF(ISBLANK($E514),"",INDEX(Sheet1!$A:$J,MATCH(Index_Match!$E514,Sheet1!$A:$A,0),MATCH(Index_Match!F$1,Sheet1!$A$1:$J$1,0)))</f>
        <v/>
      </c>
      <c r="G514" s="20" t="str">
        <f>IF(ISBLANK($E514),"",INDEX(Sheet1!$A:$J,MATCH(Index_Match!$E514,Sheet1!$A:$A,0),MATCH(Index_Match!G$1,Sheet1!$A$1:$J$1,0)))</f>
        <v/>
      </c>
      <c r="H514" s="20" t="str">
        <f>IF(ISBLANK($E514),"",INDEX(Sheet1!$A:$J,MATCH(Index_Match!$E514,Sheet1!$A:$A,0),MATCH(Index_Match!H$1,Sheet1!$A$1:$J$1,0)))</f>
        <v/>
      </c>
      <c r="I514" s="23" t="str">
        <f>IF(ISBLANK($E514),"",INDEX(Sheet1!$A:$J,MATCH(Index_Match!$E514,Sheet1!$A:$A,0),MATCH(Index_Match!I$1,Sheet1!$A$1:$J$1,0)))</f>
        <v/>
      </c>
      <c r="J514" s="20" t="str">
        <f>IF(ISBLANK($E514),"",INDEX(Sheet1!$A:$J,MATCH(Index_Match!$E514,Sheet1!$A:$A,0),MATCH(Index_Match!J$1,Sheet1!$A$1:$J$1,0)))</f>
        <v/>
      </c>
      <c r="K514" s="23" t="str">
        <f>IF(ISBLANK($E514),"",INDEX(Sheet1!$A:$J,MATCH(Index_Match!$E514,Sheet1!$A:$A,0),MATCH(Index_Match!K$1,Sheet1!$A$1:$J$1,0)))</f>
        <v/>
      </c>
      <c r="L514" s="20" t="str">
        <f>IF(ISBLANK($E514),"",INDEX(Sheet1!$A:$J,MATCH(Index_Match!$E514,Sheet1!$A:$A,0),MATCH(Index_Match!L$1,Sheet1!$A$1:$J$1,0)))</f>
        <v/>
      </c>
      <c r="M514" s="20" t="str">
        <f>IF(ISBLANK($E514),"",INDEX(Sheet1!$A:$J,MATCH(Index_Match!$E514,Sheet1!$A:$A,0),MATCH(Index_Match!M$1,Sheet1!$A$1:$J$1,0)))</f>
        <v/>
      </c>
    </row>
    <row r="515" spans="6:13" x14ac:dyDescent="0.25">
      <c r="F515" s="20" t="str">
        <f>IF(ISBLANK($E515),"",INDEX(Sheet1!$A:$J,MATCH(Index_Match!$E515,Sheet1!$A:$A,0),MATCH(Index_Match!F$1,Sheet1!$A$1:$J$1,0)))</f>
        <v/>
      </c>
      <c r="G515" s="20" t="str">
        <f>IF(ISBLANK($E515),"",INDEX(Sheet1!$A:$J,MATCH(Index_Match!$E515,Sheet1!$A:$A,0),MATCH(Index_Match!G$1,Sheet1!$A$1:$J$1,0)))</f>
        <v/>
      </c>
      <c r="H515" s="20" t="str">
        <f>IF(ISBLANK($E515),"",INDEX(Sheet1!$A:$J,MATCH(Index_Match!$E515,Sheet1!$A:$A,0),MATCH(Index_Match!H$1,Sheet1!$A$1:$J$1,0)))</f>
        <v/>
      </c>
      <c r="I515" s="23" t="str">
        <f>IF(ISBLANK($E515),"",INDEX(Sheet1!$A:$J,MATCH(Index_Match!$E515,Sheet1!$A:$A,0),MATCH(Index_Match!I$1,Sheet1!$A$1:$J$1,0)))</f>
        <v/>
      </c>
      <c r="J515" s="20" t="str">
        <f>IF(ISBLANK($E515),"",INDEX(Sheet1!$A:$J,MATCH(Index_Match!$E515,Sheet1!$A:$A,0),MATCH(Index_Match!J$1,Sheet1!$A$1:$J$1,0)))</f>
        <v/>
      </c>
      <c r="K515" s="23" t="str">
        <f>IF(ISBLANK($E515),"",INDEX(Sheet1!$A:$J,MATCH(Index_Match!$E515,Sheet1!$A:$A,0),MATCH(Index_Match!K$1,Sheet1!$A$1:$J$1,0)))</f>
        <v/>
      </c>
      <c r="L515" s="20" t="str">
        <f>IF(ISBLANK($E515),"",INDEX(Sheet1!$A:$J,MATCH(Index_Match!$E515,Sheet1!$A:$A,0),MATCH(Index_Match!L$1,Sheet1!$A$1:$J$1,0)))</f>
        <v/>
      </c>
      <c r="M515" s="20" t="str">
        <f>IF(ISBLANK($E515),"",INDEX(Sheet1!$A:$J,MATCH(Index_Match!$E515,Sheet1!$A:$A,0),MATCH(Index_Match!M$1,Sheet1!$A$1:$J$1,0)))</f>
        <v/>
      </c>
    </row>
    <row r="516" spans="6:13" x14ac:dyDescent="0.25">
      <c r="F516" s="20"/>
    </row>
  </sheetData>
  <autoFilter ref="E1:M515" xr:uid="{18E0B47D-533F-4DBD-BFC5-2B46AC4C9562}"/>
  <dataValidations count="1">
    <dataValidation type="list" allowBlank="1" showInputMessage="1" showErrorMessage="1" sqref="B2" xr:uid="{16E9ED19-6BB7-4C4E-95E8-B54E5E16A70D}">
      <formula1>"Male,Female"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F8A06-4909-4C78-B16B-84A4C95233BA}">
  <dimension ref="A1:Q1001"/>
  <sheetViews>
    <sheetView workbookViewId="0">
      <selection activeCell="M2" sqref="M2"/>
    </sheetView>
  </sheetViews>
  <sheetFormatPr defaultRowHeight="13.8" x14ac:dyDescent="0.25"/>
  <cols>
    <col min="1" max="1" width="10" bestFit="1" customWidth="1"/>
    <col min="2" max="2" width="12.5" bestFit="1" customWidth="1"/>
    <col min="3" max="3" width="22.09765625" bestFit="1" customWidth="1"/>
    <col min="4" max="4" width="7.69921875" bestFit="1" customWidth="1"/>
    <col min="5" max="5" width="4.796875" bestFit="1" customWidth="1"/>
    <col min="6" max="6" width="12" bestFit="1" customWidth="1"/>
    <col min="7" max="7" width="16.09765625" bestFit="1" customWidth="1"/>
    <col min="8" max="8" width="6.09765625" bestFit="1" customWidth="1"/>
    <col min="9" max="9" width="12.59765625" bestFit="1" customWidth="1"/>
    <col min="10" max="10" width="14" bestFit="1" customWidth="1"/>
    <col min="11" max="11" width="14" customWidth="1"/>
  </cols>
  <sheetData>
    <row r="1" spans="1:17" x14ac:dyDescent="0.25">
      <c r="A1" t="s">
        <v>1343</v>
      </c>
      <c r="B1" t="s">
        <v>1344</v>
      </c>
      <c r="C1" t="s">
        <v>1345</v>
      </c>
      <c r="D1" t="s">
        <v>1346</v>
      </c>
      <c r="E1" t="s">
        <v>1347</v>
      </c>
      <c r="F1" t="s">
        <v>1356</v>
      </c>
      <c r="G1" t="s">
        <v>1348</v>
      </c>
      <c r="H1" t="s">
        <v>1349</v>
      </c>
      <c r="I1" t="s">
        <v>1350</v>
      </c>
      <c r="J1" t="s">
        <v>1351</v>
      </c>
      <c r="M1" s="19" t="s">
        <v>3</v>
      </c>
      <c r="N1" s="19" t="s">
        <v>1411</v>
      </c>
      <c r="O1" s="19" t="s">
        <v>1414</v>
      </c>
    </row>
    <row r="2" spans="1:17" x14ac:dyDescent="0.25">
      <c r="A2" t="s">
        <v>0</v>
      </c>
      <c r="B2" t="s">
        <v>1</v>
      </c>
      <c r="C2" t="s">
        <v>2</v>
      </c>
      <c r="D2" t="s">
        <v>3</v>
      </c>
      <c r="E2">
        <v>58</v>
      </c>
      <c r="F2" t="s">
        <v>1358</v>
      </c>
      <c r="G2" t="s">
        <v>1364</v>
      </c>
      <c r="H2">
        <v>6779</v>
      </c>
      <c r="I2" t="s">
        <v>4</v>
      </c>
      <c r="J2">
        <v>2</v>
      </c>
      <c r="L2" s="19" t="s">
        <v>1415</v>
      </c>
      <c r="M2">
        <f>SUMIFS(J:J,D:D,M1,I:I,N1,F:F,O1)</f>
        <v>255</v>
      </c>
    </row>
    <row r="3" spans="1:17" x14ac:dyDescent="0.25">
      <c r="A3" t="s">
        <v>5</v>
      </c>
      <c r="B3" t="s">
        <v>6</v>
      </c>
      <c r="C3" t="s">
        <v>7</v>
      </c>
      <c r="D3" t="s">
        <v>8</v>
      </c>
      <c r="E3">
        <v>36</v>
      </c>
      <c r="F3" t="s">
        <v>1357</v>
      </c>
      <c r="G3" t="s">
        <v>9</v>
      </c>
      <c r="H3">
        <v>4466</v>
      </c>
      <c r="I3" t="s">
        <v>4</v>
      </c>
      <c r="J3">
        <v>1</v>
      </c>
    </row>
    <row r="4" spans="1:17" x14ac:dyDescent="0.25">
      <c r="A4" t="s">
        <v>10</v>
      </c>
      <c r="B4" t="s">
        <v>11</v>
      </c>
      <c r="C4" t="s">
        <v>12</v>
      </c>
      <c r="D4" t="s">
        <v>3</v>
      </c>
      <c r="E4">
        <v>58</v>
      </c>
      <c r="F4" t="s">
        <v>1358</v>
      </c>
      <c r="G4" t="s">
        <v>13</v>
      </c>
      <c r="H4">
        <v>5786</v>
      </c>
      <c r="I4" t="s">
        <v>14</v>
      </c>
      <c r="J4">
        <v>0</v>
      </c>
    </row>
    <row r="5" spans="1:17" x14ac:dyDescent="0.25">
      <c r="A5" t="s">
        <v>15</v>
      </c>
      <c r="B5" t="s">
        <v>16</v>
      </c>
      <c r="C5" t="s">
        <v>17</v>
      </c>
      <c r="D5" t="s">
        <v>8</v>
      </c>
      <c r="E5">
        <v>23</v>
      </c>
      <c r="F5" t="s">
        <v>1359</v>
      </c>
      <c r="G5" t="s">
        <v>1364</v>
      </c>
      <c r="H5">
        <v>3403</v>
      </c>
      <c r="I5" t="s">
        <v>4</v>
      </c>
      <c r="J5">
        <v>2</v>
      </c>
      <c r="L5" s="19" t="s">
        <v>1416</v>
      </c>
      <c r="M5">
        <f>COUNTIFS(D:D,M1,I:I,N1,F:F,O1)</f>
        <v>110</v>
      </c>
    </row>
    <row r="6" spans="1:17" x14ac:dyDescent="0.25">
      <c r="A6" t="s">
        <v>18</v>
      </c>
      <c r="B6" t="s">
        <v>19</v>
      </c>
      <c r="C6" t="s">
        <v>20</v>
      </c>
      <c r="D6" t="s">
        <v>3</v>
      </c>
      <c r="E6">
        <v>21</v>
      </c>
      <c r="F6" t="s">
        <v>1359</v>
      </c>
      <c r="G6" t="s">
        <v>21</v>
      </c>
      <c r="H6">
        <v>693</v>
      </c>
      <c r="I6" t="s">
        <v>4</v>
      </c>
      <c r="J6">
        <v>0</v>
      </c>
    </row>
    <row r="7" spans="1:17" x14ac:dyDescent="0.25">
      <c r="A7" t="s">
        <v>22</v>
      </c>
      <c r="B7" t="s">
        <v>23</v>
      </c>
      <c r="C7" t="s">
        <v>24</v>
      </c>
      <c r="D7" t="s">
        <v>3</v>
      </c>
      <c r="E7">
        <v>38</v>
      </c>
      <c r="F7" t="s">
        <v>1357</v>
      </c>
      <c r="G7" t="s">
        <v>25</v>
      </c>
      <c r="H7">
        <v>3029</v>
      </c>
      <c r="I7" t="s">
        <v>14</v>
      </c>
      <c r="J7">
        <v>1</v>
      </c>
    </row>
    <row r="8" spans="1:17" x14ac:dyDescent="0.25">
      <c r="A8" t="s">
        <v>26</v>
      </c>
      <c r="B8" t="s">
        <v>27</v>
      </c>
      <c r="C8" t="s">
        <v>28</v>
      </c>
      <c r="D8" t="s">
        <v>8</v>
      </c>
      <c r="E8">
        <v>24</v>
      </c>
      <c r="F8" t="s">
        <v>1359</v>
      </c>
      <c r="G8" t="s">
        <v>29</v>
      </c>
      <c r="H8">
        <v>8927</v>
      </c>
      <c r="I8" t="s">
        <v>4</v>
      </c>
      <c r="J8">
        <v>5</v>
      </c>
      <c r="L8" t="s">
        <v>1418</v>
      </c>
      <c r="M8" t="s">
        <v>1419</v>
      </c>
    </row>
    <row r="9" spans="1:17" x14ac:dyDescent="0.25">
      <c r="A9" t="s">
        <v>30</v>
      </c>
      <c r="B9" t="s">
        <v>16</v>
      </c>
      <c r="C9" t="s">
        <v>31</v>
      </c>
      <c r="D9" t="s">
        <v>3</v>
      </c>
      <c r="E9">
        <v>30</v>
      </c>
      <c r="F9" t="s">
        <v>1359</v>
      </c>
      <c r="G9" t="s">
        <v>32</v>
      </c>
      <c r="H9">
        <v>916</v>
      </c>
      <c r="I9" t="s">
        <v>4</v>
      </c>
      <c r="J9">
        <v>1</v>
      </c>
      <c r="L9" t="str" cm="1">
        <f t="array" ref="L9:L10">_xlfn.UNIQUE(D2:D1001)</f>
        <v>Male</v>
      </c>
      <c r="M9">
        <f>SUMIF(D:D,L9,J:J)</f>
        <v>1263</v>
      </c>
    </row>
    <row r="10" spans="1:17" x14ac:dyDescent="0.25">
      <c r="A10" t="s">
        <v>33</v>
      </c>
      <c r="B10" t="s">
        <v>34</v>
      </c>
      <c r="C10" t="s">
        <v>35</v>
      </c>
      <c r="D10" t="s">
        <v>3</v>
      </c>
      <c r="E10">
        <v>38</v>
      </c>
      <c r="F10" t="s">
        <v>1357</v>
      </c>
      <c r="G10" t="s">
        <v>36</v>
      </c>
      <c r="H10">
        <v>8337</v>
      </c>
      <c r="I10" t="s">
        <v>4</v>
      </c>
      <c r="J10">
        <v>4</v>
      </c>
      <c r="L10" t="str">
        <v>Female</v>
      </c>
      <c r="M10">
        <f>SUMIF(D:D,L10,J:J)</f>
        <v>1184</v>
      </c>
    </row>
    <row r="11" spans="1:17" x14ac:dyDescent="0.25">
      <c r="A11" t="s">
        <v>37</v>
      </c>
      <c r="B11" t="s">
        <v>38</v>
      </c>
      <c r="C11" t="s">
        <v>39</v>
      </c>
      <c r="D11" t="s">
        <v>3</v>
      </c>
      <c r="E11">
        <v>60</v>
      </c>
      <c r="F11" t="s">
        <v>1358</v>
      </c>
      <c r="G11" t="s">
        <v>29</v>
      </c>
      <c r="H11">
        <v>2705</v>
      </c>
      <c r="I11" t="s">
        <v>4</v>
      </c>
      <c r="J11">
        <v>1</v>
      </c>
    </row>
    <row r="12" spans="1:17" x14ac:dyDescent="0.25">
      <c r="A12" t="s">
        <v>40</v>
      </c>
      <c r="B12" t="s">
        <v>41</v>
      </c>
      <c r="C12" t="s">
        <v>42</v>
      </c>
      <c r="D12" t="s">
        <v>8</v>
      </c>
      <c r="E12">
        <v>51</v>
      </c>
      <c r="F12" t="s">
        <v>1358</v>
      </c>
      <c r="G12" t="s">
        <v>43</v>
      </c>
      <c r="H12">
        <v>8411</v>
      </c>
      <c r="I12" t="s">
        <v>14</v>
      </c>
      <c r="J12">
        <v>0</v>
      </c>
    </row>
    <row r="13" spans="1:17" x14ac:dyDescent="0.25">
      <c r="A13" t="s">
        <v>44</v>
      </c>
      <c r="B13" t="s">
        <v>45</v>
      </c>
      <c r="C13" t="s">
        <v>46</v>
      </c>
      <c r="D13" t="s">
        <v>8</v>
      </c>
      <c r="E13">
        <v>59</v>
      </c>
      <c r="F13" t="s">
        <v>1358</v>
      </c>
      <c r="G13" t="s">
        <v>47</v>
      </c>
      <c r="H13">
        <v>8087</v>
      </c>
      <c r="I13" t="s">
        <v>14</v>
      </c>
      <c r="J13">
        <v>4</v>
      </c>
    </row>
    <row r="14" spans="1:17" x14ac:dyDescent="0.25">
      <c r="A14" t="s">
        <v>48</v>
      </c>
      <c r="B14" t="s">
        <v>49</v>
      </c>
      <c r="C14" t="s">
        <v>50</v>
      </c>
      <c r="D14" t="s">
        <v>8</v>
      </c>
      <c r="E14">
        <v>54</v>
      </c>
      <c r="F14" t="s">
        <v>1358</v>
      </c>
      <c r="G14" t="s">
        <v>51</v>
      </c>
      <c r="H14">
        <v>7929</v>
      </c>
      <c r="I14" t="s">
        <v>14</v>
      </c>
      <c r="J14">
        <v>2</v>
      </c>
      <c r="M14" t="s">
        <v>1420</v>
      </c>
      <c r="N14">
        <v>12</v>
      </c>
      <c r="O14">
        <v>12</v>
      </c>
      <c r="P14">
        <v>13</v>
      </c>
      <c r="Q14">
        <v>14</v>
      </c>
    </row>
    <row r="15" spans="1:17" x14ac:dyDescent="0.25">
      <c r="A15" t="s">
        <v>52</v>
      </c>
      <c r="B15" t="s">
        <v>53</v>
      </c>
      <c r="C15" t="s">
        <v>54</v>
      </c>
      <c r="D15" t="s">
        <v>8</v>
      </c>
      <c r="E15">
        <v>55</v>
      </c>
      <c r="F15" t="s">
        <v>1358</v>
      </c>
      <c r="G15" t="s">
        <v>55</v>
      </c>
      <c r="H15">
        <v>9278</v>
      </c>
      <c r="I15" t="s">
        <v>14</v>
      </c>
      <c r="J15">
        <v>2</v>
      </c>
      <c r="M15" t="s">
        <v>1421</v>
      </c>
      <c r="N15">
        <v>11</v>
      </c>
      <c r="O15">
        <v>56</v>
      </c>
      <c r="P15">
        <v>12</v>
      </c>
      <c r="Q15">
        <v>24</v>
      </c>
    </row>
    <row r="16" spans="1:17" x14ac:dyDescent="0.25">
      <c r="A16" t="s">
        <v>56</v>
      </c>
      <c r="B16" t="s">
        <v>57</v>
      </c>
      <c r="C16" t="s">
        <v>58</v>
      </c>
      <c r="D16" t="s">
        <v>8</v>
      </c>
      <c r="E16">
        <v>56</v>
      </c>
      <c r="F16" t="s">
        <v>1358</v>
      </c>
      <c r="G16" t="s">
        <v>59</v>
      </c>
      <c r="H16">
        <v>7868</v>
      </c>
      <c r="I16" t="s">
        <v>14</v>
      </c>
      <c r="J16">
        <v>1</v>
      </c>
      <c r="M16" t="s">
        <v>1422</v>
      </c>
      <c r="N16">
        <v>1</v>
      </c>
      <c r="O16">
        <v>45</v>
      </c>
      <c r="P16">
        <v>61</v>
      </c>
      <c r="Q16">
        <v>23</v>
      </c>
    </row>
    <row r="17" spans="1:14" x14ac:dyDescent="0.25">
      <c r="A17" t="s">
        <v>60</v>
      </c>
      <c r="B17" t="s">
        <v>61</v>
      </c>
      <c r="C17" t="s">
        <v>62</v>
      </c>
      <c r="D17" t="s">
        <v>3</v>
      </c>
      <c r="E17">
        <v>42</v>
      </c>
      <c r="F17" t="s">
        <v>1357</v>
      </c>
      <c r="G17" t="s">
        <v>63</v>
      </c>
      <c r="H17">
        <v>2264</v>
      </c>
      <c r="I17" t="s">
        <v>4</v>
      </c>
      <c r="J17">
        <v>3</v>
      </c>
    </row>
    <row r="18" spans="1:14" x14ac:dyDescent="0.25">
      <c r="A18" t="s">
        <v>64</v>
      </c>
      <c r="B18" t="s">
        <v>65</v>
      </c>
      <c r="C18" t="s">
        <v>66</v>
      </c>
      <c r="D18" t="s">
        <v>3</v>
      </c>
      <c r="E18">
        <v>48</v>
      </c>
      <c r="F18" t="s">
        <v>1357</v>
      </c>
      <c r="G18" t="s">
        <v>25</v>
      </c>
      <c r="H18">
        <v>2533</v>
      </c>
      <c r="I18" t="s">
        <v>14</v>
      </c>
      <c r="J18">
        <v>5</v>
      </c>
      <c r="M18" t="s">
        <v>1422</v>
      </c>
      <c r="N18" cm="1">
        <f t="array" ref="N18">SUM(VLOOKUP(M18,M14:Q16,{2,3,4,5},0))</f>
        <v>130</v>
      </c>
    </row>
    <row r="19" spans="1:14" x14ac:dyDescent="0.25">
      <c r="A19" t="s">
        <v>10</v>
      </c>
      <c r="B19" t="s">
        <v>67</v>
      </c>
      <c r="C19" t="s">
        <v>68</v>
      </c>
      <c r="D19" t="s">
        <v>3</v>
      </c>
      <c r="E19">
        <v>47</v>
      </c>
      <c r="F19" t="s">
        <v>1357</v>
      </c>
      <c r="G19" t="s">
        <v>69</v>
      </c>
      <c r="H19">
        <v>1378</v>
      </c>
      <c r="I19" t="s">
        <v>14</v>
      </c>
      <c r="J19">
        <v>4</v>
      </c>
    </row>
    <row r="20" spans="1:14" x14ac:dyDescent="0.25">
      <c r="A20" t="s">
        <v>70</v>
      </c>
      <c r="B20" t="s">
        <v>71</v>
      </c>
      <c r="C20" t="s">
        <v>72</v>
      </c>
      <c r="D20" t="s">
        <v>3</v>
      </c>
      <c r="E20">
        <v>56</v>
      </c>
      <c r="F20" t="s">
        <v>1358</v>
      </c>
      <c r="G20" t="s">
        <v>43</v>
      </c>
      <c r="H20">
        <v>6229</v>
      </c>
      <c r="I20" t="s">
        <v>14</v>
      </c>
      <c r="J20">
        <v>2</v>
      </c>
    </row>
    <row r="21" spans="1:14" x14ac:dyDescent="0.25">
      <c r="A21" t="s">
        <v>73</v>
      </c>
      <c r="B21" t="s">
        <v>74</v>
      </c>
      <c r="C21" t="s">
        <v>75</v>
      </c>
      <c r="D21" t="s">
        <v>3</v>
      </c>
      <c r="E21">
        <v>57</v>
      </c>
      <c r="F21" t="s">
        <v>1358</v>
      </c>
      <c r="G21" t="s">
        <v>76</v>
      </c>
      <c r="H21">
        <v>5461</v>
      </c>
      <c r="I21" t="s">
        <v>14</v>
      </c>
      <c r="J21">
        <v>2</v>
      </c>
    </row>
    <row r="22" spans="1:14" x14ac:dyDescent="0.25">
      <c r="A22" t="s">
        <v>77</v>
      </c>
      <c r="B22" t="s">
        <v>78</v>
      </c>
      <c r="C22" t="s">
        <v>79</v>
      </c>
      <c r="D22" t="s">
        <v>3</v>
      </c>
      <c r="E22">
        <v>47</v>
      </c>
      <c r="F22" t="s">
        <v>1357</v>
      </c>
      <c r="G22" t="s">
        <v>80</v>
      </c>
      <c r="H22">
        <v>931</v>
      </c>
      <c r="I22" t="s">
        <v>4</v>
      </c>
      <c r="J22">
        <v>3</v>
      </c>
    </row>
    <row r="23" spans="1:14" x14ac:dyDescent="0.25">
      <c r="A23" t="s">
        <v>44</v>
      </c>
      <c r="B23" t="s">
        <v>16</v>
      </c>
      <c r="C23" t="s">
        <v>81</v>
      </c>
      <c r="D23" t="s">
        <v>8</v>
      </c>
      <c r="E23">
        <v>43</v>
      </c>
      <c r="F23" t="s">
        <v>1357</v>
      </c>
      <c r="G23" t="s">
        <v>82</v>
      </c>
      <c r="H23">
        <v>5120</v>
      </c>
      <c r="I23" t="s">
        <v>14</v>
      </c>
      <c r="J23">
        <v>0</v>
      </c>
    </row>
    <row r="24" spans="1:14" x14ac:dyDescent="0.25">
      <c r="A24" t="s">
        <v>83</v>
      </c>
      <c r="B24" t="s">
        <v>84</v>
      </c>
      <c r="C24" t="s">
        <v>85</v>
      </c>
      <c r="D24" t="s">
        <v>3</v>
      </c>
      <c r="E24">
        <v>26</v>
      </c>
      <c r="F24" t="s">
        <v>1359</v>
      </c>
      <c r="G24" t="s">
        <v>86</v>
      </c>
      <c r="H24">
        <v>9039</v>
      </c>
      <c r="I24" t="s">
        <v>4</v>
      </c>
      <c r="J24">
        <v>4</v>
      </c>
    </row>
    <row r="25" spans="1:14" x14ac:dyDescent="0.25">
      <c r="A25" t="s">
        <v>87</v>
      </c>
      <c r="B25" t="s">
        <v>88</v>
      </c>
      <c r="C25" t="s">
        <v>89</v>
      </c>
      <c r="D25" t="s">
        <v>3</v>
      </c>
      <c r="E25">
        <v>45</v>
      </c>
      <c r="F25" t="s">
        <v>1357</v>
      </c>
      <c r="G25" t="s">
        <v>82</v>
      </c>
      <c r="H25">
        <v>4813</v>
      </c>
      <c r="I25" t="s">
        <v>4</v>
      </c>
      <c r="J25">
        <v>1</v>
      </c>
    </row>
    <row r="26" spans="1:14" x14ac:dyDescent="0.25">
      <c r="A26" t="s">
        <v>90</v>
      </c>
      <c r="B26" t="s">
        <v>91</v>
      </c>
      <c r="C26" t="s">
        <v>92</v>
      </c>
      <c r="D26" t="s">
        <v>8</v>
      </c>
      <c r="E26">
        <v>58</v>
      </c>
      <c r="F26" t="s">
        <v>1358</v>
      </c>
      <c r="G26" t="s">
        <v>32</v>
      </c>
      <c r="H26">
        <v>4856</v>
      </c>
      <c r="I26" t="s">
        <v>4</v>
      </c>
      <c r="J26">
        <v>5</v>
      </c>
    </row>
    <row r="27" spans="1:14" x14ac:dyDescent="0.25">
      <c r="A27" t="s">
        <v>93</v>
      </c>
      <c r="B27" t="s">
        <v>74</v>
      </c>
      <c r="C27" t="s">
        <v>94</v>
      </c>
      <c r="D27" t="s">
        <v>3</v>
      </c>
      <c r="E27">
        <v>24</v>
      </c>
      <c r="F27" t="s">
        <v>1359</v>
      </c>
      <c r="G27" t="s">
        <v>36</v>
      </c>
      <c r="H27">
        <v>4406</v>
      </c>
      <c r="I27" t="s">
        <v>4</v>
      </c>
      <c r="J27">
        <v>5</v>
      </c>
    </row>
    <row r="28" spans="1:14" x14ac:dyDescent="0.25">
      <c r="A28" t="s">
        <v>48</v>
      </c>
      <c r="B28" t="s">
        <v>95</v>
      </c>
      <c r="C28" t="s">
        <v>96</v>
      </c>
      <c r="D28" t="s">
        <v>8</v>
      </c>
      <c r="E28">
        <v>31</v>
      </c>
      <c r="F28" t="s">
        <v>1357</v>
      </c>
      <c r="G28" t="s">
        <v>63</v>
      </c>
      <c r="H28">
        <v>2213</v>
      </c>
      <c r="I28" t="s">
        <v>4</v>
      </c>
      <c r="J28">
        <v>3</v>
      </c>
    </row>
    <row r="29" spans="1:14" x14ac:dyDescent="0.25">
      <c r="A29" t="s">
        <v>97</v>
      </c>
      <c r="B29" t="s">
        <v>98</v>
      </c>
      <c r="C29" t="s">
        <v>99</v>
      </c>
      <c r="D29" t="s">
        <v>8</v>
      </c>
      <c r="E29">
        <v>46</v>
      </c>
      <c r="F29" t="s">
        <v>1357</v>
      </c>
      <c r="G29" t="s">
        <v>1364</v>
      </c>
      <c r="H29">
        <v>6890</v>
      </c>
      <c r="I29" t="s">
        <v>14</v>
      </c>
      <c r="J29">
        <v>0</v>
      </c>
    </row>
    <row r="30" spans="1:14" x14ac:dyDescent="0.25">
      <c r="A30" t="s">
        <v>100</v>
      </c>
      <c r="B30" t="s">
        <v>101</v>
      </c>
      <c r="C30" t="s">
        <v>102</v>
      </c>
      <c r="D30" t="s">
        <v>8</v>
      </c>
      <c r="E30">
        <v>58</v>
      </c>
      <c r="F30" t="s">
        <v>1358</v>
      </c>
      <c r="G30" t="s">
        <v>103</v>
      </c>
      <c r="H30">
        <v>4702</v>
      </c>
      <c r="I30" t="s">
        <v>14</v>
      </c>
      <c r="J30">
        <v>0</v>
      </c>
    </row>
    <row r="31" spans="1:14" x14ac:dyDescent="0.25">
      <c r="A31" t="s">
        <v>104</v>
      </c>
      <c r="B31" t="s">
        <v>105</v>
      </c>
      <c r="C31" t="s">
        <v>106</v>
      </c>
      <c r="D31" t="s">
        <v>3</v>
      </c>
      <c r="E31">
        <v>37</v>
      </c>
      <c r="F31" t="s">
        <v>1357</v>
      </c>
      <c r="G31" t="s">
        <v>107</v>
      </c>
      <c r="H31">
        <v>9026</v>
      </c>
      <c r="I31" t="s">
        <v>4</v>
      </c>
      <c r="J31">
        <v>1</v>
      </c>
    </row>
    <row r="32" spans="1:14" x14ac:dyDescent="0.25">
      <c r="A32" t="s">
        <v>108</v>
      </c>
      <c r="B32" t="s">
        <v>65</v>
      </c>
      <c r="C32" t="s">
        <v>109</v>
      </c>
      <c r="D32" t="s">
        <v>3</v>
      </c>
      <c r="E32">
        <v>49</v>
      </c>
      <c r="F32" t="s">
        <v>1357</v>
      </c>
      <c r="G32" t="s">
        <v>82</v>
      </c>
      <c r="H32">
        <v>5998</v>
      </c>
      <c r="I32" t="s">
        <v>4</v>
      </c>
      <c r="J32">
        <v>2</v>
      </c>
    </row>
    <row r="33" spans="1:10" x14ac:dyDescent="0.25">
      <c r="A33" t="s">
        <v>100</v>
      </c>
      <c r="B33" t="s">
        <v>38</v>
      </c>
      <c r="C33" t="s">
        <v>110</v>
      </c>
      <c r="D33" t="s">
        <v>8</v>
      </c>
      <c r="E33">
        <v>59</v>
      </c>
      <c r="F33" t="s">
        <v>1358</v>
      </c>
      <c r="G33" t="s">
        <v>13</v>
      </c>
      <c r="H33">
        <v>8832</v>
      </c>
      <c r="I33" t="s">
        <v>4</v>
      </c>
      <c r="J33">
        <v>3</v>
      </c>
    </row>
    <row r="34" spans="1:10" x14ac:dyDescent="0.25">
      <c r="A34" t="s">
        <v>111</v>
      </c>
      <c r="B34" t="s">
        <v>112</v>
      </c>
      <c r="C34" t="s">
        <v>113</v>
      </c>
      <c r="D34" t="s">
        <v>8</v>
      </c>
      <c r="E34">
        <v>51</v>
      </c>
      <c r="F34" t="s">
        <v>1358</v>
      </c>
      <c r="G34" t="s">
        <v>114</v>
      </c>
      <c r="H34">
        <v>3578</v>
      </c>
      <c r="I34" t="s">
        <v>14</v>
      </c>
      <c r="J34">
        <v>1</v>
      </c>
    </row>
    <row r="35" spans="1:10" x14ac:dyDescent="0.25">
      <c r="A35" t="s">
        <v>115</v>
      </c>
      <c r="B35" t="s">
        <v>116</v>
      </c>
      <c r="C35" t="s">
        <v>117</v>
      </c>
      <c r="D35" t="s">
        <v>3</v>
      </c>
      <c r="E35">
        <v>47</v>
      </c>
      <c r="F35" t="s">
        <v>1357</v>
      </c>
      <c r="G35" t="s">
        <v>118</v>
      </c>
      <c r="H35">
        <v>2060</v>
      </c>
      <c r="I35" t="s">
        <v>4</v>
      </c>
      <c r="J35">
        <v>4</v>
      </c>
    </row>
    <row r="36" spans="1:10" x14ac:dyDescent="0.25">
      <c r="A36" t="s">
        <v>119</v>
      </c>
      <c r="B36" t="s">
        <v>120</v>
      </c>
      <c r="C36" t="s">
        <v>121</v>
      </c>
      <c r="D36" t="s">
        <v>8</v>
      </c>
      <c r="E36">
        <v>56</v>
      </c>
      <c r="F36" t="s">
        <v>1358</v>
      </c>
      <c r="G36" t="s">
        <v>80</v>
      </c>
      <c r="H36">
        <v>9072</v>
      </c>
      <c r="I36" t="s">
        <v>14</v>
      </c>
      <c r="J36">
        <v>2</v>
      </c>
    </row>
    <row r="37" spans="1:10" x14ac:dyDescent="0.25">
      <c r="A37" t="s">
        <v>108</v>
      </c>
      <c r="B37" t="s">
        <v>122</v>
      </c>
      <c r="C37" t="s">
        <v>123</v>
      </c>
      <c r="D37" t="s">
        <v>3</v>
      </c>
      <c r="E37">
        <v>21</v>
      </c>
      <c r="F37" t="s">
        <v>1359</v>
      </c>
      <c r="G37" t="s">
        <v>124</v>
      </c>
      <c r="H37">
        <v>8115</v>
      </c>
      <c r="I37" t="s">
        <v>14</v>
      </c>
      <c r="J37">
        <v>1</v>
      </c>
    </row>
    <row r="38" spans="1:10" x14ac:dyDescent="0.25">
      <c r="A38" t="s">
        <v>125</v>
      </c>
      <c r="B38" t="s">
        <v>126</v>
      </c>
      <c r="C38" t="s">
        <v>127</v>
      </c>
      <c r="D38" t="s">
        <v>8</v>
      </c>
      <c r="E38">
        <v>19</v>
      </c>
      <c r="F38" t="s">
        <v>1359</v>
      </c>
      <c r="G38" t="s">
        <v>128</v>
      </c>
      <c r="H38">
        <v>4424</v>
      </c>
      <c r="I38" t="s">
        <v>4</v>
      </c>
      <c r="J38">
        <v>4</v>
      </c>
    </row>
    <row r="39" spans="1:10" x14ac:dyDescent="0.25">
      <c r="A39" t="s">
        <v>129</v>
      </c>
      <c r="B39" t="s">
        <v>57</v>
      </c>
      <c r="C39" t="s">
        <v>130</v>
      </c>
      <c r="D39" t="s">
        <v>3</v>
      </c>
      <c r="E39">
        <v>58</v>
      </c>
      <c r="F39" t="s">
        <v>1358</v>
      </c>
      <c r="G39" t="s">
        <v>131</v>
      </c>
      <c r="H39">
        <v>4754</v>
      </c>
      <c r="I39" t="s">
        <v>4</v>
      </c>
      <c r="J39">
        <v>3</v>
      </c>
    </row>
    <row r="40" spans="1:10" x14ac:dyDescent="0.25">
      <c r="A40" t="s">
        <v>125</v>
      </c>
      <c r="B40" t="s">
        <v>132</v>
      </c>
      <c r="C40" t="s">
        <v>133</v>
      </c>
      <c r="D40" t="s">
        <v>8</v>
      </c>
      <c r="E40">
        <v>24</v>
      </c>
      <c r="F40" t="s">
        <v>1359</v>
      </c>
      <c r="G40" t="s">
        <v>134</v>
      </c>
      <c r="H40">
        <v>6531</v>
      </c>
      <c r="I40" t="s">
        <v>14</v>
      </c>
      <c r="J40">
        <v>4</v>
      </c>
    </row>
    <row r="41" spans="1:10" x14ac:dyDescent="0.25">
      <c r="A41" t="s">
        <v>135</v>
      </c>
      <c r="B41" t="s">
        <v>136</v>
      </c>
      <c r="C41" t="s">
        <v>137</v>
      </c>
      <c r="D41" t="s">
        <v>3</v>
      </c>
      <c r="E41">
        <v>23</v>
      </c>
      <c r="F41" t="s">
        <v>1359</v>
      </c>
      <c r="G41" t="s">
        <v>13</v>
      </c>
      <c r="H41">
        <v>9654</v>
      </c>
      <c r="I41" t="s">
        <v>14</v>
      </c>
      <c r="J41">
        <v>2</v>
      </c>
    </row>
    <row r="42" spans="1:10" x14ac:dyDescent="0.25">
      <c r="A42" t="s">
        <v>138</v>
      </c>
      <c r="B42" t="s">
        <v>139</v>
      </c>
      <c r="C42" t="s">
        <v>140</v>
      </c>
      <c r="D42" t="s">
        <v>3</v>
      </c>
      <c r="E42">
        <v>53</v>
      </c>
      <c r="F42" t="s">
        <v>1358</v>
      </c>
      <c r="G42" t="s">
        <v>43</v>
      </c>
      <c r="H42">
        <v>5963</v>
      </c>
      <c r="I42" t="s">
        <v>14</v>
      </c>
      <c r="J42">
        <v>0</v>
      </c>
    </row>
    <row r="43" spans="1:10" x14ac:dyDescent="0.25">
      <c r="A43" t="s">
        <v>141</v>
      </c>
      <c r="B43" t="s">
        <v>142</v>
      </c>
      <c r="C43" t="s">
        <v>143</v>
      </c>
      <c r="D43" t="s">
        <v>8</v>
      </c>
      <c r="E43">
        <v>46</v>
      </c>
      <c r="F43" t="s">
        <v>1357</v>
      </c>
      <c r="G43" t="s">
        <v>86</v>
      </c>
      <c r="H43">
        <v>1419</v>
      </c>
      <c r="I43" t="s">
        <v>4</v>
      </c>
      <c r="J43">
        <v>5</v>
      </c>
    </row>
    <row r="44" spans="1:10" x14ac:dyDescent="0.25">
      <c r="A44" t="s">
        <v>11</v>
      </c>
      <c r="B44" t="s">
        <v>16</v>
      </c>
      <c r="C44" t="s">
        <v>144</v>
      </c>
      <c r="D44" t="s">
        <v>3</v>
      </c>
      <c r="E44">
        <v>49</v>
      </c>
      <c r="F44" t="s">
        <v>1357</v>
      </c>
      <c r="G44" t="s">
        <v>9</v>
      </c>
      <c r="H44">
        <v>9406</v>
      </c>
      <c r="I44" t="s">
        <v>4</v>
      </c>
      <c r="J44">
        <v>0</v>
      </c>
    </row>
    <row r="45" spans="1:10" x14ac:dyDescent="0.25">
      <c r="A45" t="s">
        <v>145</v>
      </c>
      <c r="B45" t="s">
        <v>16</v>
      </c>
      <c r="C45" t="s">
        <v>146</v>
      </c>
      <c r="D45" t="s">
        <v>8</v>
      </c>
      <c r="E45">
        <v>33</v>
      </c>
      <c r="F45" t="s">
        <v>1357</v>
      </c>
      <c r="G45" t="s">
        <v>114</v>
      </c>
      <c r="H45">
        <v>2254</v>
      </c>
      <c r="I45" t="s">
        <v>4</v>
      </c>
      <c r="J45">
        <v>2</v>
      </c>
    </row>
    <row r="46" spans="1:10" x14ac:dyDescent="0.25">
      <c r="A46" t="s">
        <v>18</v>
      </c>
      <c r="B46" t="s">
        <v>122</v>
      </c>
      <c r="C46" t="s">
        <v>147</v>
      </c>
      <c r="D46" t="s">
        <v>3</v>
      </c>
      <c r="E46">
        <v>46</v>
      </c>
      <c r="F46" t="s">
        <v>1357</v>
      </c>
      <c r="G46" t="s">
        <v>21</v>
      </c>
      <c r="H46">
        <v>8547</v>
      </c>
      <c r="I46" t="s">
        <v>4</v>
      </c>
      <c r="J46">
        <v>4</v>
      </c>
    </row>
    <row r="47" spans="1:10" x14ac:dyDescent="0.25">
      <c r="A47" t="s">
        <v>26</v>
      </c>
      <c r="B47" t="s">
        <v>148</v>
      </c>
      <c r="C47" t="s">
        <v>149</v>
      </c>
      <c r="D47" t="s">
        <v>8</v>
      </c>
      <c r="E47">
        <v>33</v>
      </c>
      <c r="F47" t="s">
        <v>1357</v>
      </c>
      <c r="G47" t="s">
        <v>150</v>
      </c>
      <c r="H47">
        <v>5427</v>
      </c>
      <c r="I47" t="s">
        <v>4</v>
      </c>
      <c r="J47">
        <v>4</v>
      </c>
    </row>
    <row r="48" spans="1:10" x14ac:dyDescent="0.25">
      <c r="A48" t="s">
        <v>151</v>
      </c>
      <c r="B48" t="s">
        <v>152</v>
      </c>
      <c r="C48" t="s">
        <v>153</v>
      </c>
      <c r="D48" t="s">
        <v>8</v>
      </c>
      <c r="E48">
        <v>29</v>
      </c>
      <c r="F48" t="s">
        <v>1359</v>
      </c>
      <c r="G48" t="s">
        <v>25</v>
      </c>
      <c r="H48">
        <v>523</v>
      </c>
      <c r="I48" t="s">
        <v>4</v>
      </c>
      <c r="J48">
        <v>0</v>
      </c>
    </row>
    <row r="49" spans="1:10" x14ac:dyDescent="0.25">
      <c r="A49" t="s">
        <v>154</v>
      </c>
      <c r="B49" t="s">
        <v>155</v>
      </c>
      <c r="C49" t="s">
        <v>156</v>
      </c>
      <c r="D49" t="s">
        <v>8</v>
      </c>
      <c r="E49">
        <v>19</v>
      </c>
      <c r="F49" t="s">
        <v>1359</v>
      </c>
      <c r="G49" t="s">
        <v>21</v>
      </c>
      <c r="H49">
        <v>1832</v>
      </c>
      <c r="I49" t="s">
        <v>14</v>
      </c>
      <c r="J49">
        <v>0</v>
      </c>
    </row>
    <row r="50" spans="1:10" x14ac:dyDescent="0.25">
      <c r="A50" t="s">
        <v>157</v>
      </c>
      <c r="B50" t="s">
        <v>158</v>
      </c>
      <c r="C50" t="s">
        <v>159</v>
      </c>
      <c r="D50" t="s">
        <v>3</v>
      </c>
      <c r="E50">
        <v>53</v>
      </c>
      <c r="F50" t="s">
        <v>1358</v>
      </c>
      <c r="G50" t="s">
        <v>160</v>
      </c>
      <c r="H50">
        <v>2846</v>
      </c>
      <c r="I50" t="s">
        <v>14</v>
      </c>
      <c r="J50">
        <v>1</v>
      </c>
    </row>
    <row r="51" spans="1:10" x14ac:dyDescent="0.25">
      <c r="A51" t="s">
        <v>161</v>
      </c>
      <c r="B51" t="s">
        <v>162</v>
      </c>
      <c r="C51" t="s">
        <v>163</v>
      </c>
      <c r="D51" t="s">
        <v>8</v>
      </c>
      <c r="E51">
        <v>60</v>
      </c>
      <c r="F51" t="s">
        <v>1358</v>
      </c>
      <c r="G51" t="s">
        <v>118</v>
      </c>
      <c r="H51">
        <v>960</v>
      </c>
      <c r="I51" t="s">
        <v>14</v>
      </c>
      <c r="J51">
        <v>5</v>
      </c>
    </row>
    <row r="52" spans="1:10" x14ac:dyDescent="0.25">
      <c r="A52" t="s">
        <v>125</v>
      </c>
      <c r="B52" t="s">
        <v>23</v>
      </c>
      <c r="C52" t="s">
        <v>164</v>
      </c>
      <c r="D52" t="s">
        <v>8</v>
      </c>
      <c r="E52">
        <v>19</v>
      </c>
      <c r="F52" t="s">
        <v>1359</v>
      </c>
      <c r="G52" t="s">
        <v>165</v>
      </c>
      <c r="H52">
        <v>6857</v>
      </c>
      <c r="I52" t="s">
        <v>4</v>
      </c>
      <c r="J52">
        <v>2</v>
      </c>
    </row>
    <row r="53" spans="1:10" x14ac:dyDescent="0.25">
      <c r="A53" t="s">
        <v>166</v>
      </c>
      <c r="B53" t="s">
        <v>167</v>
      </c>
      <c r="C53" t="s">
        <v>168</v>
      </c>
      <c r="D53" t="s">
        <v>3</v>
      </c>
      <c r="E53">
        <v>57</v>
      </c>
      <c r="F53" t="s">
        <v>1358</v>
      </c>
      <c r="G53" t="s">
        <v>169</v>
      </c>
      <c r="H53">
        <v>7942</v>
      </c>
      <c r="I53" t="s">
        <v>14</v>
      </c>
      <c r="J53">
        <v>1</v>
      </c>
    </row>
    <row r="54" spans="1:10" x14ac:dyDescent="0.25">
      <c r="A54" t="s">
        <v>170</v>
      </c>
      <c r="B54" t="s">
        <v>158</v>
      </c>
      <c r="C54" t="s">
        <v>171</v>
      </c>
      <c r="D54" t="s">
        <v>8</v>
      </c>
      <c r="E54">
        <v>20</v>
      </c>
      <c r="F54" t="s">
        <v>1359</v>
      </c>
      <c r="G54" t="s">
        <v>172</v>
      </c>
      <c r="H54">
        <v>8703</v>
      </c>
      <c r="I54" t="s">
        <v>4</v>
      </c>
      <c r="J54">
        <v>4</v>
      </c>
    </row>
    <row r="55" spans="1:10" x14ac:dyDescent="0.25">
      <c r="A55" t="s">
        <v>173</v>
      </c>
      <c r="B55" t="s">
        <v>174</v>
      </c>
      <c r="C55" t="s">
        <v>175</v>
      </c>
      <c r="D55" t="s">
        <v>3</v>
      </c>
      <c r="E55">
        <v>60</v>
      </c>
      <c r="F55" t="s">
        <v>1358</v>
      </c>
      <c r="G55" t="s">
        <v>134</v>
      </c>
      <c r="H55">
        <v>4057</v>
      </c>
      <c r="I55" t="s">
        <v>14</v>
      </c>
      <c r="J55">
        <v>1</v>
      </c>
    </row>
    <row r="56" spans="1:10" x14ac:dyDescent="0.25">
      <c r="A56" t="s">
        <v>176</v>
      </c>
      <c r="B56" t="s">
        <v>177</v>
      </c>
      <c r="C56" t="s">
        <v>178</v>
      </c>
      <c r="D56" t="s">
        <v>3</v>
      </c>
      <c r="E56">
        <v>59</v>
      </c>
      <c r="F56" t="s">
        <v>1358</v>
      </c>
      <c r="G56" t="s">
        <v>63</v>
      </c>
      <c r="H56">
        <v>6452</v>
      </c>
      <c r="I56" t="s">
        <v>14</v>
      </c>
      <c r="J56">
        <v>2</v>
      </c>
    </row>
    <row r="57" spans="1:10" x14ac:dyDescent="0.25">
      <c r="A57" t="s">
        <v>179</v>
      </c>
      <c r="B57" t="s">
        <v>180</v>
      </c>
      <c r="C57" t="s">
        <v>181</v>
      </c>
      <c r="D57" t="s">
        <v>3</v>
      </c>
      <c r="E57">
        <v>42</v>
      </c>
      <c r="F57" t="s">
        <v>1357</v>
      </c>
      <c r="G57" t="s">
        <v>182</v>
      </c>
      <c r="H57">
        <v>7282</v>
      </c>
      <c r="I57" t="s">
        <v>4</v>
      </c>
      <c r="J57">
        <v>1</v>
      </c>
    </row>
    <row r="58" spans="1:10" x14ac:dyDescent="0.25">
      <c r="A58" t="s">
        <v>183</v>
      </c>
      <c r="B58" t="s">
        <v>84</v>
      </c>
      <c r="C58" t="s">
        <v>184</v>
      </c>
      <c r="D58" t="s">
        <v>3</v>
      </c>
      <c r="E58">
        <v>34</v>
      </c>
      <c r="F58" t="s">
        <v>1357</v>
      </c>
      <c r="G58" t="s">
        <v>172</v>
      </c>
      <c r="H58">
        <v>8791</v>
      </c>
      <c r="I58" t="s">
        <v>4</v>
      </c>
      <c r="J58">
        <v>2</v>
      </c>
    </row>
    <row r="59" spans="1:10" x14ac:dyDescent="0.25">
      <c r="A59" t="s">
        <v>90</v>
      </c>
      <c r="B59" t="s">
        <v>185</v>
      </c>
      <c r="C59" t="s">
        <v>186</v>
      </c>
      <c r="D59" t="s">
        <v>8</v>
      </c>
      <c r="E59">
        <v>59</v>
      </c>
      <c r="F59" t="s">
        <v>1358</v>
      </c>
      <c r="G59" t="s">
        <v>187</v>
      </c>
      <c r="H59">
        <v>5011</v>
      </c>
      <c r="I59" t="s">
        <v>14</v>
      </c>
      <c r="J59">
        <v>1</v>
      </c>
    </row>
    <row r="60" spans="1:10" x14ac:dyDescent="0.25">
      <c r="A60" t="s">
        <v>188</v>
      </c>
      <c r="B60" t="s">
        <v>158</v>
      </c>
      <c r="C60" t="s">
        <v>189</v>
      </c>
      <c r="D60" t="s">
        <v>8</v>
      </c>
      <c r="E60">
        <v>43</v>
      </c>
      <c r="F60" t="s">
        <v>1357</v>
      </c>
      <c r="G60" t="s">
        <v>131</v>
      </c>
      <c r="H60">
        <v>5855</v>
      </c>
      <c r="I60" t="s">
        <v>14</v>
      </c>
      <c r="J60">
        <v>4</v>
      </c>
    </row>
    <row r="61" spans="1:10" x14ac:dyDescent="0.25">
      <c r="A61" t="s">
        <v>190</v>
      </c>
      <c r="B61" t="s">
        <v>139</v>
      </c>
      <c r="C61" t="s">
        <v>191</v>
      </c>
      <c r="D61" t="s">
        <v>8</v>
      </c>
      <c r="E61">
        <v>36</v>
      </c>
      <c r="F61" t="s">
        <v>1357</v>
      </c>
      <c r="G61" t="s">
        <v>43</v>
      </c>
      <c r="H61">
        <v>3729</v>
      </c>
      <c r="I61" t="s">
        <v>4</v>
      </c>
      <c r="J61">
        <v>3</v>
      </c>
    </row>
    <row r="62" spans="1:10" x14ac:dyDescent="0.25">
      <c r="A62" t="s">
        <v>192</v>
      </c>
      <c r="B62" t="s">
        <v>180</v>
      </c>
      <c r="C62" t="s">
        <v>193</v>
      </c>
      <c r="D62" t="s">
        <v>8</v>
      </c>
      <c r="E62">
        <v>58</v>
      </c>
      <c r="F62" t="s">
        <v>1358</v>
      </c>
      <c r="G62" t="s">
        <v>194</v>
      </c>
      <c r="H62">
        <v>8183</v>
      </c>
      <c r="I62" t="s">
        <v>4</v>
      </c>
      <c r="J62">
        <v>3</v>
      </c>
    </row>
    <row r="63" spans="1:10" x14ac:dyDescent="0.25">
      <c r="A63" t="s">
        <v>195</v>
      </c>
      <c r="B63" t="s">
        <v>38</v>
      </c>
      <c r="C63" t="s">
        <v>196</v>
      </c>
      <c r="D63" t="s">
        <v>3</v>
      </c>
      <c r="E63">
        <v>55</v>
      </c>
      <c r="F63" t="s">
        <v>1358</v>
      </c>
      <c r="G63" t="s">
        <v>197</v>
      </c>
      <c r="H63">
        <v>1912</v>
      </c>
      <c r="I63" t="s">
        <v>14</v>
      </c>
      <c r="J63">
        <v>4</v>
      </c>
    </row>
    <row r="64" spans="1:10" x14ac:dyDescent="0.25">
      <c r="A64" t="s">
        <v>5</v>
      </c>
      <c r="B64" t="s">
        <v>67</v>
      </c>
      <c r="C64" t="s">
        <v>198</v>
      </c>
      <c r="D64" t="s">
        <v>8</v>
      </c>
      <c r="E64">
        <v>58</v>
      </c>
      <c r="F64" t="s">
        <v>1358</v>
      </c>
      <c r="G64" t="s">
        <v>199</v>
      </c>
      <c r="H64">
        <v>3558</v>
      </c>
      <c r="I64" t="s">
        <v>4</v>
      </c>
      <c r="J64">
        <v>4</v>
      </c>
    </row>
    <row r="65" spans="1:10" x14ac:dyDescent="0.25">
      <c r="A65" t="s">
        <v>200</v>
      </c>
      <c r="B65" t="s">
        <v>201</v>
      </c>
      <c r="C65" t="s">
        <v>202</v>
      </c>
      <c r="D65" t="s">
        <v>3</v>
      </c>
      <c r="E65">
        <v>26</v>
      </c>
      <c r="F65" t="s">
        <v>1359</v>
      </c>
      <c r="G65" t="s">
        <v>25</v>
      </c>
      <c r="H65">
        <v>5245</v>
      </c>
      <c r="I65" t="s">
        <v>14</v>
      </c>
      <c r="J65">
        <v>0</v>
      </c>
    </row>
    <row r="66" spans="1:10" x14ac:dyDescent="0.25">
      <c r="A66" t="s">
        <v>203</v>
      </c>
      <c r="B66" t="s">
        <v>204</v>
      </c>
      <c r="C66" t="s">
        <v>205</v>
      </c>
      <c r="D66" t="s">
        <v>8</v>
      </c>
      <c r="E66">
        <v>35</v>
      </c>
      <c r="F66" t="s">
        <v>1357</v>
      </c>
      <c r="G66" t="s">
        <v>13</v>
      </c>
      <c r="H66">
        <v>9627</v>
      </c>
      <c r="I66" t="s">
        <v>4</v>
      </c>
      <c r="J66">
        <v>0</v>
      </c>
    </row>
    <row r="67" spans="1:10" x14ac:dyDescent="0.25">
      <c r="A67" t="s">
        <v>206</v>
      </c>
      <c r="B67" t="s">
        <v>174</v>
      </c>
      <c r="C67" t="s">
        <v>207</v>
      </c>
      <c r="D67" t="s">
        <v>3</v>
      </c>
      <c r="E67">
        <v>53</v>
      </c>
      <c r="F67" t="s">
        <v>1358</v>
      </c>
      <c r="G67" t="s">
        <v>160</v>
      </c>
      <c r="H67">
        <v>9507</v>
      </c>
      <c r="I67" t="s">
        <v>14</v>
      </c>
      <c r="J67">
        <v>0</v>
      </c>
    </row>
    <row r="68" spans="1:10" x14ac:dyDescent="0.25">
      <c r="A68" t="s">
        <v>33</v>
      </c>
      <c r="B68" t="s">
        <v>136</v>
      </c>
      <c r="C68" t="s">
        <v>208</v>
      </c>
      <c r="D68" t="s">
        <v>3</v>
      </c>
      <c r="E68">
        <v>21</v>
      </c>
      <c r="F68" t="s">
        <v>1359</v>
      </c>
      <c r="G68" t="s">
        <v>36</v>
      </c>
      <c r="H68">
        <v>8410</v>
      </c>
      <c r="I68" t="s">
        <v>14</v>
      </c>
      <c r="J68">
        <v>5</v>
      </c>
    </row>
    <row r="69" spans="1:10" x14ac:dyDescent="0.25">
      <c r="A69" t="s">
        <v>209</v>
      </c>
      <c r="B69" t="s">
        <v>1</v>
      </c>
      <c r="C69" t="s">
        <v>210</v>
      </c>
      <c r="D69" t="s">
        <v>8</v>
      </c>
      <c r="E69">
        <v>29</v>
      </c>
      <c r="F69" t="s">
        <v>1359</v>
      </c>
      <c r="G69" t="s">
        <v>211</v>
      </c>
      <c r="H69">
        <v>750</v>
      </c>
      <c r="I69" t="s">
        <v>14</v>
      </c>
      <c r="J69">
        <v>1</v>
      </c>
    </row>
    <row r="70" spans="1:10" x14ac:dyDescent="0.25">
      <c r="A70" t="s">
        <v>212</v>
      </c>
      <c r="B70" t="s">
        <v>142</v>
      </c>
      <c r="C70" t="s">
        <v>213</v>
      </c>
      <c r="D70" t="s">
        <v>8</v>
      </c>
      <c r="E70">
        <v>48</v>
      </c>
      <c r="F70" t="s">
        <v>1357</v>
      </c>
      <c r="G70" t="s">
        <v>13</v>
      </c>
      <c r="H70">
        <v>7518</v>
      </c>
      <c r="I70" t="s">
        <v>4</v>
      </c>
      <c r="J70">
        <v>5</v>
      </c>
    </row>
    <row r="71" spans="1:10" x14ac:dyDescent="0.25">
      <c r="A71" t="s">
        <v>214</v>
      </c>
      <c r="B71" t="s">
        <v>215</v>
      </c>
      <c r="C71" t="s">
        <v>216</v>
      </c>
      <c r="D71" t="s">
        <v>3</v>
      </c>
      <c r="E71">
        <v>47</v>
      </c>
      <c r="F71" t="s">
        <v>1357</v>
      </c>
      <c r="G71" t="s">
        <v>217</v>
      </c>
      <c r="H71">
        <v>1280</v>
      </c>
      <c r="I71" t="s">
        <v>14</v>
      </c>
      <c r="J71">
        <v>0</v>
      </c>
    </row>
    <row r="72" spans="1:10" x14ac:dyDescent="0.25">
      <c r="A72" t="s">
        <v>218</v>
      </c>
      <c r="B72" t="s">
        <v>155</v>
      </c>
      <c r="C72" t="s">
        <v>219</v>
      </c>
      <c r="D72" t="s">
        <v>3</v>
      </c>
      <c r="E72">
        <v>24</v>
      </c>
      <c r="F72" t="s">
        <v>1359</v>
      </c>
      <c r="G72" t="s">
        <v>199</v>
      </c>
      <c r="H72">
        <v>5072</v>
      </c>
      <c r="I72" t="s">
        <v>14</v>
      </c>
      <c r="J72">
        <v>2</v>
      </c>
    </row>
    <row r="73" spans="1:10" x14ac:dyDescent="0.25">
      <c r="A73" t="s">
        <v>73</v>
      </c>
      <c r="B73" t="s">
        <v>220</v>
      </c>
      <c r="C73" t="s">
        <v>221</v>
      </c>
      <c r="D73" t="s">
        <v>3</v>
      </c>
      <c r="E73">
        <v>33</v>
      </c>
      <c r="F73" t="s">
        <v>1357</v>
      </c>
      <c r="G73" t="s">
        <v>187</v>
      </c>
      <c r="H73">
        <v>2670</v>
      </c>
      <c r="I73" t="s">
        <v>14</v>
      </c>
      <c r="J73">
        <v>2</v>
      </c>
    </row>
    <row r="74" spans="1:10" x14ac:dyDescent="0.25">
      <c r="A74" t="s">
        <v>222</v>
      </c>
      <c r="B74" t="s">
        <v>223</v>
      </c>
      <c r="C74" t="s">
        <v>224</v>
      </c>
      <c r="D74" t="s">
        <v>3</v>
      </c>
      <c r="E74">
        <v>40</v>
      </c>
      <c r="F74" t="s">
        <v>1357</v>
      </c>
      <c r="G74" t="s">
        <v>225</v>
      </c>
      <c r="H74">
        <v>7506</v>
      </c>
      <c r="I74" t="s">
        <v>4</v>
      </c>
      <c r="J74">
        <v>4</v>
      </c>
    </row>
    <row r="75" spans="1:10" x14ac:dyDescent="0.25">
      <c r="A75" t="s">
        <v>138</v>
      </c>
      <c r="B75" t="s">
        <v>71</v>
      </c>
      <c r="C75" t="s">
        <v>226</v>
      </c>
      <c r="D75" t="s">
        <v>3</v>
      </c>
      <c r="E75">
        <v>29</v>
      </c>
      <c r="F75" t="s">
        <v>1359</v>
      </c>
      <c r="G75" t="s">
        <v>227</v>
      </c>
      <c r="H75">
        <v>8547</v>
      </c>
      <c r="I75" t="s">
        <v>14</v>
      </c>
      <c r="J75">
        <v>4</v>
      </c>
    </row>
    <row r="76" spans="1:10" x14ac:dyDescent="0.25">
      <c r="A76" t="s">
        <v>228</v>
      </c>
      <c r="B76" t="s">
        <v>229</v>
      </c>
      <c r="C76" t="s">
        <v>230</v>
      </c>
      <c r="D76" t="s">
        <v>8</v>
      </c>
      <c r="E76">
        <v>48</v>
      </c>
      <c r="F76" t="s">
        <v>1357</v>
      </c>
      <c r="G76" t="s">
        <v>231</v>
      </c>
      <c r="H76">
        <v>7924</v>
      </c>
      <c r="I76" t="s">
        <v>4</v>
      </c>
      <c r="J76">
        <v>0</v>
      </c>
    </row>
    <row r="77" spans="1:10" x14ac:dyDescent="0.25">
      <c r="A77" t="s">
        <v>232</v>
      </c>
      <c r="B77" t="s">
        <v>114</v>
      </c>
      <c r="C77" t="s">
        <v>233</v>
      </c>
      <c r="D77" t="s">
        <v>8</v>
      </c>
      <c r="E77">
        <v>22</v>
      </c>
      <c r="F77" t="s">
        <v>1359</v>
      </c>
      <c r="G77" t="s">
        <v>234</v>
      </c>
      <c r="H77">
        <v>8979</v>
      </c>
      <c r="I77" t="s">
        <v>14</v>
      </c>
      <c r="J77">
        <v>1</v>
      </c>
    </row>
    <row r="78" spans="1:10" x14ac:dyDescent="0.25">
      <c r="A78" t="s">
        <v>235</v>
      </c>
      <c r="B78" t="s">
        <v>236</v>
      </c>
      <c r="C78" t="s">
        <v>237</v>
      </c>
      <c r="D78" t="s">
        <v>8</v>
      </c>
      <c r="E78">
        <v>29</v>
      </c>
      <c r="F78" t="s">
        <v>1359</v>
      </c>
      <c r="G78" t="s">
        <v>211</v>
      </c>
      <c r="H78">
        <v>2299</v>
      </c>
      <c r="I78" t="s">
        <v>4</v>
      </c>
      <c r="J78">
        <v>3</v>
      </c>
    </row>
    <row r="79" spans="1:10" x14ac:dyDescent="0.25">
      <c r="A79" t="s">
        <v>238</v>
      </c>
      <c r="B79" t="s">
        <v>142</v>
      </c>
      <c r="C79" t="s">
        <v>239</v>
      </c>
      <c r="D79" t="s">
        <v>8</v>
      </c>
      <c r="E79">
        <v>41</v>
      </c>
      <c r="F79" t="s">
        <v>1357</v>
      </c>
      <c r="G79" t="s">
        <v>231</v>
      </c>
      <c r="H79">
        <v>2772</v>
      </c>
      <c r="I79" t="s">
        <v>14</v>
      </c>
      <c r="J79">
        <v>5</v>
      </c>
    </row>
    <row r="80" spans="1:10" x14ac:dyDescent="0.25">
      <c r="A80" t="s">
        <v>240</v>
      </c>
      <c r="B80" t="s">
        <v>180</v>
      </c>
      <c r="C80" t="s">
        <v>241</v>
      </c>
      <c r="D80" t="s">
        <v>3</v>
      </c>
      <c r="E80">
        <v>46</v>
      </c>
      <c r="F80" t="s">
        <v>1357</v>
      </c>
      <c r="G80" t="s">
        <v>86</v>
      </c>
      <c r="H80">
        <v>4160</v>
      </c>
      <c r="I80" t="s">
        <v>4</v>
      </c>
      <c r="J80">
        <v>2</v>
      </c>
    </row>
    <row r="81" spans="1:10" x14ac:dyDescent="0.25">
      <c r="A81" t="s">
        <v>15</v>
      </c>
      <c r="B81" t="s">
        <v>61</v>
      </c>
      <c r="C81" t="s">
        <v>242</v>
      </c>
      <c r="D81" t="s">
        <v>8</v>
      </c>
      <c r="E81">
        <v>52</v>
      </c>
      <c r="F81" t="s">
        <v>1358</v>
      </c>
      <c r="G81" t="s">
        <v>82</v>
      </c>
      <c r="H81">
        <v>5743</v>
      </c>
      <c r="I81" t="s">
        <v>14</v>
      </c>
      <c r="J81">
        <v>5</v>
      </c>
    </row>
    <row r="82" spans="1:10" x14ac:dyDescent="0.25">
      <c r="A82" t="s">
        <v>243</v>
      </c>
      <c r="B82" t="s">
        <v>244</v>
      </c>
      <c r="C82" t="s">
        <v>245</v>
      </c>
      <c r="D82" t="s">
        <v>3</v>
      </c>
      <c r="E82">
        <v>23</v>
      </c>
      <c r="F82" t="s">
        <v>1359</v>
      </c>
      <c r="G82" t="s">
        <v>194</v>
      </c>
      <c r="H82">
        <v>7157</v>
      </c>
      <c r="I82" t="s">
        <v>14</v>
      </c>
      <c r="J82">
        <v>3</v>
      </c>
    </row>
    <row r="83" spans="1:10" x14ac:dyDescent="0.25">
      <c r="A83" t="s">
        <v>228</v>
      </c>
      <c r="B83" t="s">
        <v>16</v>
      </c>
      <c r="C83" t="s">
        <v>246</v>
      </c>
      <c r="D83" t="s">
        <v>8</v>
      </c>
      <c r="E83">
        <v>42</v>
      </c>
      <c r="F83" t="s">
        <v>1357</v>
      </c>
      <c r="G83" t="s">
        <v>169</v>
      </c>
      <c r="H83">
        <v>6501</v>
      </c>
      <c r="I83" t="s">
        <v>14</v>
      </c>
      <c r="J83">
        <v>3</v>
      </c>
    </row>
    <row r="84" spans="1:10" x14ac:dyDescent="0.25">
      <c r="A84" t="s">
        <v>170</v>
      </c>
      <c r="B84" t="s">
        <v>122</v>
      </c>
      <c r="C84" t="s">
        <v>247</v>
      </c>
      <c r="D84" t="s">
        <v>8</v>
      </c>
      <c r="E84">
        <v>31</v>
      </c>
      <c r="F84" t="s">
        <v>1357</v>
      </c>
      <c r="G84" t="s">
        <v>248</v>
      </c>
      <c r="H84">
        <v>2669</v>
      </c>
      <c r="I84" t="s">
        <v>14</v>
      </c>
      <c r="J84">
        <v>5</v>
      </c>
    </row>
    <row r="85" spans="1:10" x14ac:dyDescent="0.25">
      <c r="A85" t="s">
        <v>188</v>
      </c>
      <c r="B85" t="s">
        <v>249</v>
      </c>
      <c r="C85" t="s">
        <v>250</v>
      </c>
      <c r="D85" t="s">
        <v>8</v>
      </c>
      <c r="E85">
        <v>45</v>
      </c>
      <c r="F85" t="s">
        <v>1357</v>
      </c>
      <c r="G85" t="s">
        <v>124</v>
      </c>
      <c r="H85">
        <v>3424</v>
      </c>
      <c r="I85" t="s">
        <v>4</v>
      </c>
      <c r="J85">
        <v>3</v>
      </c>
    </row>
    <row r="86" spans="1:10" x14ac:dyDescent="0.25">
      <c r="A86" t="s">
        <v>0</v>
      </c>
      <c r="B86" t="s">
        <v>251</v>
      </c>
      <c r="C86" t="s">
        <v>252</v>
      </c>
      <c r="D86" t="s">
        <v>3</v>
      </c>
      <c r="E86">
        <v>21</v>
      </c>
      <c r="F86" t="s">
        <v>1359</v>
      </c>
      <c r="G86" t="s">
        <v>169</v>
      </c>
      <c r="H86">
        <v>5485</v>
      </c>
      <c r="I86" t="s">
        <v>14</v>
      </c>
      <c r="J86">
        <v>1</v>
      </c>
    </row>
    <row r="87" spans="1:10" x14ac:dyDescent="0.25">
      <c r="A87" t="s">
        <v>26</v>
      </c>
      <c r="B87" t="s">
        <v>249</v>
      </c>
      <c r="C87" t="s">
        <v>253</v>
      </c>
      <c r="D87" t="s">
        <v>8</v>
      </c>
      <c r="E87">
        <v>49</v>
      </c>
      <c r="F87" t="s">
        <v>1357</v>
      </c>
      <c r="G87" t="s">
        <v>134</v>
      </c>
      <c r="H87">
        <v>4786</v>
      </c>
      <c r="I87" t="s">
        <v>14</v>
      </c>
      <c r="J87">
        <v>0</v>
      </c>
    </row>
    <row r="88" spans="1:10" x14ac:dyDescent="0.25">
      <c r="A88" t="s">
        <v>254</v>
      </c>
      <c r="B88" t="s">
        <v>167</v>
      </c>
      <c r="C88" t="s">
        <v>255</v>
      </c>
      <c r="D88" t="s">
        <v>3</v>
      </c>
      <c r="E88">
        <v>35</v>
      </c>
      <c r="F88" t="s">
        <v>1357</v>
      </c>
      <c r="G88" t="s">
        <v>256</v>
      </c>
      <c r="H88">
        <v>5819</v>
      </c>
      <c r="I88" t="s">
        <v>4</v>
      </c>
      <c r="J88">
        <v>1</v>
      </c>
    </row>
    <row r="89" spans="1:10" x14ac:dyDescent="0.25">
      <c r="A89" t="s">
        <v>257</v>
      </c>
      <c r="B89" t="s">
        <v>249</v>
      </c>
      <c r="C89" t="s">
        <v>258</v>
      </c>
      <c r="D89" t="s">
        <v>3</v>
      </c>
      <c r="E89">
        <v>51</v>
      </c>
      <c r="F89" t="s">
        <v>1358</v>
      </c>
      <c r="G89" t="s">
        <v>197</v>
      </c>
      <c r="H89">
        <v>2778</v>
      </c>
      <c r="I89" t="s">
        <v>4</v>
      </c>
      <c r="J89">
        <v>5</v>
      </c>
    </row>
    <row r="90" spans="1:10" x14ac:dyDescent="0.25">
      <c r="A90" t="s">
        <v>190</v>
      </c>
      <c r="B90" t="s">
        <v>220</v>
      </c>
      <c r="C90" t="s">
        <v>259</v>
      </c>
      <c r="D90" t="s">
        <v>8</v>
      </c>
      <c r="E90">
        <v>57</v>
      </c>
      <c r="F90" t="s">
        <v>1358</v>
      </c>
      <c r="G90" t="s">
        <v>165</v>
      </c>
      <c r="H90">
        <v>6964</v>
      </c>
      <c r="I90" t="s">
        <v>4</v>
      </c>
      <c r="J90">
        <v>0</v>
      </c>
    </row>
    <row r="91" spans="1:10" x14ac:dyDescent="0.25">
      <c r="A91" t="s">
        <v>125</v>
      </c>
      <c r="B91" t="s">
        <v>136</v>
      </c>
      <c r="C91" t="s">
        <v>260</v>
      </c>
      <c r="D91" t="s">
        <v>8</v>
      </c>
      <c r="E91">
        <v>19</v>
      </c>
      <c r="F91" t="s">
        <v>1359</v>
      </c>
      <c r="G91" t="s">
        <v>225</v>
      </c>
      <c r="H91">
        <v>5708</v>
      </c>
      <c r="I91" t="s">
        <v>4</v>
      </c>
      <c r="J91">
        <v>4</v>
      </c>
    </row>
    <row r="92" spans="1:10" x14ac:dyDescent="0.25">
      <c r="A92" t="s">
        <v>141</v>
      </c>
      <c r="B92" t="s">
        <v>261</v>
      </c>
      <c r="C92" t="s">
        <v>262</v>
      </c>
      <c r="D92" t="s">
        <v>8</v>
      </c>
      <c r="E92">
        <v>42</v>
      </c>
      <c r="F92" t="s">
        <v>1357</v>
      </c>
      <c r="G92" t="s">
        <v>169</v>
      </c>
      <c r="H92">
        <v>8059</v>
      </c>
      <c r="I92" t="s">
        <v>4</v>
      </c>
      <c r="J92">
        <v>0</v>
      </c>
    </row>
    <row r="93" spans="1:10" x14ac:dyDescent="0.25">
      <c r="A93" t="s">
        <v>263</v>
      </c>
      <c r="B93" t="s">
        <v>264</v>
      </c>
      <c r="C93" t="s">
        <v>265</v>
      </c>
      <c r="D93" t="s">
        <v>3</v>
      </c>
      <c r="E93">
        <v>25</v>
      </c>
      <c r="F93" t="s">
        <v>1359</v>
      </c>
      <c r="G93" t="s">
        <v>266</v>
      </c>
      <c r="H93">
        <v>8196</v>
      </c>
      <c r="I93" t="s">
        <v>14</v>
      </c>
      <c r="J93">
        <v>3</v>
      </c>
    </row>
    <row r="94" spans="1:10" x14ac:dyDescent="0.25">
      <c r="A94" t="s">
        <v>267</v>
      </c>
      <c r="B94" t="s">
        <v>268</v>
      </c>
      <c r="C94" t="s">
        <v>269</v>
      </c>
      <c r="D94" t="s">
        <v>8</v>
      </c>
      <c r="E94">
        <v>32</v>
      </c>
      <c r="F94" t="s">
        <v>1357</v>
      </c>
      <c r="G94" t="s">
        <v>270</v>
      </c>
      <c r="H94">
        <v>9237</v>
      </c>
      <c r="I94" t="s">
        <v>14</v>
      </c>
      <c r="J94">
        <v>5</v>
      </c>
    </row>
    <row r="95" spans="1:10" x14ac:dyDescent="0.25">
      <c r="A95" t="s">
        <v>271</v>
      </c>
      <c r="B95" t="s">
        <v>120</v>
      </c>
      <c r="C95" t="s">
        <v>272</v>
      </c>
      <c r="D95" t="s">
        <v>3</v>
      </c>
      <c r="E95">
        <v>60</v>
      </c>
      <c r="F95" t="s">
        <v>1358</v>
      </c>
      <c r="G95" t="s">
        <v>150</v>
      </c>
      <c r="H95">
        <v>8232</v>
      </c>
      <c r="I95" t="s">
        <v>14</v>
      </c>
      <c r="J95">
        <v>0</v>
      </c>
    </row>
    <row r="96" spans="1:10" x14ac:dyDescent="0.25">
      <c r="A96" t="s">
        <v>273</v>
      </c>
      <c r="B96" t="s">
        <v>274</v>
      </c>
      <c r="C96" t="s">
        <v>275</v>
      </c>
      <c r="D96" t="s">
        <v>3</v>
      </c>
      <c r="E96">
        <v>57</v>
      </c>
      <c r="F96" t="s">
        <v>1358</v>
      </c>
      <c r="G96" t="s">
        <v>107</v>
      </c>
      <c r="H96">
        <v>7802</v>
      </c>
      <c r="I96" t="s">
        <v>4</v>
      </c>
      <c r="J96">
        <v>5</v>
      </c>
    </row>
    <row r="97" spans="1:10" x14ac:dyDescent="0.25">
      <c r="A97" t="s">
        <v>276</v>
      </c>
      <c r="B97" t="s">
        <v>277</v>
      </c>
      <c r="C97" t="s">
        <v>278</v>
      </c>
      <c r="D97" t="s">
        <v>3</v>
      </c>
      <c r="E97">
        <v>45</v>
      </c>
      <c r="F97" t="s">
        <v>1357</v>
      </c>
      <c r="G97" t="s">
        <v>248</v>
      </c>
      <c r="H97">
        <v>9147</v>
      </c>
      <c r="I97" t="s">
        <v>4</v>
      </c>
      <c r="J97">
        <v>5</v>
      </c>
    </row>
    <row r="98" spans="1:10" x14ac:dyDescent="0.25">
      <c r="A98" t="s">
        <v>108</v>
      </c>
      <c r="B98" t="s">
        <v>236</v>
      </c>
      <c r="C98" t="s">
        <v>279</v>
      </c>
      <c r="D98" t="s">
        <v>3</v>
      </c>
      <c r="E98">
        <v>26</v>
      </c>
      <c r="F98" t="s">
        <v>1359</v>
      </c>
      <c r="G98" t="s">
        <v>280</v>
      </c>
      <c r="H98">
        <v>2998</v>
      </c>
      <c r="I98" t="s">
        <v>14</v>
      </c>
      <c r="J98">
        <v>1</v>
      </c>
    </row>
    <row r="99" spans="1:10" x14ac:dyDescent="0.25">
      <c r="A99" t="s">
        <v>30</v>
      </c>
      <c r="B99" t="s">
        <v>116</v>
      </c>
      <c r="C99" t="s">
        <v>281</v>
      </c>
      <c r="D99" t="s">
        <v>3</v>
      </c>
      <c r="E99">
        <v>40</v>
      </c>
      <c r="F99" t="s">
        <v>1357</v>
      </c>
      <c r="G99" t="s">
        <v>118</v>
      </c>
      <c r="H99">
        <v>1956</v>
      </c>
      <c r="I99" t="s">
        <v>14</v>
      </c>
      <c r="J99">
        <v>0</v>
      </c>
    </row>
    <row r="100" spans="1:10" x14ac:dyDescent="0.25">
      <c r="A100" t="s">
        <v>282</v>
      </c>
      <c r="B100" t="s">
        <v>19</v>
      </c>
      <c r="C100" t="s">
        <v>283</v>
      </c>
      <c r="D100" t="s">
        <v>8</v>
      </c>
      <c r="E100">
        <v>26</v>
      </c>
      <c r="F100" t="s">
        <v>1359</v>
      </c>
      <c r="G100" t="s">
        <v>266</v>
      </c>
      <c r="H100">
        <v>5957</v>
      </c>
      <c r="I100" t="s">
        <v>14</v>
      </c>
      <c r="J100">
        <v>5</v>
      </c>
    </row>
    <row r="101" spans="1:10" x14ac:dyDescent="0.25">
      <c r="A101" t="s">
        <v>176</v>
      </c>
      <c r="B101" t="s">
        <v>284</v>
      </c>
      <c r="C101" t="s">
        <v>285</v>
      </c>
      <c r="D101" t="s">
        <v>3</v>
      </c>
      <c r="E101">
        <v>20</v>
      </c>
      <c r="F101" t="s">
        <v>1359</v>
      </c>
      <c r="G101" t="s">
        <v>280</v>
      </c>
      <c r="H101">
        <v>1778</v>
      </c>
      <c r="I101" t="s">
        <v>14</v>
      </c>
      <c r="J101">
        <v>3</v>
      </c>
    </row>
    <row r="102" spans="1:10" x14ac:dyDescent="0.25">
      <c r="A102" t="s">
        <v>286</v>
      </c>
      <c r="B102" t="s">
        <v>136</v>
      </c>
      <c r="C102" t="s">
        <v>287</v>
      </c>
      <c r="D102" t="s">
        <v>8</v>
      </c>
      <c r="E102">
        <v>45</v>
      </c>
      <c r="F102" t="s">
        <v>1357</v>
      </c>
      <c r="G102" t="s">
        <v>234</v>
      </c>
      <c r="H102">
        <v>715</v>
      </c>
      <c r="I102" t="s">
        <v>14</v>
      </c>
      <c r="J102">
        <v>4</v>
      </c>
    </row>
    <row r="103" spans="1:10" x14ac:dyDescent="0.25">
      <c r="A103" t="s">
        <v>288</v>
      </c>
      <c r="B103" t="s">
        <v>201</v>
      </c>
      <c r="C103" t="s">
        <v>289</v>
      </c>
      <c r="D103" t="s">
        <v>8</v>
      </c>
      <c r="E103">
        <v>44</v>
      </c>
      <c r="F103" t="s">
        <v>1357</v>
      </c>
      <c r="G103" t="s">
        <v>290</v>
      </c>
      <c r="H103">
        <v>4311</v>
      </c>
      <c r="I103" t="s">
        <v>4</v>
      </c>
      <c r="J103">
        <v>5</v>
      </c>
    </row>
    <row r="104" spans="1:10" x14ac:dyDescent="0.25">
      <c r="A104" t="s">
        <v>291</v>
      </c>
      <c r="B104" t="s">
        <v>78</v>
      </c>
      <c r="C104" t="s">
        <v>292</v>
      </c>
      <c r="D104" t="s">
        <v>3</v>
      </c>
      <c r="E104">
        <v>38</v>
      </c>
      <c r="F104" t="s">
        <v>1357</v>
      </c>
      <c r="G104" t="s">
        <v>293</v>
      </c>
      <c r="H104">
        <v>3249</v>
      </c>
      <c r="I104" t="s">
        <v>14</v>
      </c>
      <c r="J104">
        <v>4</v>
      </c>
    </row>
    <row r="105" spans="1:10" x14ac:dyDescent="0.25">
      <c r="A105" t="s">
        <v>232</v>
      </c>
      <c r="B105" t="s">
        <v>294</v>
      </c>
      <c r="C105" t="s">
        <v>295</v>
      </c>
      <c r="D105" t="s">
        <v>8</v>
      </c>
      <c r="E105">
        <v>58</v>
      </c>
      <c r="F105" t="s">
        <v>1358</v>
      </c>
      <c r="G105" t="s">
        <v>234</v>
      </c>
      <c r="H105">
        <v>6038</v>
      </c>
      <c r="I105" t="s">
        <v>4</v>
      </c>
      <c r="J105">
        <v>0</v>
      </c>
    </row>
    <row r="106" spans="1:10" x14ac:dyDescent="0.25">
      <c r="A106" t="s">
        <v>296</v>
      </c>
      <c r="B106" t="s">
        <v>126</v>
      </c>
      <c r="C106" t="s">
        <v>297</v>
      </c>
      <c r="D106" t="s">
        <v>8</v>
      </c>
      <c r="E106">
        <v>53</v>
      </c>
      <c r="F106" t="s">
        <v>1358</v>
      </c>
      <c r="G106" t="s">
        <v>231</v>
      </c>
      <c r="H106">
        <v>5863</v>
      </c>
      <c r="I106" t="s">
        <v>4</v>
      </c>
      <c r="J106">
        <v>4</v>
      </c>
    </row>
    <row r="107" spans="1:10" x14ac:dyDescent="0.25">
      <c r="A107" t="s">
        <v>298</v>
      </c>
      <c r="B107" t="s">
        <v>220</v>
      </c>
      <c r="C107" t="s">
        <v>299</v>
      </c>
      <c r="D107" t="s">
        <v>3</v>
      </c>
      <c r="E107">
        <v>23</v>
      </c>
      <c r="F107" t="s">
        <v>1359</v>
      </c>
      <c r="G107" t="s">
        <v>256</v>
      </c>
      <c r="H107">
        <v>3549</v>
      </c>
      <c r="I107" t="s">
        <v>14</v>
      </c>
      <c r="J107">
        <v>3</v>
      </c>
    </row>
    <row r="108" spans="1:10" x14ac:dyDescent="0.25">
      <c r="A108" t="s">
        <v>300</v>
      </c>
      <c r="B108" t="s">
        <v>301</v>
      </c>
      <c r="C108" t="s">
        <v>302</v>
      </c>
      <c r="D108" t="s">
        <v>3</v>
      </c>
      <c r="E108">
        <v>45</v>
      </c>
      <c r="F108" t="s">
        <v>1357</v>
      </c>
      <c r="G108" t="s">
        <v>303</v>
      </c>
      <c r="H108">
        <v>7436</v>
      </c>
      <c r="I108" t="s">
        <v>4</v>
      </c>
      <c r="J108">
        <v>1</v>
      </c>
    </row>
    <row r="109" spans="1:10" x14ac:dyDescent="0.25">
      <c r="A109" t="s">
        <v>304</v>
      </c>
      <c r="B109" t="s">
        <v>305</v>
      </c>
      <c r="C109" t="s">
        <v>306</v>
      </c>
      <c r="D109" t="s">
        <v>3</v>
      </c>
      <c r="E109">
        <v>42</v>
      </c>
      <c r="F109" t="s">
        <v>1357</v>
      </c>
      <c r="G109" t="s">
        <v>1364</v>
      </c>
      <c r="H109">
        <v>4038</v>
      </c>
      <c r="I109" t="s">
        <v>4</v>
      </c>
      <c r="J109">
        <v>0</v>
      </c>
    </row>
    <row r="110" spans="1:10" x14ac:dyDescent="0.25">
      <c r="A110" t="s">
        <v>307</v>
      </c>
      <c r="B110" t="s">
        <v>308</v>
      </c>
      <c r="C110" t="s">
        <v>309</v>
      </c>
      <c r="D110" t="s">
        <v>3</v>
      </c>
      <c r="E110">
        <v>24</v>
      </c>
      <c r="F110" t="s">
        <v>1359</v>
      </c>
      <c r="G110" t="s">
        <v>59</v>
      </c>
      <c r="H110">
        <v>8266</v>
      </c>
      <c r="I110" t="s">
        <v>14</v>
      </c>
      <c r="J110">
        <v>1</v>
      </c>
    </row>
    <row r="111" spans="1:10" x14ac:dyDescent="0.25">
      <c r="A111" t="s">
        <v>310</v>
      </c>
      <c r="B111" t="s">
        <v>142</v>
      </c>
      <c r="C111" t="s">
        <v>311</v>
      </c>
      <c r="D111" t="s">
        <v>8</v>
      </c>
      <c r="E111">
        <v>26</v>
      </c>
      <c r="F111" t="s">
        <v>1359</v>
      </c>
      <c r="G111" t="s">
        <v>131</v>
      </c>
      <c r="H111">
        <v>9770</v>
      </c>
      <c r="I111" t="s">
        <v>4</v>
      </c>
      <c r="J111">
        <v>0</v>
      </c>
    </row>
    <row r="112" spans="1:10" x14ac:dyDescent="0.25">
      <c r="A112" t="s">
        <v>312</v>
      </c>
      <c r="B112" t="s">
        <v>74</v>
      </c>
      <c r="C112" t="s">
        <v>313</v>
      </c>
      <c r="D112" t="s">
        <v>3</v>
      </c>
      <c r="E112">
        <v>29</v>
      </c>
      <c r="F112" t="s">
        <v>1359</v>
      </c>
      <c r="G112" t="s">
        <v>128</v>
      </c>
      <c r="H112">
        <v>1811</v>
      </c>
      <c r="I112" t="s">
        <v>14</v>
      </c>
      <c r="J112">
        <v>1</v>
      </c>
    </row>
    <row r="113" spans="1:10" x14ac:dyDescent="0.25">
      <c r="A113" t="s">
        <v>314</v>
      </c>
      <c r="B113" t="s">
        <v>152</v>
      </c>
      <c r="C113" t="s">
        <v>315</v>
      </c>
      <c r="D113" t="s">
        <v>8</v>
      </c>
      <c r="E113">
        <v>54</v>
      </c>
      <c r="F113" t="s">
        <v>1358</v>
      </c>
      <c r="G113" t="s">
        <v>9</v>
      </c>
      <c r="H113">
        <v>7090</v>
      </c>
      <c r="I113" t="s">
        <v>4</v>
      </c>
      <c r="J113">
        <v>1</v>
      </c>
    </row>
    <row r="114" spans="1:10" x14ac:dyDescent="0.25">
      <c r="A114" t="s">
        <v>316</v>
      </c>
      <c r="B114" t="s">
        <v>317</v>
      </c>
      <c r="C114" t="s">
        <v>318</v>
      </c>
      <c r="D114" t="s">
        <v>8</v>
      </c>
      <c r="E114">
        <v>60</v>
      </c>
      <c r="F114" t="s">
        <v>1358</v>
      </c>
      <c r="G114" t="s">
        <v>114</v>
      </c>
      <c r="H114">
        <v>9504</v>
      </c>
      <c r="I114" t="s">
        <v>14</v>
      </c>
      <c r="J114">
        <v>2</v>
      </c>
    </row>
    <row r="115" spans="1:10" x14ac:dyDescent="0.25">
      <c r="A115" t="s">
        <v>319</v>
      </c>
      <c r="B115" t="s">
        <v>67</v>
      </c>
      <c r="C115" t="s">
        <v>320</v>
      </c>
      <c r="D115" t="s">
        <v>3</v>
      </c>
      <c r="E115">
        <v>41</v>
      </c>
      <c r="F115" t="s">
        <v>1357</v>
      </c>
      <c r="G115" t="s">
        <v>197</v>
      </c>
      <c r="H115">
        <v>4954</v>
      </c>
      <c r="I115" t="s">
        <v>4</v>
      </c>
      <c r="J115">
        <v>2</v>
      </c>
    </row>
    <row r="116" spans="1:10" x14ac:dyDescent="0.25">
      <c r="A116" t="s">
        <v>222</v>
      </c>
      <c r="B116" t="s">
        <v>251</v>
      </c>
      <c r="C116" t="s">
        <v>321</v>
      </c>
      <c r="D116" t="s">
        <v>3</v>
      </c>
      <c r="E116">
        <v>46</v>
      </c>
      <c r="F116" t="s">
        <v>1357</v>
      </c>
      <c r="G116" t="s">
        <v>234</v>
      </c>
      <c r="H116">
        <v>3940</v>
      </c>
      <c r="I116" t="s">
        <v>4</v>
      </c>
      <c r="J116">
        <v>5</v>
      </c>
    </row>
    <row r="117" spans="1:10" x14ac:dyDescent="0.25">
      <c r="A117" t="s">
        <v>60</v>
      </c>
      <c r="B117" t="s">
        <v>301</v>
      </c>
      <c r="C117" t="s">
        <v>322</v>
      </c>
      <c r="D117" t="s">
        <v>3</v>
      </c>
      <c r="E117">
        <v>25</v>
      </c>
      <c r="F117" t="s">
        <v>1359</v>
      </c>
      <c r="G117" t="s">
        <v>36</v>
      </c>
      <c r="H117">
        <v>4713</v>
      </c>
      <c r="I117" t="s">
        <v>4</v>
      </c>
      <c r="J117">
        <v>2</v>
      </c>
    </row>
    <row r="118" spans="1:10" x14ac:dyDescent="0.25">
      <c r="A118" t="s">
        <v>323</v>
      </c>
      <c r="B118" t="s">
        <v>324</v>
      </c>
      <c r="C118" t="s">
        <v>325</v>
      </c>
      <c r="D118" t="s">
        <v>8</v>
      </c>
      <c r="E118">
        <v>26</v>
      </c>
      <c r="F118" t="s">
        <v>1359</v>
      </c>
      <c r="G118" t="s">
        <v>128</v>
      </c>
      <c r="H118">
        <v>3597</v>
      </c>
      <c r="I118" t="s">
        <v>14</v>
      </c>
      <c r="J118">
        <v>3</v>
      </c>
    </row>
    <row r="119" spans="1:10" x14ac:dyDescent="0.25">
      <c r="A119" t="s">
        <v>304</v>
      </c>
      <c r="B119" t="s">
        <v>326</v>
      </c>
      <c r="C119" t="s">
        <v>327</v>
      </c>
      <c r="D119" t="s">
        <v>3</v>
      </c>
      <c r="E119">
        <v>20</v>
      </c>
      <c r="F119" t="s">
        <v>1359</v>
      </c>
      <c r="G119" t="s">
        <v>76</v>
      </c>
      <c r="H119">
        <v>8131</v>
      </c>
      <c r="I119" t="s">
        <v>4</v>
      </c>
      <c r="J119">
        <v>5</v>
      </c>
    </row>
    <row r="120" spans="1:10" x14ac:dyDescent="0.25">
      <c r="A120" t="s">
        <v>328</v>
      </c>
      <c r="B120" t="s">
        <v>132</v>
      </c>
      <c r="C120" t="s">
        <v>329</v>
      </c>
      <c r="D120" t="s">
        <v>3</v>
      </c>
      <c r="E120">
        <v>35</v>
      </c>
      <c r="F120" t="s">
        <v>1357</v>
      </c>
      <c r="G120" t="s">
        <v>76</v>
      </c>
      <c r="H120">
        <v>4625</v>
      </c>
      <c r="I120" t="s">
        <v>4</v>
      </c>
      <c r="J120">
        <v>2</v>
      </c>
    </row>
    <row r="121" spans="1:10" x14ac:dyDescent="0.25">
      <c r="A121" t="s">
        <v>330</v>
      </c>
      <c r="B121" t="s">
        <v>201</v>
      </c>
      <c r="C121" t="s">
        <v>331</v>
      </c>
      <c r="D121" t="s">
        <v>8</v>
      </c>
      <c r="E121">
        <v>44</v>
      </c>
      <c r="F121" t="s">
        <v>1357</v>
      </c>
      <c r="G121" t="s">
        <v>225</v>
      </c>
      <c r="H121">
        <v>3221</v>
      </c>
      <c r="I121" t="s">
        <v>14</v>
      </c>
      <c r="J121">
        <v>0</v>
      </c>
    </row>
    <row r="122" spans="1:10" x14ac:dyDescent="0.25">
      <c r="A122" t="s">
        <v>183</v>
      </c>
      <c r="B122" t="s">
        <v>294</v>
      </c>
      <c r="C122" t="s">
        <v>332</v>
      </c>
      <c r="D122" t="s">
        <v>3</v>
      </c>
      <c r="E122">
        <v>48</v>
      </c>
      <c r="F122" t="s">
        <v>1357</v>
      </c>
      <c r="G122" t="s">
        <v>86</v>
      </c>
      <c r="H122">
        <v>4804</v>
      </c>
      <c r="I122" t="s">
        <v>14</v>
      </c>
      <c r="J122">
        <v>2</v>
      </c>
    </row>
    <row r="123" spans="1:10" x14ac:dyDescent="0.25">
      <c r="A123" t="s">
        <v>333</v>
      </c>
      <c r="B123" t="s">
        <v>334</v>
      </c>
      <c r="C123" t="s">
        <v>335</v>
      </c>
      <c r="D123" t="s">
        <v>3</v>
      </c>
      <c r="E123">
        <v>52</v>
      </c>
      <c r="F123" t="s">
        <v>1358</v>
      </c>
      <c r="G123" t="s">
        <v>160</v>
      </c>
      <c r="H123">
        <v>547</v>
      </c>
      <c r="I123" t="s">
        <v>14</v>
      </c>
      <c r="J123">
        <v>1</v>
      </c>
    </row>
    <row r="124" spans="1:10" x14ac:dyDescent="0.25">
      <c r="A124" t="s">
        <v>336</v>
      </c>
      <c r="B124" t="s">
        <v>337</v>
      </c>
      <c r="C124" t="s">
        <v>338</v>
      </c>
      <c r="D124" t="s">
        <v>8</v>
      </c>
      <c r="E124">
        <v>34</v>
      </c>
      <c r="F124" t="s">
        <v>1357</v>
      </c>
      <c r="G124" t="s">
        <v>43</v>
      </c>
      <c r="H124">
        <v>1557</v>
      </c>
      <c r="I124" t="s">
        <v>14</v>
      </c>
      <c r="J124">
        <v>5</v>
      </c>
    </row>
    <row r="125" spans="1:10" x14ac:dyDescent="0.25">
      <c r="A125" t="s">
        <v>339</v>
      </c>
      <c r="B125" t="s">
        <v>340</v>
      </c>
      <c r="C125" t="s">
        <v>341</v>
      </c>
      <c r="D125" t="s">
        <v>8</v>
      </c>
      <c r="E125">
        <v>27</v>
      </c>
      <c r="F125" t="s">
        <v>1359</v>
      </c>
      <c r="G125" t="s">
        <v>172</v>
      </c>
      <c r="H125">
        <v>2083</v>
      </c>
      <c r="I125" t="s">
        <v>14</v>
      </c>
      <c r="J125">
        <v>0</v>
      </c>
    </row>
    <row r="126" spans="1:10" x14ac:dyDescent="0.25">
      <c r="A126" t="s">
        <v>342</v>
      </c>
      <c r="B126" t="s">
        <v>264</v>
      </c>
      <c r="C126" t="s">
        <v>343</v>
      </c>
      <c r="D126" t="s">
        <v>3</v>
      </c>
      <c r="E126">
        <v>60</v>
      </c>
      <c r="F126" t="s">
        <v>1358</v>
      </c>
      <c r="G126" t="s">
        <v>280</v>
      </c>
      <c r="H126">
        <v>6130</v>
      </c>
      <c r="I126" t="s">
        <v>14</v>
      </c>
      <c r="J126">
        <v>4</v>
      </c>
    </row>
    <row r="127" spans="1:10" x14ac:dyDescent="0.25">
      <c r="A127" t="s">
        <v>52</v>
      </c>
      <c r="B127" t="s">
        <v>61</v>
      </c>
      <c r="C127" t="s">
        <v>344</v>
      </c>
      <c r="D127" t="s">
        <v>8</v>
      </c>
      <c r="E127">
        <v>43</v>
      </c>
      <c r="F127" t="s">
        <v>1357</v>
      </c>
      <c r="G127" t="s">
        <v>165</v>
      </c>
      <c r="H127">
        <v>2046</v>
      </c>
      <c r="I127" t="s">
        <v>4</v>
      </c>
      <c r="J127">
        <v>4</v>
      </c>
    </row>
    <row r="128" spans="1:10" x14ac:dyDescent="0.25">
      <c r="A128" t="s">
        <v>44</v>
      </c>
      <c r="B128" t="s">
        <v>308</v>
      </c>
      <c r="C128" t="s">
        <v>345</v>
      </c>
      <c r="D128" t="s">
        <v>8</v>
      </c>
      <c r="E128">
        <v>39</v>
      </c>
      <c r="F128" t="s">
        <v>1357</v>
      </c>
      <c r="G128" t="s">
        <v>303</v>
      </c>
      <c r="H128">
        <v>4236</v>
      </c>
      <c r="I128" t="s">
        <v>14</v>
      </c>
      <c r="J128">
        <v>4</v>
      </c>
    </row>
    <row r="129" spans="1:10" x14ac:dyDescent="0.25">
      <c r="A129" t="s">
        <v>346</v>
      </c>
      <c r="B129" t="s">
        <v>116</v>
      </c>
      <c r="C129" t="s">
        <v>347</v>
      </c>
      <c r="D129" t="s">
        <v>3</v>
      </c>
      <c r="E129">
        <v>39</v>
      </c>
      <c r="F129" t="s">
        <v>1357</v>
      </c>
      <c r="G129" t="s">
        <v>290</v>
      </c>
      <c r="H129">
        <v>2670</v>
      </c>
      <c r="I129" t="s">
        <v>14</v>
      </c>
      <c r="J129">
        <v>0</v>
      </c>
    </row>
    <row r="130" spans="1:10" x14ac:dyDescent="0.25">
      <c r="A130" t="s">
        <v>348</v>
      </c>
      <c r="B130" t="s">
        <v>101</v>
      </c>
      <c r="C130" t="s">
        <v>349</v>
      </c>
      <c r="D130" t="s">
        <v>3</v>
      </c>
      <c r="E130">
        <v>33</v>
      </c>
      <c r="F130" t="s">
        <v>1357</v>
      </c>
      <c r="G130" t="s">
        <v>51</v>
      </c>
      <c r="H130">
        <v>4995</v>
      </c>
      <c r="I130" t="s">
        <v>14</v>
      </c>
      <c r="J130">
        <v>0</v>
      </c>
    </row>
    <row r="131" spans="1:10" x14ac:dyDescent="0.25">
      <c r="A131" t="s">
        <v>350</v>
      </c>
      <c r="B131" t="s">
        <v>351</v>
      </c>
      <c r="C131" t="s">
        <v>352</v>
      </c>
      <c r="D131" t="s">
        <v>8</v>
      </c>
      <c r="E131">
        <v>50</v>
      </c>
      <c r="F131" t="s">
        <v>1357</v>
      </c>
      <c r="G131" t="s">
        <v>76</v>
      </c>
      <c r="H131">
        <v>1299</v>
      </c>
      <c r="I131" t="s">
        <v>14</v>
      </c>
      <c r="J131">
        <v>0</v>
      </c>
    </row>
    <row r="132" spans="1:10" x14ac:dyDescent="0.25">
      <c r="A132" t="s">
        <v>235</v>
      </c>
      <c r="B132" t="s">
        <v>174</v>
      </c>
      <c r="C132" t="s">
        <v>353</v>
      </c>
      <c r="D132" t="s">
        <v>8</v>
      </c>
      <c r="E132">
        <v>52</v>
      </c>
      <c r="F132" t="s">
        <v>1358</v>
      </c>
      <c r="G132" t="s">
        <v>124</v>
      </c>
      <c r="H132">
        <v>9132</v>
      </c>
      <c r="I132" t="s">
        <v>4</v>
      </c>
      <c r="J132">
        <v>3</v>
      </c>
    </row>
    <row r="133" spans="1:10" x14ac:dyDescent="0.25">
      <c r="A133" t="s">
        <v>354</v>
      </c>
      <c r="B133" t="s">
        <v>34</v>
      </c>
      <c r="C133" t="s">
        <v>355</v>
      </c>
      <c r="D133" t="s">
        <v>8</v>
      </c>
      <c r="E133">
        <v>21</v>
      </c>
      <c r="F133" t="s">
        <v>1359</v>
      </c>
      <c r="G133" t="s">
        <v>13</v>
      </c>
      <c r="H133">
        <v>2194</v>
      </c>
      <c r="I133" t="s">
        <v>4</v>
      </c>
      <c r="J133">
        <v>4</v>
      </c>
    </row>
    <row r="134" spans="1:10" x14ac:dyDescent="0.25">
      <c r="A134" t="s">
        <v>356</v>
      </c>
      <c r="B134" t="s">
        <v>67</v>
      </c>
      <c r="C134" t="s">
        <v>357</v>
      </c>
      <c r="D134" t="s">
        <v>8</v>
      </c>
      <c r="E134">
        <v>53</v>
      </c>
      <c r="F134" t="s">
        <v>1358</v>
      </c>
      <c r="G134" t="s">
        <v>234</v>
      </c>
      <c r="H134">
        <v>8680</v>
      </c>
      <c r="I134" t="s">
        <v>4</v>
      </c>
      <c r="J134">
        <v>0</v>
      </c>
    </row>
    <row r="135" spans="1:10" x14ac:dyDescent="0.25">
      <c r="A135" t="s">
        <v>155</v>
      </c>
      <c r="B135" t="s">
        <v>358</v>
      </c>
      <c r="C135" t="s">
        <v>359</v>
      </c>
      <c r="D135" t="s">
        <v>3</v>
      </c>
      <c r="E135">
        <v>21</v>
      </c>
      <c r="F135" t="s">
        <v>1359</v>
      </c>
      <c r="G135" t="s">
        <v>131</v>
      </c>
      <c r="H135">
        <v>7380</v>
      </c>
      <c r="I135" t="s">
        <v>4</v>
      </c>
      <c r="J135">
        <v>3</v>
      </c>
    </row>
    <row r="136" spans="1:10" x14ac:dyDescent="0.25">
      <c r="A136" t="s">
        <v>360</v>
      </c>
      <c r="B136" t="s">
        <v>361</v>
      </c>
      <c r="C136" t="s">
        <v>362</v>
      </c>
      <c r="D136" t="s">
        <v>3</v>
      </c>
      <c r="E136">
        <v>56</v>
      </c>
      <c r="F136" t="s">
        <v>1358</v>
      </c>
      <c r="G136" t="s">
        <v>172</v>
      </c>
      <c r="H136">
        <v>5282</v>
      </c>
      <c r="I136" t="s">
        <v>4</v>
      </c>
      <c r="J136">
        <v>4</v>
      </c>
    </row>
    <row r="137" spans="1:10" x14ac:dyDescent="0.25">
      <c r="A137" t="s">
        <v>212</v>
      </c>
      <c r="B137" t="s">
        <v>167</v>
      </c>
      <c r="C137" t="s">
        <v>363</v>
      </c>
      <c r="D137" t="s">
        <v>8</v>
      </c>
      <c r="E137">
        <v>36</v>
      </c>
      <c r="F137" t="s">
        <v>1357</v>
      </c>
      <c r="G137" t="s">
        <v>150</v>
      </c>
      <c r="H137">
        <v>4838</v>
      </c>
      <c r="I137" t="s">
        <v>14</v>
      </c>
      <c r="J137">
        <v>4</v>
      </c>
    </row>
    <row r="138" spans="1:10" x14ac:dyDescent="0.25">
      <c r="A138" t="s">
        <v>70</v>
      </c>
      <c r="B138" t="s">
        <v>27</v>
      </c>
      <c r="C138" t="s">
        <v>364</v>
      </c>
      <c r="D138" t="s">
        <v>3</v>
      </c>
      <c r="E138">
        <v>21</v>
      </c>
      <c r="F138" t="s">
        <v>1359</v>
      </c>
      <c r="G138" t="s">
        <v>187</v>
      </c>
      <c r="H138">
        <v>1717</v>
      </c>
      <c r="I138" t="s">
        <v>4</v>
      </c>
      <c r="J138">
        <v>3</v>
      </c>
    </row>
    <row r="139" spans="1:10" x14ac:dyDescent="0.25">
      <c r="A139" t="s">
        <v>151</v>
      </c>
      <c r="B139" t="s">
        <v>351</v>
      </c>
      <c r="C139" t="s">
        <v>365</v>
      </c>
      <c r="D139" t="s">
        <v>8</v>
      </c>
      <c r="E139">
        <v>55</v>
      </c>
      <c r="F139" t="s">
        <v>1358</v>
      </c>
      <c r="G139" t="s">
        <v>59</v>
      </c>
      <c r="H139">
        <v>7540</v>
      </c>
      <c r="I139" t="s">
        <v>14</v>
      </c>
      <c r="J139">
        <v>4</v>
      </c>
    </row>
    <row r="140" spans="1:10" x14ac:dyDescent="0.25">
      <c r="A140" t="s">
        <v>129</v>
      </c>
      <c r="B140" t="s">
        <v>366</v>
      </c>
      <c r="C140" t="s">
        <v>367</v>
      </c>
      <c r="D140" t="s">
        <v>3</v>
      </c>
      <c r="E140">
        <v>57</v>
      </c>
      <c r="F140" t="s">
        <v>1358</v>
      </c>
      <c r="G140" t="s">
        <v>51</v>
      </c>
      <c r="H140">
        <v>2404</v>
      </c>
      <c r="I140" t="s">
        <v>4</v>
      </c>
      <c r="J140">
        <v>2</v>
      </c>
    </row>
    <row r="141" spans="1:10" x14ac:dyDescent="0.25">
      <c r="A141" t="s">
        <v>129</v>
      </c>
      <c r="B141" t="s">
        <v>368</v>
      </c>
      <c r="C141" t="s">
        <v>369</v>
      </c>
      <c r="D141" t="s">
        <v>3</v>
      </c>
      <c r="E141">
        <v>27</v>
      </c>
      <c r="F141" t="s">
        <v>1359</v>
      </c>
      <c r="G141" t="s">
        <v>21</v>
      </c>
      <c r="H141">
        <v>7380</v>
      </c>
      <c r="I141" t="s">
        <v>4</v>
      </c>
      <c r="J141">
        <v>1</v>
      </c>
    </row>
    <row r="142" spans="1:10" x14ac:dyDescent="0.25">
      <c r="A142" t="s">
        <v>370</v>
      </c>
      <c r="B142" t="s">
        <v>371</v>
      </c>
      <c r="C142" t="s">
        <v>372</v>
      </c>
      <c r="D142" t="s">
        <v>8</v>
      </c>
      <c r="E142">
        <v>40</v>
      </c>
      <c r="F142" t="s">
        <v>1357</v>
      </c>
      <c r="G142" t="s">
        <v>373</v>
      </c>
      <c r="H142">
        <v>6730</v>
      </c>
      <c r="I142" t="s">
        <v>14</v>
      </c>
      <c r="J142">
        <v>5</v>
      </c>
    </row>
    <row r="143" spans="1:10" x14ac:dyDescent="0.25">
      <c r="A143" t="s">
        <v>374</v>
      </c>
      <c r="B143" t="s">
        <v>375</v>
      </c>
      <c r="C143" t="s">
        <v>376</v>
      </c>
      <c r="D143" t="s">
        <v>8</v>
      </c>
      <c r="E143">
        <v>19</v>
      </c>
      <c r="F143" t="s">
        <v>1359</v>
      </c>
      <c r="G143" t="s">
        <v>248</v>
      </c>
      <c r="H143">
        <v>8296</v>
      </c>
      <c r="I143" t="s">
        <v>14</v>
      </c>
      <c r="J143">
        <v>0</v>
      </c>
    </row>
    <row r="144" spans="1:10" x14ac:dyDescent="0.25">
      <c r="A144" t="s">
        <v>176</v>
      </c>
      <c r="B144" t="s">
        <v>23</v>
      </c>
      <c r="C144" t="s">
        <v>377</v>
      </c>
      <c r="D144" t="s">
        <v>3</v>
      </c>
      <c r="E144">
        <v>51</v>
      </c>
      <c r="F144" t="s">
        <v>1358</v>
      </c>
      <c r="G144" t="s">
        <v>124</v>
      </c>
      <c r="H144">
        <v>5967</v>
      </c>
      <c r="I144" t="s">
        <v>4</v>
      </c>
      <c r="J144">
        <v>3</v>
      </c>
    </row>
    <row r="145" spans="1:10" x14ac:dyDescent="0.25">
      <c r="A145" t="s">
        <v>138</v>
      </c>
      <c r="B145" t="s">
        <v>158</v>
      </c>
      <c r="C145" t="s">
        <v>378</v>
      </c>
      <c r="D145" t="s">
        <v>3</v>
      </c>
      <c r="E145">
        <v>60</v>
      </c>
      <c r="F145" t="s">
        <v>1358</v>
      </c>
      <c r="G145" t="s">
        <v>107</v>
      </c>
      <c r="H145">
        <v>554</v>
      </c>
      <c r="I145" t="s">
        <v>4</v>
      </c>
      <c r="J145">
        <v>0</v>
      </c>
    </row>
    <row r="146" spans="1:10" x14ac:dyDescent="0.25">
      <c r="A146" t="s">
        <v>379</v>
      </c>
      <c r="B146" t="s">
        <v>264</v>
      </c>
      <c r="C146" t="s">
        <v>380</v>
      </c>
      <c r="D146" t="s">
        <v>8</v>
      </c>
      <c r="E146">
        <v>44</v>
      </c>
      <c r="F146" t="s">
        <v>1357</v>
      </c>
      <c r="G146" t="s">
        <v>225</v>
      </c>
      <c r="H146">
        <v>5117</v>
      </c>
      <c r="I146" t="s">
        <v>4</v>
      </c>
      <c r="J146">
        <v>0</v>
      </c>
    </row>
    <row r="147" spans="1:10" x14ac:dyDescent="0.25">
      <c r="A147" t="s">
        <v>30</v>
      </c>
      <c r="B147" t="s">
        <v>148</v>
      </c>
      <c r="C147" t="s">
        <v>381</v>
      </c>
      <c r="D147" t="s">
        <v>3</v>
      </c>
      <c r="E147">
        <v>44</v>
      </c>
      <c r="F147" t="s">
        <v>1357</v>
      </c>
      <c r="G147" t="s">
        <v>382</v>
      </c>
      <c r="H147">
        <v>6423</v>
      </c>
      <c r="I147" t="s">
        <v>4</v>
      </c>
      <c r="J147">
        <v>4</v>
      </c>
    </row>
    <row r="148" spans="1:10" x14ac:dyDescent="0.25">
      <c r="A148" t="s">
        <v>383</v>
      </c>
      <c r="B148" t="s">
        <v>337</v>
      </c>
      <c r="C148" t="s">
        <v>384</v>
      </c>
      <c r="D148" t="s">
        <v>3</v>
      </c>
      <c r="E148">
        <v>30</v>
      </c>
      <c r="F148" t="s">
        <v>1359</v>
      </c>
      <c r="G148" t="s">
        <v>382</v>
      </c>
      <c r="H148">
        <v>9166</v>
      </c>
      <c r="I148" t="s">
        <v>14</v>
      </c>
      <c r="J148">
        <v>2</v>
      </c>
    </row>
    <row r="149" spans="1:10" x14ac:dyDescent="0.25">
      <c r="A149" t="s">
        <v>385</v>
      </c>
      <c r="B149" t="s">
        <v>284</v>
      </c>
      <c r="C149" t="s">
        <v>386</v>
      </c>
      <c r="D149" t="s">
        <v>3</v>
      </c>
      <c r="E149">
        <v>27</v>
      </c>
      <c r="F149" t="s">
        <v>1359</v>
      </c>
      <c r="G149" t="s">
        <v>1364</v>
      </c>
      <c r="H149">
        <v>9001</v>
      </c>
      <c r="I149" t="s">
        <v>14</v>
      </c>
      <c r="J149">
        <v>0</v>
      </c>
    </row>
    <row r="150" spans="1:10" x14ac:dyDescent="0.25">
      <c r="A150" t="s">
        <v>307</v>
      </c>
      <c r="B150" t="s">
        <v>201</v>
      </c>
      <c r="C150" t="s">
        <v>387</v>
      </c>
      <c r="D150" t="s">
        <v>3</v>
      </c>
      <c r="E150">
        <v>59</v>
      </c>
      <c r="F150" t="s">
        <v>1358</v>
      </c>
      <c r="G150" t="s">
        <v>270</v>
      </c>
      <c r="H150">
        <v>6855</v>
      </c>
      <c r="I150" t="s">
        <v>4</v>
      </c>
      <c r="J150">
        <v>5</v>
      </c>
    </row>
    <row r="151" spans="1:10" x14ac:dyDescent="0.25">
      <c r="A151" t="s">
        <v>336</v>
      </c>
      <c r="B151" t="s">
        <v>88</v>
      </c>
      <c r="C151" t="s">
        <v>388</v>
      </c>
      <c r="D151" t="s">
        <v>8</v>
      </c>
      <c r="E151">
        <v>60</v>
      </c>
      <c r="F151" t="s">
        <v>1358</v>
      </c>
      <c r="G151" t="s">
        <v>118</v>
      </c>
      <c r="H151">
        <v>1072</v>
      </c>
      <c r="I151" t="s">
        <v>14</v>
      </c>
      <c r="J151">
        <v>1</v>
      </c>
    </row>
    <row r="152" spans="1:10" x14ac:dyDescent="0.25">
      <c r="A152" t="s">
        <v>257</v>
      </c>
      <c r="B152" t="s">
        <v>16</v>
      </c>
      <c r="C152" t="s">
        <v>389</v>
      </c>
      <c r="D152" t="s">
        <v>3</v>
      </c>
      <c r="E152">
        <v>43</v>
      </c>
      <c r="F152" t="s">
        <v>1357</v>
      </c>
      <c r="G152" t="s">
        <v>169</v>
      </c>
      <c r="H152">
        <v>7363</v>
      </c>
      <c r="I152" t="s">
        <v>4</v>
      </c>
      <c r="J152">
        <v>1</v>
      </c>
    </row>
    <row r="153" spans="1:10" x14ac:dyDescent="0.25">
      <c r="A153" t="s">
        <v>390</v>
      </c>
      <c r="B153" t="s">
        <v>67</v>
      </c>
      <c r="C153" t="s">
        <v>391</v>
      </c>
      <c r="D153" t="s">
        <v>8</v>
      </c>
      <c r="E153">
        <v>46</v>
      </c>
      <c r="F153" t="s">
        <v>1357</v>
      </c>
      <c r="G153" t="s">
        <v>194</v>
      </c>
      <c r="H153">
        <v>3715</v>
      </c>
      <c r="I153" t="s">
        <v>4</v>
      </c>
      <c r="J153">
        <v>5</v>
      </c>
    </row>
    <row r="154" spans="1:10" x14ac:dyDescent="0.25">
      <c r="A154" t="s">
        <v>154</v>
      </c>
      <c r="B154" t="s">
        <v>392</v>
      </c>
      <c r="C154" t="s">
        <v>393</v>
      </c>
      <c r="D154" t="s">
        <v>8</v>
      </c>
      <c r="E154">
        <v>47</v>
      </c>
      <c r="F154" t="s">
        <v>1357</v>
      </c>
      <c r="G154" t="s">
        <v>293</v>
      </c>
      <c r="H154">
        <v>10000</v>
      </c>
      <c r="I154" t="s">
        <v>4</v>
      </c>
      <c r="J154">
        <v>2</v>
      </c>
    </row>
    <row r="155" spans="1:10" x14ac:dyDescent="0.25">
      <c r="A155" t="s">
        <v>314</v>
      </c>
      <c r="B155" t="s">
        <v>326</v>
      </c>
      <c r="C155" t="s">
        <v>394</v>
      </c>
      <c r="D155" t="s">
        <v>8</v>
      </c>
      <c r="E155">
        <v>21</v>
      </c>
      <c r="F155" t="s">
        <v>1359</v>
      </c>
      <c r="G155" t="s">
        <v>194</v>
      </c>
      <c r="H155">
        <v>9640</v>
      </c>
      <c r="I155" t="s">
        <v>4</v>
      </c>
      <c r="J155">
        <v>1</v>
      </c>
    </row>
    <row r="156" spans="1:10" x14ac:dyDescent="0.25">
      <c r="A156" t="s">
        <v>395</v>
      </c>
      <c r="B156" t="s">
        <v>317</v>
      </c>
      <c r="C156" t="s">
        <v>396</v>
      </c>
      <c r="D156" t="s">
        <v>8</v>
      </c>
      <c r="E156">
        <v>46</v>
      </c>
      <c r="F156" t="s">
        <v>1357</v>
      </c>
      <c r="G156" t="s">
        <v>234</v>
      </c>
      <c r="H156">
        <v>5535</v>
      </c>
      <c r="I156" t="s">
        <v>4</v>
      </c>
      <c r="J156">
        <v>4</v>
      </c>
    </row>
    <row r="157" spans="1:10" x14ac:dyDescent="0.25">
      <c r="A157" t="s">
        <v>397</v>
      </c>
      <c r="B157" t="s">
        <v>112</v>
      </c>
      <c r="C157" t="s">
        <v>398</v>
      </c>
      <c r="D157" t="s">
        <v>3</v>
      </c>
      <c r="E157">
        <v>53</v>
      </c>
      <c r="F157" t="s">
        <v>1358</v>
      </c>
      <c r="G157" t="s">
        <v>150</v>
      </c>
      <c r="H157">
        <v>521</v>
      </c>
      <c r="I157" t="s">
        <v>14</v>
      </c>
      <c r="J157">
        <v>4</v>
      </c>
    </row>
    <row r="158" spans="1:10" x14ac:dyDescent="0.25">
      <c r="A158" t="s">
        <v>125</v>
      </c>
      <c r="B158" t="s">
        <v>308</v>
      </c>
      <c r="C158" t="s">
        <v>399</v>
      </c>
      <c r="D158" t="s">
        <v>8</v>
      </c>
      <c r="E158">
        <v>36</v>
      </c>
      <c r="F158" t="s">
        <v>1357</v>
      </c>
      <c r="G158" t="s">
        <v>76</v>
      </c>
      <c r="H158">
        <v>5845</v>
      </c>
      <c r="I158" t="s">
        <v>14</v>
      </c>
      <c r="J158">
        <v>2</v>
      </c>
    </row>
    <row r="159" spans="1:10" x14ac:dyDescent="0.25">
      <c r="A159" t="s">
        <v>400</v>
      </c>
      <c r="B159" t="s">
        <v>177</v>
      </c>
      <c r="C159" t="s">
        <v>401</v>
      </c>
      <c r="D159" t="s">
        <v>3</v>
      </c>
      <c r="E159">
        <v>60</v>
      </c>
      <c r="F159" t="s">
        <v>1358</v>
      </c>
      <c r="G159" t="s">
        <v>29</v>
      </c>
      <c r="H159">
        <v>3670</v>
      </c>
      <c r="I159" t="s">
        <v>14</v>
      </c>
      <c r="J159">
        <v>0</v>
      </c>
    </row>
    <row r="160" spans="1:10" x14ac:dyDescent="0.25">
      <c r="A160" t="s">
        <v>339</v>
      </c>
      <c r="B160" t="s">
        <v>215</v>
      </c>
      <c r="C160" t="s">
        <v>402</v>
      </c>
      <c r="D160" t="s">
        <v>8</v>
      </c>
      <c r="E160">
        <v>56</v>
      </c>
      <c r="F160" t="s">
        <v>1358</v>
      </c>
      <c r="G160" t="s">
        <v>256</v>
      </c>
      <c r="H160">
        <v>8512</v>
      </c>
      <c r="I160" t="s">
        <v>4</v>
      </c>
      <c r="J160">
        <v>0</v>
      </c>
    </row>
    <row r="161" spans="1:10" x14ac:dyDescent="0.25">
      <c r="A161" t="s">
        <v>403</v>
      </c>
      <c r="B161" t="s">
        <v>101</v>
      </c>
      <c r="C161" t="s">
        <v>404</v>
      </c>
      <c r="D161" t="s">
        <v>8</v>
      </c>
      <c r="E161">
        <v>48</v>
      </c>
      <c r="F161" t="s">
        <v>1357</v>
      </c>
      <c r="G161" t="s">
        <v>76</v>
      </c>
      <c r="H161">
        <v>5787</v>
      </c>
      <c r="I161" t="s">
        <v>4</v>
      </c>
      <c r="J161">
        <v>5</v>
      </c>
    </row>
    <row r="162" spans="1:10" x14ac:dyDescent="0.25">
      <c r="A162" t="s">
        <v>257</v>
      </c>
      <c r="B162" t="s">
        <v>162</v>
      </c>
      <c r="C162" t="s">
        <v>405</v>
      </c>
      <c r="D162" t="s">
        <v>3</v>
      </c>
      <c r="E162">
        <v>38</v>
      </c>
      <c r="F162" t="s">
        <v>1357</v>
      </c>
      <c r="G162" t="s">
        <v>256</v>
      </c>
      <c r="H162">
        <v>8616</v>
      </c>
      <c r="I162" t="s">
        <v>14</v>
      </c>
      <c r="J162">
        <v>4</v>
      </c>
    </row>
    <row r="163" spans="1:10" x14ac:dyDescent="0.25">
      <c r="A163" t="s">
        <v>263</v>
      </c>
      <c r="B163" t="s">
        <v>112</v>
      </c>
      <c r="C163" t="s">
        <v>406</v>
      </c>
      <c r="D163" t="s">
        <v>3</v>
      </c>
      <c r="E163">
        <v>45</v>
      </c>
      <c r="F163" t="s">
        <v>1357</v>
      </c>
      <c r="G163" t="s">
        <v>80</v>
      </c>
      <c r="H163">
        <v>9868</v>
      </c>
      <c r="I163" t="s">
        <v>14</v>
      </c>
      <c r="J163">
        <v>5</v>
      </c>
    </row>
    <row r="164" spans="1:10" x14ac:dyDescent="0.25">
      <c r="A164" t="s">
        <v>190</v>
      </c>
      <c r="B164" t="s">
        <v>215</v>
      </c>
      <c r="C164" t="s">
        <v>407</v>
      </c>
      <c r="D164" t="s">
        <v>8</v>
      </c>
      <c r="E164">
        <v>55</v>
      </c>
      <c r="F164" t="s">
        <v>1358</v>
      </c>
      <c r="G164" t="s">
        <v>256</v>
      </c>
      <c r="H164">
        <v>3130</v>
      </c>
      <c r="I164" t="s">
        <v>14</v>
      </c>
      <c r="J164">
        <v>1</v>
      </c>
    </row>
    <row r="165" spans="1:10" x14ac:dyDescent="0.25">
      <c r="A165" t="s">
        <v>408</v>
      </c>
      <c r="B165" t="s">
        <v>409</v>
      </c>
      <c r="C165" t="s">
        <v>410</v>
      </c>
      <c r="D165" t="s">
        <v>3</v>
      </c>
      <c r="E165">
        <v>19</v>
      </c>
      <c r="F165" t="s">
        <v>1359</v>
      </c>
      <c r="G165" t="s">
        <v>211</v>
      </c>
      <c r="H165">
        <v>9366</v>
      </c>
      <c r="I165" t="s">
        <v>14</v>
      </c>
      <c r="J165">
        <v>4</v>
      </c>
    </row>
    <row r="166" spans="1:10" x14ac:dyDescent="0.25">
      <c r="A166" t="s">
        <v>135</v>
      </c>
      <c r="B166" t="s">
        <v>16</v>
      </c>
      <c r="C166" t="s">
        <v>411</v>
      </c>
      <c r="D166" t="s">
        <v>3</v>
      </c>
      <c r="E166">
        <v>56</v>
      </c>
      <c r="F166" t="s">
        <v>1358</v>
      </c>
      <c r="G166" t="s">
        <v>86</v>
      </c>
      <c r="H166">
        <v>8309</v>
      </c>
      <c r="I166" t="s">
        <v>14</v>
      </c>
      <c r="J166">
        <v>1</v>
      </c>
    </row>
    <row r="167" spans="1:10" x14ac:dyDescent="0.25">
      <c r="A167" t="s">
        <v>291</v>
      </c>
      <c r="B167" t="s">
        <v>101</v>
      </c>
      <c r="C167" t="s">
        <v>412</v>
      </c>
      <c r="D167" t="s">
        <v>3</v>
      </c>
      <c r="E167">
        <v>50</v>
      </c>
      <c r="F167" t="s">
        <v>1357</v>
      </c>
      <c r="G167" t="s">
        <v>150</v>
      </c>
      <c r="H167">
        <v>1307</v>
      </c>
      <c r="I167" t="s">
        <v>4</v>
      </c>
      <c r="J167">
        <v>4</v>
      </c>
    </row>
    <row r="168" spans="1:10" x14ac:dyDescent="0.25">
      <c r="A168" t="s">
        <v>385</v>
      </c>
      <c r="B168" t="s">
        <v>71</v>
      </c>
      <c r="C168" t="s">
        <v>413</v>
      </c>
      <c r="D168" t="s">
        <v>3</v>
      </c>
      <c r="E168">
        <v>26</v>
      </c>
      <c r="F168" t="s">
        <v>1359</v>
      </c>
      <c r="G168" t="s">
        <v>234</v>
      </c>
      <c r="H168">
        <v>3389</v>
      </c>
      <c r="I168" t="s">
        <v>14</v>
      </c>
      <c r="J168">
        <v>4</v>
      </c>
    </row>
    <row r="169" spans="1:10" x14ac:dyDescent="0.25">
      <c r="A169" t="s">
        <v>195</v>
      </c>
      <c r="B169" t="s">
        <v>84</v>
      </c>
      <c r="C169" t="s">
        <v>414</v>
      </c>
      <c r="D169" t="s">
        <v>3</v>
      </c>
      <c r="E169">
        <v>24</v>
      </c>
      <c r="F169" t="s">
        <v>1359</v>
      </c>
      <c r="G169" t="s">
        <v>124</v>
      </c>
      <c r="H169">
        <v>6600</v>
      </c>
      <c r="I169" t="s">
        <v>14</v>
      </c>
      <c r="J169">
        <v>2</v>
      </c>
    </row>
    <row r="170" spans="1:10" x14ac:dyDescent="0.25">
      <c r="A170" t="s">
        <v>323</v>
      </c>
      <c r="B170" t="s">
        <v>415</v>
      </c>
      <c r="C170" t="s">
        <v>416</v>
      </c>
      <c r="D170" t="s">
        <v>8</v>
      </c>
      <c r="E170">
        <v>26</v>
      </c>
      <c r="F170" t="s">
        <v>1359</v>
      </c>
      <c r="G170" t="s">
        <v>293</v>
      </c>
      <c r="H170">
        <v>2154</v>
      </c>
      <c r="I170" t="s">
        <v>4</v>
      </c>
      <c r="J170">
        <v>5</v>
      </c>
    </row>
    <row r="171" spans="1:10" x14ac:dyDescent="0.25">
      <c r="A171" t="s">
        <v>417</v>
      </c>
      <c r="B171" t="s">
        <v>409</v>
      </c>
      <c r="C171" t="s">
        <v>418</v>
      </c>
      <c r="D171" t="s">
        <v>8</v>
      </c>
      <c r="E171">
        <v>34</v>
      </c>
      <c r="F171" t="s">
        <v>1357</v>
      </c>
      <c r="G171" t="s">
        <v>80</v>
      </c>
      <c r="H171">
        <v>2627</v>
      </c>
      <c r="I171" t="s">
        <v>4</v>
      </c>
      <c r="J171">
        <v>5</v>
      </c>
    </row>
    <row r="172" spans="1:10" x14ac:dyDescent="0.25">
      <c r="A172" t="s">
        <v>419</v>
      </c>
      <c r="B172" t="s">
        <v>420</v>
      </c>
      <c r="C172" t="s">
        <v>421</v>
      </c>
      <c r="D172" t="s">
        <v>8</v>
      </c>
      <c r="E172">
        <v>55</v>
      </c>
      <c r="F172" t="s">
        <v>1358</v>
      </c>
      <c r="G172" t="s">
        <v>270</v>
      </c>
      <c r="H172">
        <v>2441</v>
      </c>
      <c r="I172" t="s">
        <v>4</v>
      </c>
      <c r="J172">
        <v>4</v>
      </c>
    </row>
    <row r="173" spans="1:10" x14ac:dyDescent="0.25">
      <c r="A173" t="s">
        <v>44</v>
      </c>
      <c r="B173" t="s">
        <v>34</v>
      </c>
      <c r="C173" t="s">
        <v>422</v>
      </c>
      <c r="D173" t="s">
        <v>8</v>
      </c>
      <c r="E173">
        <v>19</v>
      </c>
      <c r="F173" t="s">
        <v>1359</v>
      </c>
      <c r="G173" t="s">
        <v>227</v>
      </c>
      <c r="H173">
        <v>5566</v>
      </c>
      <c r="I173" t="s">
        <v>14</v>
      </c>
      <c r="J173">
        <v>1</v>
      </c>
    </row>
    <row r="174" spans="1:10" x14ac:dyDescent="0.25">
      <c r="A174" t="s">
        <v>423</v>
      </c>
      <c r="B174" t="s">
        <v>27</v>
      </c>
      <c r="C174" t="s">
        <v>424</v>
      </c>
      <c r="D174" t="s">
        <v>8</v>
      </c>
      <c r="E174">
        <v>54</v>
      </c>
      <c r="F174" t="s">
        <v>1358</v>
      </c>
      <c r="G174" t="s">
        <v>280</v>
      </c>
      <c r="H174">
        <v>8489</v>
      </c>
      <c r="I174" t="s">
        <v>14</v>
      </c>
      <c r="J174">
        <v>5</v>
      </c>
    </row>
    <row r="175" spans="1:10" x14ac:dyDescent="0.25">
      <c r="A175" t="s">
        <v>157</v>
      </c>
      <c r="B175" t="s">
        <v>425</v>
      </c>
      <c r="C175" t="s">
        <v>426</v>
      </c>
      <c r="D175" t="s">
        <v>3</v>
      </c>
      <c r="E175">
        <v>36</v>
      </c>
      <c r="F175" t="s">
        <v>1357</v>
      </c>
      <c r="G175" t="s">
        <v>59</v>
      </c>
      <c r="H175">
        <v>1734</v>
      </c>
      <c r="I175" t="s">
        <v>4</v>
      </c>
      <c r="J175">
        <v>5</v>
      </c>
    </row>
    <row r="176" spans="1:10" x14ac:dyDescent="0.25">
      <c r="A176" t="s">
        <v>304</v>
      </c>
      <c r="B176" t="s">
        <v>116</v>
      </c>
      <c r="C176" t="s">
        <v>427</v>
      </c>
      <c r="D176" t="s">
        <v>3</v>
      </c>
      <c r="E176">
        <v>58</v>
      </c>
      <c r="F176" t="s">
        <v>1358</v>
      </c>
      <c r="G176" t="s">
        <v>59</v>
      </c>
      <c r="H176">
        <v>7325</v>
      </c>
      <c r="I176" t="s">
        <v>14</v>
      </c>
      <c r="J176">
        <v>5</v>
      </c>
    </row>
    <row r="177" spans="1:10" x14ac:dyDescent="0.25">
      <c r="A177" t="s">
        <v>61</v>
      </c>
      <c r="B177" t="s">
        <v>375</v>
      </c>
      <c r="C177" t="s">
        <v>428</v>
      </c>
      <c r="D177" t="s">
        <v>3</v>
      </c>
      <c r="E177">
        <v>50</v>
      </c>
      <c r="F177" t="s">
        <v>1357</v>
      </c>
      <c r="G177" t="s">
        <v>160</v>
      </c>
      <c r="H177">
        <v>1268</v>
      </c>
      <c r="I177" t="s">
        <v>14</v>
      </c>
      <c r="J177">
        <v>4</v>
      </c>
    </row>
    <row r="178" spans="1:10" x14ac:dyDescent="0.25">
      <c r="A178" t="s">
        <v>254</v>
      </c>
      <c r="B178" t="s">
        <v>65</v>
      </c>
      <c r="C178" t="s">
        <v>429</v>
      </c>
      <c r="D178" t="s">
        <v>3</v>
      </c>
      <c r="E178">
        <v>52</v>
      </c>
      <c r="F178" t="s">
        <v>1358</v>
      </c>
      <c r="G178" t="s">
        <v>256</v>
      </c>
      <c r="H178">
        <v>3433</v>
      </c>
      <c r="I178" t="s">
        <v>14</v>
      </c>
      <c r="J178">
        <v>2</v>
      </c>
    </row>
    <row r="179" spans="1:10" x14ac:dyDescent="0.25">
      <c r="A179" t="s">
        <v>44</v>
      </c>
      <c r="B179" t="s">
        <v>244</v>
      </c>
      <c r="C179" t="s">
        <v>430</v>
      </c>
      <c r="D179" t="s">
        <v>8</v>
      </c>
      <c r="E179">
        <v>47</v>
      </c>
      <c r="F179" t="s">
        <v>1357</v>
      </c>
      <c r="G179" t="s">
        <v>131</v>
      </c>
      <c r="H179">
        <v>2142</v>
      </c>
      <c r="I179" t="s">
        <v>14</v>
      </c>
      <c r="J179">
        <v>2</v>
      </c>
    </row>
    <row r="180" spans="1:10" x14ac:dyDescent="0.25">
      <c r="A180" t="s">
        <v>129</v>
      </c>
      <c r="B180" t="s">
        <v>148</v>
      </c>
      <c r="C180" t="s">
        <v>431</v>
      </c>
      <c r="D180" t="s">
        <v>3</v>
      </c>
      <c r="E180">
        <v>60</v>
      </c>
      <c r="F180" t="s">
        <v>1358</v>
      </c>
      <c r="G180" t="s">
        <v>270</v>
      </c>
      <c r="H180">
        <v>7231</v>
      </c>
      <c r="I180" t="s">
        <v>4</v>
      </c>
      <c r="J180">
        <v>0</v>
      </c>
    </row>
    <row r="181" spans="1:10" x14ac:dyDescent="0.25">
      <c r="A181" t="s">
        <v>432</v>
      </c>
      <c r="B181" t="s">
        <v>433</v>
      </c>
      <c r="C181" t="s">
        <v>434</v>
      </c>
      <c r="D181" t="s">
        <v>3</v>
      </c>
      <c r="E181">
        <v>24</v>
      </c>
      <c r="F181" t="s">
        <v>1359</v>
      </c>
      <c r="G181" t="s">
        <v>9</v>
      </c>
      <c r="H181">
        <v>5659</v>
      </c>
      <c r="I181" t="s">
        <v>14</v>
      </c>
      <c r="J181">
        <v>5</v>
      </c>
    </row>
    <row r="182" spans="1:10" x14ac:dyDescent="0.25">
      <c r="A182" t="s">
        <v>435</v>
      </c>
      <c r="B182" t="s">
        <v>57</v>
      </c>
      <c r="C182" t="s">
        <v>436</v>
      </c>
      <c r="D182" t="s">
        <v>8</v>
      </c>
      <c r="E182">
        <v>47</v>
      </c>
      <c r="F182" t="s">
        <v>1357</v>
      </c>
      <c r="G182" t="s">
        <v>128</v>
      </c>
      <c r="H182">
        <v>9058</v>
      </c>
      <c r="I182" t="s">
        <v>4</v>
      </c>
      <c r="J182">
        <v>0</v>
      </c>
    </row>
    <row r="183" spans="1:10" x14ac:dyDescent="0.25">
      <c r="A183" t="s">
        <v>437</v>
      </c>
      <c r="B183" t="s">
        <v>16</v>
      </c>
      <c r="C183" t="s">
        <v>438</v>
      </c>
      <c r="D183" t="s">
        <v>8</v>
      </c>
      <c r="E183">
        <v>50</v>
      </c>
      <c r="F183" t="s">
        <v>1357</v>
      </c>
      <c r="G183" t="s">
        <v>107</v>
      </c>
      <c r="H183">
        <v>8387</v>
      </c>
      <c r="I183" t="s">
        <v>14</v>
      </c>
      <c r="J183">
        <v>3</v>
      </c>
    </row>
    <row r="184" spans="1:10" x14ac:dyDescent="0.25">
      <c r="A184" t="s">
        <v>439</v>
      </c>
      <c r="B184" t="s">
        <v>78</v>
      </c>
      <c r="C184" t="s">
        <v>440</v>
      </c>
      <c r="D184" t="s">
        <v>3</v>
      </c>
      <c r="E184">
        <v>56</v>
      </c>
      <c r="F184" t="s">
        <v>1358</v>
      </c>
      <c r="G184" t="s">
        <v>51</v>
      </c>
      <c r="H184">
        <v>1722</v>
      </c>
      <c r="I184" t="s">
        <v>14</v>
      </c>
      <c r="J184">
        <v>5</v>
      </c>
    </row>
    <row r="185" spans="1:10" x14ac:dyDescent="0.25">
      <c r="A185" t="s">
        <v>166</v>
      </c>
      <c r="B185" t="s">
        <v>16</v>
      </c>
      <c r="C185" t="s">
        <v>441</v>
      </c>
      <c r="D185" t="s">
        <v>3</v>
      </c>
      <c r="E185">
        <v>20</v>
      </c>
      <c r="F185" t="s">
        <v>1359</v>
      </c>
      <c r="G185" t="s">
        <v>107</v>
      </c>
      <c r="H185">
        <v>4979</v>
      </c>
      <c r="I185" t="s">
        <v>4</v>
      </c>
      <c r="J185">
        <v>0</v>
      </c>
    </row>
    <row r="186" spans="1:10" x14ac:dyDescent="0.25">
      <c r="A186" t="s">
        <v>87</v>
      </c>
      <c r="B186" t="s">
        <v>340</v>
      </c>
      <c r="C186" t="s">
        <v>442</v>
      </c>
      <c r="D186" t="s">
        <v>3</v>
      </c>
      <c r="E186">
        <v>45</v>
      </c>
      <c r="F186" t="s">
        <v>1357</v>
      </c>
      <c r="G186" t="s">
        <v>150</v>
      </c>
      <c r="H186">
        <v>9390</v>
      </c>
      <c r="I186" t="s">
        <v>14</v>
      </c>
      <c r="J186">
        <v>2</v>
      </c>
    </row>
    <row r="187" spans="1:10" x14ac:dyDescent="0.25">
      <c r="A187" t="s">
        <v>443</v>
      </c>
      <c r="B187" t="s">
        <v>324</v>
      </c>
      <c r="C187" t="s">
        <v>444</v>
      </c>
      <c r="D187" t="s">
        <v>3</v>
      </c>
      <c r="E187">
        <v>52</v>
      </c>
      <c r="F187" t="s">
        <v>1358</v>
      </c>
      <c r="G187" t="s">
        <v>231</v>
      </c>
      <c r="H187">
        <v>9726</v>
      </c>
      <c r="I187" t="s">
        <v>14</v>
      </c>
      <c r="J187">
        <v>3</v>
      </c>
    </row>
    <row r="188" spans="1:10" x14ac:dyDescent="0.25">
      <c r="A188" t="s">
        <v>445</v>
      </c>
      <c r="B188" t="s">
        <v>324</v>
      </c>
      <c r="C188" t="s">
        <v>446</v>
      </c>
      <c r="D188" t="s">
        <v>3</v>
      </c>
      <c r="E188">
        <v>30</v>
      </c>
      <c r="F188" t="s">
        <v>1359</v>
      </c>
      <c r="G188" t="s">
        <v>82</v>
      </c>
      <c r="H188">
        <v>2015</v>
      </c>
      <c r="I188" t="s">
        <v>14</v>
      </c>
      <c r="J188">
        <v>1</v>
      </c>
    </row>
    <row r="189" spans="1:10" x14ac:dyDescent="0.25">
      <c r="A189" t="s">
        <v>161</v>
      </c>
      <c r="B189" t="s">
        <v>392</v>
      </c>
      <c r="C189" t="s">
        <v>447</v>
      </c>
      <c r="D189" t="s">
        <v>8</v>
      </c>
      <c r="E189">
        <v>36</v>
      </c>
      <c r="F189" t="s">
        <v>1357</v>
      </c>
      <c r="G189" t="s">
        <v>303</v>
      </c>
      <c r="H189">
        <v>1919</v>
      </c>
      <c r="I189" t="s">
        <v>4</v>
      </c>
      <c r="J189">
        <v>2</v>
      </c>
    </row>
    <row r="190" spans="1:10" x14ac:dyDescent="0.25">
      <c r="A190" t="s">
        <v>300</v>
      </c>
      <c r="B190" t="s">
        <v>65</v>
      </c>
      <c r="C190" t="s">
        <v>448</v>
      </c>
      <c r="D190" t="s">
        <v>3</v>
      </c>
      <c r="E190">
        <v>24</v>
      </c>
      <c r="F190" t="s">
        <v>1359</v>
      </c>
      <c r="G190" t="s">
        <v>118</v>
      </c>
      <c r="H190">
        <v>6447</v>
      </c>
      <c r="I190" t="s">
        <v>14</v>
      </c>
      <c r="J190">
        <v>5</v>
      </c>
    </row>
    <row r="191" spans="1:10" x14ac:dyDescent="0.25">
      <c r="A191" t="s">
        <v>243</v>
      </c>
      <c r="B191" t="s">
        <v>84</v>
      </c>
      <c r="C191" t="s">
        <v>449</v>
      </c>
      <c r="D191" t="s">
        <v>3</v>
      </c>
      <c r="E191">
        <v>25</v>
      </c>
      <c r="F191" t="s">
        <v>1359</v>
      </c>
      <c r="G191" t="s">
        <v>256</v>
      </c>
      <c r="H191">
        <v>5826</v>
      </c>
      <c r="I191" t="s">
        <v>14</v>
      </c>
      <c r="J191">
        <v>2</v>
      </c>
    </row>
    <row r="192" spans="1:10" x14ac:dyDescent="0.25">
      <c r="A192" t="s">
        <v>439</v>
      </c>
      <c r="B192" t="s">
        <v>185</v>
      </c>
      <c r="C192" t="s">
        <v>450</v>
      </c>
      <c r="D192" t="s">
        <v>3</v>
      </c>
      <c r="E192">
        <v>44</v>
      </c>
      <c r="F192" t="s">
        <v>1357</v>
      </c>
      <c r="G192" t="s">
        <v>160</v>
      </c>
      <c r="H192">
        <v>3402</v>
      </c>
      <c r="I192" t="s">
        <v>14</v>
      </c>
      <c r="J192">
        <v>0</v>
      </c>
    </row>
    <row r="193" spans="1:10" x14ac:dyDescent="0.25">
      <c r="A193" t="s">
        <v>108</v>
      </c>
      <c r="B193" t="s">
        <v>229</v>
      </c>
      <c r="C193" t="s">
        <v>451</v>
      </c>
      <c r="D193" t="s">
        <v>3</v>
      </c>
      <c r="E193">
        <v>33</v>
      </c>
      <c r="F193" t="s">
        <v>1357</v>
      </c>
      <c r="G193" t="s">
        <v>197</v>
      </c>
      <c r="H193">
        <v>6961</v>
      </c>
      <c r="I193" t="s">
        <v>14</v>
      </c>
      <c r="J193">
        <v>2</v>
      </c>
    </row>
    <row r="194" spans="1:10" x14ac:dyDescent="0.25">
      <c r="A194" t="s">
        <v>15</v>
      </c>
      <c r="B194" t="s">
        <v>45</v>
      </c>
      <c r="C194" t="s">
        <v>452</v>
      </c>
      <c r="D194" t="s">
        <v>8</v>
      </c>
      <c r="E194">
        <v>50</v>
      </c>
      <c r="F194" t="s">
        <v>1357</v>
      </c>
      <c r="G194" t="s">
        <v>150</v>
      </c>
      <c r="H194">
        <v>2808</v>
      </c>
      <c r="I194" t="s">
        <v>4</v>
      </c>
      <c r="J194">
        <v>1</v>
      </c>
    </row>
    <row r="195" spans="1:10" x14ac:dyDescent="0.25">
      <c r="A195" t="s">
        <v>439</v>
      </c>
      <c r="B195" t="s">
        <v>284</v>
      </c>
      <c r="C195" t="s">
        <v>453</v>
      </c>
      <c r="D195" t="s">
        <v>3</v>
      </c>
      <c r="E195">
        <v>54</v>
      </c>
      <c r="F195" t="s">
        <v>1358</v>
      </c>
      <c r="G195" t="s">
        <v>134</v>
      </c>
      <c r="H195">
        <v>2558</v>
      </c>
      <c r="I195" t="s">
        <v>4</v>
      </c>
      <c r="J195">
        <v>0</v>
      </c>
    </row>
    <row r="196" spans="1:10" x14ac:dyDescent="0.25">
      <c r="A196" t="s">
        <v>454</v>
      </c>
      <c r="B196" t="s">
        <v>358</v>
      </c>
      <c r="C196" t="s">
        <v>455</v>
      </c>
      <c r="D196" t="s">
        <v>8</v>
      </c>
      <c r="E196">
        <v>55</v>
      </c>
      <c r="F196" t="s">
        <v>1358</v>
      </c>
      <c r="G196" t="s">
        <v>199</v>
      </c>
      <c r="H196">
        <v>2509</v>
      </c>
      <c r="I196" t="s">
        <v>4</v>
      </c>
      <c r="J196">
        <v>2</v>
      </c>
    </row>
    <row r="197" spans="1:10" x14ac:dyDescent="0.25">
      <c r="A197" t="s">
        <v>456</v>
      </c>
      <c r="B197" t="s">
        <v>326</v>
      </c>
      <c r="C197" t="s">
        <v>457</v>
      </c>
      <c r="D197" t="s">
        <v>3</v>
      </c>
      <c r="E197">
        <v>28</v>
      </c>
      <c r="F197" t="s">
        <v>1359</v>
      </c>
      <c r="G197" t="s">
        <v>80</v>
      </c>
      <c r="H197">
        <v>3666</v>
      </c>
      <c r="I197" t="s">
        <v>4</v>
      </c>
      <c r="J197">
        <v>1</v>
      </c>
    </row>
    <row r="198" spans="1:10" x14ac:dyDescent="0.25">
      <c r="A198" t="s">
        <v>458</v>
      </c>
      <c r="B198" t="s">
        <v>459</v>
      </c>
      <c r="C198" t="s">
        <v>460</v>
      </c>
      <c r="D198" t="s">
        <v>8</v>
      </c>
      <c r="E198">
        <v>40</v>
      </c>
      <c r="F198" t="s">
        <v>1357</v>
      </c>
      <c r="G198" t="s">
        <v>280</v>
      </c>
      <c r="H198">
        <v>5837</v>
      </c>
      <c r="I198" t="s">
        <v>14</v>
      </c>
      <c r="J198">
        <v>5</v>
      </c>
    </row>
    <row r="199" spans="1:10" x14ac:dyDescent="0.25">
      <c r="A199" t="s">
        <v>461</v>
      </c>
      <c r="B199" t="s">
        <v>180</v>
      </c>
      <c r="C199" t="s">
        <v>462</v>
      </c>
      <c r="D199" t="s">
        <v>8</v>
      </c>
      <c r="E199">
        <v>29</v>
      </c>
      <c r="F199" t="s">
        <v>1359</v>
      </c>
      <c r="G199" t="s">
        <v>182</v>
      </c>
      <c r="H199">
        <v>861</v>
      </c>
      <c r="I199" t="s">
        <v>14</v>
      </c>
      <c r="J199">
        <v>1</v>
      </c>
    </row>
    <row r="200" spans="1:10" x14ac:dyDescent="0.25">
      <c r="A200" t="s">
        <v>319</v>
      </c>
      <c r="B200" t="s">
        <v>463</v>
      </c>
      <c r="C200" t="s">
        <v>464</v>
      </c>
      <c r="D200" t="s">
        <v>3</v>
      </c>
      <c r="E200">
        <v>49</v>
      </c>
      <c r="F200" t="s">
        <v>1357</v>
      </c>
      <c r="G200" t="s">
        <v>69</v>
      </c>
      <c r="H200">
        <v>3674</v>
      </c>
      <c r="I200" t="s">
        <v>14</v>
      </c>
      <c r="J200">
        <v>0</v>
      </c>
    </row>
    <row r="201" spans="1:10" x14ac:dyDescent="0.25">
      <c r="A201" t="s">
        <v>465</v>
      </c>
      <c r="B201" t="s">
        <v>366</v>
      </c>
      <c r="C201" t="s">
        <v>466</v>
      </c>
      <c r="D201" t="s">
        <v>3</v>
      </c>
      <c r="E201">
        <v>32</v>
      </c>
      <c r="F201" t="s">
        <v>1357</v>
      </c>
      <c r="G201" t="s">
        <v>211</v>
      </c>
      <c r="H201">
        <v>1199</v>
      </c>
      <c r="I201" t="s">
        <v>14</v>
      </c>
      <c r="J201">
        <v>1</v>
      </c>
    </row>
    <row r="202" spans="1:10" x14ac:dyDescent="0.25">
      <c r="A202" t="s">
        <v>263</v>
      </c>
      <c r="B202" t="s">
        <v>200</v>
      </c>
      <c r="C202" t="s">
        <v>467</v>
      </c>
      <c r="D202" t="s">
        <v>3</v>
      </c>
      <c r="E202">
        <v>20</v>
      </c>
      <c r="F202" t="s">
        <v>1359</v>
      </c>
      <c r="G202" t="s">
        <v>82</v>
      </c>
      <c r="H202">
        <v>2894</v>
      </c>
      <c r="I202" t="s">
        <v>14</v>
      </c>
      <c r="J202">
        <v>4</v>
      </c>
    </row>
    <row r="203" spans="1:10" x14ac:dyDescent="0.25">
      <c r="A203" t="s">
        <v>298</v>
      </c>
      <c r="B203" t="s">
        <v>116</v>
      </c>
      <c r="C203" t="s">
        <v>468</v>
      </c>
      <c r="D203" t="s">
        <v>3</v>
      </c>
      <c r="E203">
        <v>20</v>
      </c>
      <c r="F203" t="s">
        <v>1359</v>
      </c>
      <c r="G203" t="s">
        <v>47</v>
      </c>
      <c r="H203">
        <v>5257</v>
      </c>
      <c r="I203" t="s">
        <v>14</v>
      </c>
      <c r="J203">
        <v>0</v>
      </c>
    </row>
    <row r="204" spans="1:10" x14ac:dyDescent="0.25">
      <c r="A204" t="s">
        <v>10</v>
      </c>
      <c r="B204" t="s">
        <v>433</v>
      </c>
      <c r="C204" t="s">
        <v>469</v>
      </c>
      <c r="D204" t="s">
        <v>3</v>
      </c>
      <c r="E204">
        <v>20</v>
      </c>
      <c r="F204" t="s">
        <v>1359</v>
      </c>
      <c r="G204" t="s">
        <v>21</v>
      </c>
      <c r="H204">
        <v>4783</v>
      </c>
      <c r="I204" t="s">
        <v>14</v>
      </c>
      <c r="J204">
        <v>1</v>
      </c>
    </row>
    <row r="205" spans="1:10" x14ac:dyDescent="0.25">
      <c r="A205" t="s">
        <v>209</v>
      </c>
      <c r="B205" t="s">
        <v>375</v>
      </c>
      <c r="C205" t="s">
        <v>470</v>
      </c>
      <c r="D205" t="s">
        <v>8</v>
      </c>
      <c r="E205">
        <v>45</v>
      </c>
      <c r="F205" t="s">
        <v>1357</v>
      </c>
      <c r="G205" t="s">
        <v>21</v>
      </c>
      <c r="H205">
        <v>2943</v>
      </c>
      <c r="I205" t="s">
        <v>14</v>
      </c>
      <c r="J205">
        <v>4</v>
      </c>
    </row>
    <row r="206" spans="1:10" x14ac:dyDescent="0.25">
      <c r="A206" t="s">
        <v>73</v>
      </c>
      <c r="B206" t="s">
        <v>148</v>
      </c>
      <c r="C206" t="s">
        <v>471</v>
      </c>
      <c r="D206" t="s">
        <v>3</v>
      </c>
      <c r="E206">
        <v>25</v>
      </c>
      <c r="F206" t="s">
        <v>1359</v>
      </c>
      <c r="G206" t="s">
        <v>82</v>
      </c>
      <c r="H206">
        <v>9990</v>
      </c>
      <c r="I206" t="s">
        <v>4</v>
      </c>
      <c r="J206">
        <v>3</v>
      </c>
    </row>
    <row r="207" spans="1:10" x14ac:dyDescent="0.25">
      <c r="A207" t="s">
        <v>374</v>
      </c>
      <c r="B207" t="s">
        <v>284</v>
      </c>
      <c r="C207" t="s">
        <v>472</v>
      </c>
      <c r="D207" t="s">
        <v>8</v>
      </c>
      <c r="E207">
        <v>28</v>
      </c>
      <c r="F207" t="s">
        <v>1359</v>
      </c>
      <c r="G207" t="s">
        <v>43</v>
      </c>
      <c r="H207">
        <v>4596</v>
      </c>
      <c r="I207" t="s">
        <v>4</v>
      </c>
      <c r="J207">
        <v>5</v>
      </c>
    </row>
    <row r="208" spans="1:10" x14ac:dyDescent="0.25">
      <c r="A208" t="s">
        <v>473</v>
      </c>
      <c r="B208" t="s">
        <v>229</v>
      </c>
      <c r="C208" t="s">
        <v>474</v>
      </c>
      <c r="D208" t="s">
        <v>8</v>
      </c>
      <c r="E208">
        <v>19</v>
      </c>
      <c r="F208" t="s">
        <v>1359</v>
      </c>
      <c r="G208" t="s">
        <v>25</v>
      </c>
      <c r="H208">
        <v>4816</v>
      </c>
      <c r="I208" t="s">
        <v>14</v>
      </c>
      <c r="J208">
        <v>1</v>
      </c>
    </row>
    <row r="209" spans="1:10" x14ac:dyDescent="0.25">
      <c r="A209" t="s">
        <v>370</v>
      </c>
      <c r="B209" t="s">
        <v>244</v>
      </c>
      <c r="C209" t="s">
        <v>475</v>
      </c>
      <c r="D209" t="s">
        <v>8</v>
      </c>
      <c r="E209">
        <v>42</v>
      </c>
      <c r="F209" t="s">
        <v>1357</v>
      </c>
      <c r="G209" t="s">
        <v>21</v>
      </c>
      <c r="H209">
        <v>3031</v>
      </c>
      <c r="I209" t="s">
        <v>14</v>
      </c>
      <c r="J209">
        <v>4</v>
      </c>
    </row>
    <row r="210" spans="1:10" x14ac:dyDescent="0.25">
      <c r="A210" t="s">
        <v>267</v>
      </c>
      <c r="B210" t="s">
        <v>136</v>
      </c>
      <c r="C210" t="s">
        <v>476</v>
      </c>
      <c r="D210" t="s">
        <v>8</v>
      </c>
      <c r="E210">
        <v>60</v>
      </c>
      <c r="F210" t="s">
        <v>1358</v>
      </c>
      <c r="G210" t="s">
        <v>9</v>
      </c>
      <c r="H210">
        <v>1064</v>
      </c>
      <c r="I210" t="s">
        <v>14</v>
      </c>
      <c r="J210">
        <v>5</v>
      </c>
    </row>
    <row r="211" spans="1:10" x14ac:dyDescent="0.25">
      <c r="A211" t="s">
        <v>477</v>
      </c>
      <c r="B211" t="s">
        <v>478</v>
      </c>
      <c r="C211" t="s">
        <v>479</v>
      </c>
      <c r="D211" t="s">
        <v>8</v>
      </c>
      <c r="E211">
        <v>29</v>
      </c>
      <c r="F211" t="s">
        <v>1359</v>
      </c>
      <c r="G211" t="s">
        <v>303</v>
      </c>
      <c r="H211">
        <v>5479</v>
      </c>
      <c r="I211" t="s">
        <v>14</v>
      </c>
      <c r="J211">
        <v>2</v>
      </c>
    </row>
    <row r="212" spans="1:10" x14ac:dyDescent="0.25">
      <c r="A212" t="s">
        <v>480</v>
      </c>
      <c r="B212" t="s">
        <v>53</v>
      </c>
      <c r="C212" t="s">
        <v>481</v>
      </c>
      <c r="D212" t="s">
        <v>8</v>
      </c>
      <c r="E212">
        <v>29</v>
      </c>
      <c r="F212" t="s">
        <v>1359</v>
      </c>
      <c r="G212" t="s">
        <v>199</v>
      </c>
      <c r="H212">
        <v>4006</v>
      </c>
      <c r="I212" t="s">
        <v>14</v>
      </c>
      <c r="J212">
        <v>1</v>
      </c>
    </row>
    <row r="213" spans="1:10" x14ac:dyDescent="0.25">
      <c r="A213" t="s">
        <v>482</v>
      </c>
      <c r="B213" t="s">
        <v>167</v>
      </c>
      <c r="C213" t="s">
        <v>483</v>
      </c>
      <c r="D213" t="s">
        <v>8</v>
      </c>
      <c r="E213">
        <v>40</v>
      </c>
      <c r="F213" t="s">
        <v>1357</v>
      </c>
      <c r="G213" t="s">
        <v>82</v>
      </c>
      <c r="H213">
        <v>2192</v>
      </c>
      <c r="I213" t="s">
        <v>14</v>
      </c>
      <c r="J213">
        <v>4</v>
      </c>
    </row>
    <row r="214" spans="1:10" x14ac:dyDescent="0.25">
      <c r="A214" t="s">
        <v>484</v>
      </c>
      <c r="B214" t="s">
        <v>268</v>
      </c>
      <c r="C214" t="s">
        <v>485</v>
      </c>
      <c r="D214" t="s">
        <v>3</v>
      </c>
      <c r="E214">
        <v>60</v>
      </c>
      <c r="F214" t="s">
        <v>1358</v>
      </c>
      <c r="G214" t="s">
        <v>187</v>
      </c>
      <c r="H214">
        <v>9005</v>
      </c>
      <c r="I214" t="s">
        <v>14</v>
      </c>
      <c r="J214">
        <v>0</v>
      </c>
    </row>
    <row r="215" spans="1:10" x14ac:dyDescent="0.25">
      <c r="A215" t="s">
        <v>417</v>
      </c>
      <c r="B215" t="s">
        <v>74</v>
      </c>
      <c r="C215" t="s">
        <v>486</v>
      </c>
      <c r="D215" t="s">
        <v>8</v>
      </c>
      <c r="E215">
        <v>36</v>
      </c>
      <c r="F215" t="s">
        <v>1357</v>
      </c>
      <c r="G215" t="s">
        <v>80</v>
      </c>
      <c r="H215">
        <v>6417</v>
      </c>
      <c r="I215" t="s">
        <v>14</v>
      </c>
      <c r="J215">
        <v>2</v>
      </c>
    </row>
    <row r="216" spans="1:10" x14ac:dyDescent="0.25">
      <c r="A216" t="s">
        <v>395</v>
      </c>
      <c r="B216" t="s">
        <v>139</v>
      </c>
      <c r="C216" t="s">
        <v>487</v>
      </c>
      <c r="D216" t="s">
        <v>8</v>
      </c>
      <c r="E216">
        <v>39</v>
      </c>
      <c r="F216" t="s">
        <v>1357</v>
      </c>
      <c r="G216" t="s">
        <v>293</v>
      </c>
      <c r="H216">
        <v>4177</v>
      </c>
      <c r="I216" t="s">
        <v>14</v>
      </c>
      <c r="J216">
        <v>3</v>
      </c>
    </row>
    <row r="217" spans="1:10" x14ac:dyDescent="0.25">
      <c r="A217" t="s">
        <v>276</v>
      </c>
      <c r="B217" t="s">
        <v>105</v>
      </c>
      <c r="C217" t="s">
        <v>488</v>
      </c>
      <c r="D217" t="s">
        <v>3</v>
      </c>
      <c r="E217">
        <v>21</v>
      </c>
      <c r="F217" t="s">
        <v>1359</v>
      </c>
      <c r="G217" t="s">
        <v>225</v>
      </c>
      <c r="H217">
        <v>4143</v>
      </c>
      <c r="I217" t="s">
        <v>14</v>
      </c>
      <c r="J217">
        <v>5</v>
      </c>
    </row>
    <row r="218" spans="1:10" x14ac:dyDescent="0.25">
      <c r="A218" t="s">
        <v>489</v>
      </c>
      <c r="B218" t="s">
        <v>74</v>
      </c>
      <c r="C218" t="s">
        <v>490</v>
      </c>
      <c r="D218" t="s">
        <v>3</v>
      </c>
      <c r="E218">
        <v>57</v>
      </c>
      <c r="F218" t="s">
        <v>1358</v>
      </c>
      <c r="G218" t="s">
        <v>290</v>
      </c>
      <c r="H218">
        <v>8158</v>
      </c>
      <c r="I218" t="s">
        <v>14</v>
      </c>
      <c r="J218">
        <v>1</v>
      </c>
    </row>
    <row r="219" spans="1:10" x14ac:dyDescent="0.25">
      <c r="A219" t="s">
        <v>491</v>
      </c>
      <c r="B219" t="s">
        <v>204</v>
      </c>
      <c r="C219" t="s">
        <v>492</v>
      </c>
      <c r="D219" t="s">
        <v>3</v>
      </c>
      <c r="E219">
        <v>31</v>
      </c>
      <c r="F219" t="s">
        <v>1357</v>
      </c>
      <c r="G219" t="s">
        <v>114</v>
      </c>
      <c r="H219">
        <v>3356</v>
      </c>
      <c r="I219" t="s">
        <v>14</v>
      </c>
      <c r="J219">
        <v>0</v>
      </c>
    </row>
    <row r="220" spans="1:10" x14ac:dyDescent="0.25">
      <c r="A220" t="s">
        <v>493</v>
      </c>
      <c r="B220" t="s">
        <v>88</v>
      </c>
      <c r="C220" t="s">
        <v>494</v>
      </c>
      <c r="D220" t="s">
        <v>3</v>
      </c>
      <c r="E220">
        <v>51</v>
      </c>
      <c r="F220" t="s">
        <v>1358</v>
      </c>
      <c r="G220" t="s">
        <v>172</v>
      </c>
      <c r="H220">
        <v>5242</v>
      </c>
      <c r="I220" t="s">
        <v>14</v>
      </c>
      <c r="J220">
        <v>3</v>
      </c>
    </row>
    <row r="221" spans="1:10" x14ac:dyDescent="0.25">
      <c r="A221" t="s">
        <v>495</v>
      </c>
      <c r="B221" t="s">
        <v>16</v>
      </c>
      <c r="C221" t="s">
        <v>496</v>
      </c>
      <c r="D221" t="s">
        <v>3</v>
      </c>
      <c r="E221">
        <v>29</v>
      </c>
      <c r="F221" t="s">
        <v>1359</v>
      </c>
      <c r="G221" t="s">
        <v>231</v>
      </c>
      <c r="H221">
        <v>9418</v>
      </c>
      <c r="I221" t="s">
        <v>4</v>
      </c>
      <c r="J221">
        <v>5</v>
      </c>
    </row>
    <row r="222" spans="1:10" x14ac:dyDescent="0.25">
      <c r="A222" t="s">
        <v>48</v>
      </c>
      <c r="B222" t="s">
        <v>152</v>
      </c>
      <c r="C222" t="s">
        <v>497</v>
      </c>
      <c r="D222" t="s">
        <v>8</v>
      </c>
      <c r="E222">
        <v>46</v>
      </c>
      <c r="F222" t="s">
        <v>1357</v>
      </c>
      <c r="G222" t="s">
        <v>9</v>
      </c>
      <c r="H222">
        <v>9356</v>
      </c>
      <c r="I222" t="s">
        <v>14</v>
      </c>
      <c r="J222">
        <v>4</v>
      </c>
    </row>
    <row r="223" spans="1:10" x14ac:dyDescent="0.25">
      <c r="A223" t="s">
        <v>319</v>
      </c>
      <c r="B223" t="s">
        <v>498</v>
      </c>
      <c r="C223" t="s">
        <v>499</v>
      </c>
      <c r="D223" t="s">
        <v>3</v>
      </c>
      <c r="E223">
        <v>37</v>
      </c>
      <c r="F223" t="s">
        <v>1357</v>
      </c>
      <c r="G223" t="s">
        <v>266</v>
      </c>
      <c r="H223">
        <v>2469</v>
      </c>
      <c r="I223" t="s">
        <v>4</v>
      </c>
      <c r="J223">
        <v>3</v>
      </c>
    </row>
    <row r="224" spans="1:10" x14ac:dyDescent="0.25">
      <c r="A224" t="s">
        <v>500</v>
      </c>
      <c r="B224" t="s">
        <v>200</v>
      </c>
      <c r="C224" t="s">
        <v>501</v>
      </c>
      <c r="D224" t="s">
        <v>8</v>
      </c>
      <c r="E224">
        <v>58</v>
      </c>
      <c r="F224" t="s">
        <v>1358</v>
      </c>
      <c r="G224" t="s">
        <v>256</v>
      </c>
      <c r="H224">
        <v>4300</v>
      </c>
      <c r="I224" t="s">
        <v>4</v>
      </c>
      <c r="J224">
        <v>0</v>
      </c>
    </row>
    <row r="225" spans="1:10" x14ac:dyDescent="0.25">
      <c r="A225" t="s">
        <v>11</v>
      </c>
      <c r="B225" t="s">
        <v>120</v>
      </c>
      <c r="C225" t="s">
        <v>502</v>
      </c>
      <c r="D225" t="s">
        <v>3</v>
      </c>
      <c r="E225">
        <v>28</v>
      </c>
      <c r="F225" t="s">
        <v>1359</v>
      </c>
      <c r="G225" t="s">
        <v>248</v>
      </c>
      <c r="H225">
        <v>3152</v>
      </c>
      <c r="I225" t="s">
        <v>14</v>
      </c>
      <c r="J225">
        <v>5</v>
      </c>
    </row>
    <row r="226" spans="1:10" x14ac:dyDescent="0.25">
      <c r="A226" t="s">
        <v>370</v>
      </c>
      <c r="B226" t="s">
        <v>122</v>
      </c>
      <c r="C226" t="s">
        <v>503</v>
      </c>
      <c r="D226" t="s">
        <v>8</v>
      </c>
      <c r="E226">
        <v>18</v>
      </c>
      <c r="F226" t="s">
        <v>1359</v>
      </c>
      <c r="G226" t="s">
        <v>227</v>
      </c>
      <c r="H226">
        <v>4922</v>
      </c>
      <c r="I226" t="s">
        <v>4</v>
      </c>
      <c r="J226">
        <v>3</v>
      </c>
    </row>
    <row r="227" spans="1:10" x14ac:dyDescent="0.25">
      <c r="A227" t="s">
        <v>173</v>
      </c>
      <c r="B227" t="s">
        <v>504</v>
      </c>
      <c r="C227" t="s">
        <v>505</v>
      </c>
      <c r="D227" t="s">
        <v>3</v>
      </c>
      <c r="E227">
        <v>35</v>
      </c>
      <c r="F227" t="s">
        <v>1357</v>
      </c>
      <c r="G227" t="s">
        <v>293</v>
      </c>
      <c r="H227">
        <v>1465</v>
      </c>
      <c r="I227" t="s">
        <v>14</v>
      </c>
      <c r="J227">
        <v>0</v>
      </c>
    </row>
    <row r="228" spans="1:10" x14ac:dyDescent="0.25">
      <c r="A228" t="s">
        <v>491</v>
      </c>
      <c r="B228" t="s">
        <v>215</v>
      </c>
      <c r="C228" t="s">
        <v>506</v>
      </c>
      <c r="D228" t="s">
        <v>3</v>
      </c>
      <c r="E228">
        <v>27</v>
      </c>
      <c r="F228" t="s">
        <v>1359</v>
      </c>
      <c r="G228" t="s">
        <v>43</v>
      </c>
      <c r="H228">
        <v>6067</v>
      </c>
      <c r="I228" t="s">
        <v>4</v>
      </c>
      <c r="J228">
        <v>1</v>
      </c>
    </row>
    <row r="229" spans="1:10" x14ac:dyDescent="0.25">
      <c r="A229" t="s">
        <v>507</v>
      </c>
      <c r="B229" t="s">
        <v>223</v>
      </c>
      <c r="C229" t="s">
        <v>508</v>
      </c>
      <c r="D229" t="s">
        <v>8</v>
      </c>
      <c r="E229">
        <v>25</v>
      </c>
      <c r="F229" t="s">
        <v>1359</v>
      </c>
      <c r="G229" t="s">
        <v>172</v>
      </c>
      <c r="H229">
        <v>7466</v>
      </c>
      <c r="I229" t="s">
        <v>4</v>
      </c>
      <c r="J229">
        <v>2</v>
      </c>
    </row>
    <row r="230" spans="1:10" x14ac:dyDescent="0.25">
      <c r="A230" t="s">
        <v>176</v>
      </c>
      <c r="B230" t="s">
        <v>65</v>
      </c>
      <c r="C230" t="s">
        <v>509</v>
      </c>
      <c r="D230" t="s">
        <v>3</v>
      </c>
      <c r="E230">
        <v>30</v>
      </c>
      <c r="F230" t="s">
        <v>1359</v>
      </c>
      <c r="G230" t="s">
        <v>21</v>
      </c>
      <c r="H230">
        <v>7424</v>
      </c>
      <c r="I230" t="s">
        <v>14</v>
      </c>
      <c r="J230">
        <v>4</v>
      </c>
    </row>
    <row r="231" spans="1:10" x14ac:dyDescent="0.25">
      <c r="A231" t="s">
        <v>129</v>
      </c>
      <c r="B231" t="s">
        <v>57</v>
      </c>
      <c r="C231" t="s">
        <v>130</v>
      </c>
      <c r="D231" t="s">
        <v>3</v>
      </c>
      <c r="E231">
        <v>26</v>
      </c>
      <c r="F231" t="s">
        <v>1359</v>
      </c>
      <c r="G231" t="s">
        <v>160</v>
      </c>
      <c r="H231">
        <v>9164</v>
      </c>
      <c r="I231" t="s">
        <v>14</v>
      </c>
      <c r="J231">
        <v>3</v>
      </c>
    </row>
    <row r="232" spans="1:10" x14ac:dyDescent="0.25">
      <c r="A232" t="s">
        <v>510</v>
      </c>
      <c r="B232" t="s">
        <v>6</v>
      </c>
      <c r="C232" t="s">
        <v>511</v>
      </c>
      <c r="D232" t="s">
        <v>8</v>
      </c>
      <c r="E232">
        <v>23</v>
      </c>
      <c r="F232" t="s">
        <v>1359</v>
      </c>
      <c r="G232" t="s">
        <v>25</v>
      </c>
      <c r="H232">
        <v>975</v>
      </c>
      <c r="I232" t="s">
        <v>4</v>
      </c>
      <c r="J232">
        <v>2</v>
      </c>
    </row>
    <row r="233" spans="1:10" x14ac:dyDescent="0.25">
      <c r="A233" t="s">
        <v>512</v>
      </c>
      <c r="B233" t="s">
        <v>513</v>
      </c>
      <c r="C233" t="s">
        <v>514</v>
      </c>
      <c r="D233" t="s">
        <v>3</v>
      </c>
      <c r="E233">
        <v>43</v>
      </c>
      <c r="F233" t="s">
        <v>1357</v>
      </c>
      <c r="G233" t="s">
        <v>47</v>
      </c>
      <c r="H233">
        <v>2382</v>
      </c>
      <c r="I233" t="s">
        <v>4</v>
      </c>
      <c r="J233">
        <v>5</v>
      </c>
    </row>
    <row r="234" spans="1:10" x14ac:dyDescent="0.25">
      <c r="A234" t="s">
        <v>515</v>
      </c>
      <c r="B234" t="s">
        <v>433</v>
      </c>
      <c r="C234" t="s">
        <v>516</v>
      </c>
      <c r="D234" t="s">
        <v>3</v>
      </c>
      <c r="E234">
        <v>41</v>
      </c>
      <c r="F234" t="s">
        <v>1357</v>
      </c>
      <c r="G234" t="s">
        <v>103</v>
      </c>
      <c r="H234">
        <v>5740</v>
      </c>
      <c r="I234" t="s">
        <v>14</v>
      </c>
      <c r="J234">
        <v>0</v>
      </c>
    </row>
    <row r="235" spans="1:10" x14ac:dyDescent="0.25">
      <c r="A235" t="s">
        <v>356</v>
      </c>
      <c r="B235" t="s">
        <v>361</v>
      </c>
      <c r="C235" t="s">
        <v>517</v>
      </c>
      <c r="D235" t="s">
        <v>8</v>
      </c>
      <c r="E235">
        <v>47</v>
      </c>
      <c r="F235" t="s">
        <v>1357</v>
      </c>
      <c r="G235" t="s">
        <v>165</v>
      </c>
      <c r="H235">
        <v>5730</v>
      </c>
      <c r="I235" t="s">
        <v>14</v>
      </c>
      <c r="J235">
        <v>1</v>
      </c>
    </row>
    <row r="236" spans="1:10" x14ac:dyDescent="0.25">
      <c r="A236" t="s">
        <v>304</v>
      </c>
      <c r="B236" t="s">
        <v>148</v>
      </c>
      <c r="C236" t="s">
        <v>518</v>
      </c>
      <c r="D236" t="s">
        <v>3</v>
      </c>
      <c r="E236">
        <v>42</v>
      </c>
      <c r="F236" t="s">
        <v>1357</v>
      </c>
      <c r="G236" t="s">
        <v>197</v>
      </c>
      <c r="H236">
        <v>6177</v>
      </c>
      <c r="I236" t="s">
        <v>4</v>
      </c>
      <c r="J236">
        <v>2</v>
      </c>
    </row>
    <row r="237" spans="1:10" x14ac:dyDescent="0.25">
      <c r="A237" t="s">
        <v>83</v>
      </c>
      <c r="B237" t="s">
        <v>19</v>
      </c>
      <c r="C237" t="s">
        <v>519</v>
      </c>
      <c r="D237" t="s">
        <v>3</v>
      </c>
      <c r="E237">
        <v>54</v>
      </c>
      <c r="F237" t="s">
        <v>1358</v>
      </c>
      <c r="G237" t="s">
        <v>124</v>
      </c>
      <c r="H237">
        <v>6808</v>
      </c>
      <c r="I237" t="s">
        <v>14</v>
      </c>
      <c r="J237">
        <v>0</v>
      </c>
    </row>
    <row r="238" spans="1:10" x14ac:dyDescent="0.25">
      <c r="A238" t="s">
        <v>282</v>
      </c>
      <c r="B238" t="s">
        <v>459</v>
      </c>
      <c r="C238" t="s">
        <v>520</v>
      </c>
      <c r="D238" t="s">
        <v>8</v>
      </c>
      <c r="E238">
        <v>57</v>
      </c>
      <c r="F238" t="s">
        <v>1358</v>
      </c>
      <c r="G238" t="s">
        <v>63</v>
      </c>
      <c r="H238">
        <v>5614</v>
      </c>
      <c r="I238" t="s">
        <v>14</v>
      </c>
      <c r="J238">
        <v>2</v>
      </c>
    </row>
    <row r="239" spans="1:10" x14ac:dyDescent="0.25">
      <c r="A239" t="s">
        <v>170</v>
      </c>
      <c r="B239" t="s">
        <v>105</v>
      </c>
      <c r="C239" t="s">
        <v>521</v>
      </c>
      <c r="D239" t="s">
        <v>8</v>
      </c>
      <c r="E239">
        <v>30</v>
      </c>
      <c r="F239" t="s">
        <v>1359</v>
      </c>
      <c r="G239" t="s">
        <v>80</v>
      </c>
      <c r="H239">
        <v>1157</v>
      </c>
      <c r="I239" t="s">
        <v>14</v>
      </c>
      <c r="J239">
        <v>3</v>
      </c>
    </row>
    <row r="240" spans="1:10" x14ac:dyDescent="0.25">
      <c r="A240" t="s">
        <v>356</v>
      </c>
      <c r="B240" t="s">
        <v>415</v>
      </c>
      <c r="C240" t="s">
        <v>522</v>
      </c>
      <c r="D240" t="s">
        <v>8</v>
      </c>
      <c r="E240">
        <v>54</v>
      </c>
      <c r="F240" t="s">
        <v>1358</v>
      </c>
      <c r="G240" t="s">
        <v>21</v>
      </c>
      <c r="H240">
        <v>6556</v>
      </c>
      <c r="I240" t="s">
        <v>4</v>
      </c>
      <c r="J240">
        <v>4</v>
      </c>
    </row>
    <row r="241" spans="1:10" x14ac:dyDescent="0.25">
      <c r="A241" t="s">
        <v>523</v>
      </c>
      <c r="B241" t="s">
        <v>201</v>
      </c>
      <c r="C241" t="s">
        <v>524</v>
      </c>
      <c r="D241" t="s">
        <v>3</v>
      </c>
      <c r="E241">
        <v>36</v>
      </c>
      <c r="F241" t="s">
        <v>1357</v>
      </c>
      <c r="G241" t="s">
        <v>86</v>
      </c>
      <c r="H241">
        <v>2204</v>
      </c>
      <c r="I241" t="s">
        <v>4</v>
      </c>
      <c r="J241">
        <v>4</v>
      </c>
    </row>
    <row r="242" spans="1:10" x14ac:dyDescent="0.25">
      <c r="A242" t="s">
        <v>525</v>
      </c>
      <c r="B242" t="s">
        <v>358</v>
      </c>
      <c r="C242" t="s">
        <v>526</v>
      </c>
      <c r="D242" t="s">
        <v>8</v>
      </c>
      <c r="E242">
        <v>51</v>
      </c>
      <c r="F242" t="s">
        <v>1358</v>
      </c>
      <c r="G242" t="s">
        <v>303</v>
      </c>
      <c r="H242">
        <v>7080</v>
      </c>
      <c r="I242" t="s">
        <v>4</v>
      </c>
      <c r="J242">
        <v>1</v>
      </c>
    </row>
    <row r="243" spans="1:10" x14ac:dyDescent="0.25">
      <c r="A243" t="s">
        <v>473</v>
      </c>
      <c r="B243" t="s">
        <v>358</v>
      </c>
      <c r="C243" t="s">
        <v>527</v>
      </c>
      <c r="D243" t="s">
        <v>8</v>
      </c>
      <c r="E243">
        <v>59</v>
      </c>
      <c r="F243" t="s">
        <v>1358</v>
      </c>
      <c r="G243" t="s">
        <v>182</v>
      </c>
      <c r="H243">
        <v>8048</v>
      </c>
      <c r="I243" t="s">
        <v>4</v>
      </c>
      <c r="J243">
        <v>0</v>
      </c>
    </row>
    <row r="244" spans="1:10" x14ac:dyDescent="0.25">
      <c r="A244" t="s">
        <v>356</v>
      </c>
      <c r="B244" t="s">
        <v>340</v>
      </c>
      <c r="C244" t="s">
        <v>528</v>
      </c>
      <c r="D244" t="s">
        <v>8</v>
      </c>
      <c r="E244">
        <v>28</v>
      </c>
      <c r="F244" t="s">
        <v>1359</v>
      </c>
      <c r="G244" t="s">
        <v>131</v>
      </c>
      <c r="H244">
        <v>2113</v>
      </c>
      <c r="I244" t="s">
        <v>4</v>
      </c>
      <c r="J244">
        <v>2</v>
      </c>
    </row>
    <row r="245" spans="1:10" x14ac:dyDescent="0.25">
      <c r="A245" t="s">
        <v>529</v>
      </c>
      <c r="B245" t="s">
        <v>530</v>
      </c>
      <c r="C245" t="s">
        <v>531</v>
      </c>
      <c r="D245" t="s">
        <v>8</v>
      </c>
      <c r="E245">
        <v>19</v>
      </c>
      <c r="F245" t="s">
        <v>1359</v>
      </c>
      <c r="G245" t="s">
        <v>182</v>
      </c>
      <c r="H245">
        <v>1074</v>
      </c>
      <c r="I245" t="s">
        <v>4</v>
      </c>
      <c r="J245">
        <v>1</v>
      </c>
    </row>
    <row r="246" spans="1:10" x14ac:dyDescent="0.25">
      <c r="A246" t="s">
        <v>183</v>
      </c>
      <c r="B246" t="s">
        <v>45</v>
      </c>
      <c r="C246" t="s">
        <v>532</v>
      </c>
      <c r="D246" t="s">
        <v>3</v>
      </c>
      <c r="E246">
        <v>38</v>
      </c>
      <c r="F246" t="s">
        <v>1357</v>
      </c>
      <c r="G246" t="s">
        <v>36</v>
      </c>
      <c r="H246">
        <v>9389</v>
      </c>
      <c r="I246" t="s">
        <v>4</v>
      </c>
      <c r="J246">
        <v>0</v>
      </c>
    </row>
    <row r="247" spans="1:10" x14ac:dyDescent="0.25">
      <c r="A247" t="s">
        <v>179</v>
      </c>
      <c r="B247" t="s">
        <v>74</v>
      </c>
      <c r="C247" t="s">
        <v>533</v>
      </c>
      <c r="D247" t="s">
        <v>3</v>
      </c>
      <c r="E247">
        <v>31</v>
      </c>
      <c r="F247" t="s">
        <v>1357</v>
      </c>
      <c r="G247" t="s">
        <v>82</v>
      </c>
      <c r="H247">
        <v>4438</v>
      </c>
      <c r="I247" t="s">
        <v>4</v>
      </c>
      <c r="J247">
        <v>3</v>
      </c>
    </row>
    <row r="248" spans="1:10" x14ac:dyDescent="0.25">
      <c r="A248" t="s">
        <v>534</v>
      </c>
      <c r="B248" t="s">
        <v>174</v>
      </c>
      <c r="C248" t="s">
        <v>535</v>
      </c>
      <c r="D248" t="s">
        <v>3</v>
      </c>
      <c r="E248">
        <v>50</v>
      </c>
      <c r="F248" t="s">
        <v>1357</v>
      </c>
      <c r="G248" t="s">
        <v>211</v>
      </c>
      <c r="H248">
        <v>6852</v>
      </c>
      <c r="I248" t="s">
        <v>4</v>
      </c>
      <c r="J248">
        <v>2</v>
      </c>
    </row>
    <row r="249" spans="1:10" x14ac:dyDescent="0.25">
      <c r="A249" t="s">
        <v>209</v>
      </c>
      <c r="B249" t="s">
        <v>95</v>
      </c>
      <c r="C249" t="s">
        <v>536</v>
      </c>
      <c r="D249" t="s">
        <v>8</v>
      </c>
      <c r="E249">
        <v>50</v>
      </c>
      <c r="F249" t="s">
        <v>1357</v>
      </c>
      <c r="G249" t="s">
        <v>169</v>
      </c>
      <c r="H249">
        <v>4634</v>
      </c>
      <c r="I249" t="s">
        <v>14</v>
      </c>
      <c r="J249">
        <v>1</v>
      </c>
    </row>
    <row r="250" spans="1:10" x14ac:dyDescent="0.25">
      <c r="A250" t="s">
        <v>537</v>
      </c>
      <c r="B250" t="s">
        <v>116</v>
      </c>
      <c r="C250" t="s">
        <v>538</v>
      </c>
      <c r="D250" t="s">
        <v>3</v>
      </c>
      <c r="E250">
        <v>38</v>
      </c>
      <c r="F250" t="s">
        <v>1357</v>
      </c>
      <c r="G250" t="s">
        <v>114</v>
      </c>
      <c r="H250">
        <v>3499</v>
      </c>
      <c r="I250" t="s">
        <v>4</v>
      </c>
      <c r="J250">
        <v>3</v>
      </c>
    </row>
    <row r="251" spans="1:10" x14ac:dyDescent="0.25">
      <c r="A251" t="s">
        <v>307</v>
      </c>
      <c r="B251" t="s">
        <v>220</v>
      </c>
      <c r="C251" t="s">
        <v>539</v>
      </c>
      <c r="D251" t="s">
        <v>3</v>
      </c>
      <c r="E251">
        <v>37</v>
      </c>
      <c r="F251" t="s">
        <v>1357</v>
      </c>
      <c r="G251" t="s">
        <v>13</v>
      </c>
      <c r="H251">
        <v>6212</v>
      </c>
      <c r="I251" t="s">
        <v>14</v>
      </c>
      <c r="J251">
        <v>3</v>
      </c>
    </row>
    <row r="252" spans="1:10" x14ac:dyDescent="0.25">
      <c r="A252" t="s">
        <v>540</v>
      </c>
      <c r="B252" t="s">
        <v>368</v>
      </c>
      <c r="C252" t="s">
        <v>541</v>
      </c>
      <c r="D252" t="s">
        <v>3</v>
      </c>
      <c r="E252">
        <v>32</v>
      </c>
      <c r="F252" t="s">
        <v>1357</v>
      </c>
      <c r="G252" t="s">
        <v>194</v>
      </c>
      <c r="H252">
        <v>8019</v>
      </c>
      <c r="I252" t="s">
        <v>14</v>
      </c>
      <c r="J252">
        <v>4</v>
      </c>
    </row>
    <row r="253" spans="1:10" x14ac:dyDescent="0.25">
      <c r="A253" t="s">
        <v>336</v>
      </c>
      <c r="B253" t="s">
        <v>305</v>
      </c>
      <c r="C253" t="s">
        <v>542</v>
      </c>
      <c r="D253" t="s">
        <v>8</v>
      </c>
      <c r="E253">
        <v>20</v>
      </c>
      <c r="F253" t="s">
        <v>1359</v>
      </c>
      <c r="G253" t="s">
        <v>194</v>
      </c>
      <c r="H253">
        <v>9470</v>
      </c>
      <c r="I253" t="s">
        <v>4</v>
      </c>
      <c r="J253">
        <v>4</v>
      </c>
    </row>
    <row r="254" spans="1:10" x14ac:dyDescent="0.25">
      <c r="A254" t="s">
        <v>456</v>
      </c>
      <c r="B254" t="s">
        <v>167</v>
      </c>
      <c r="C254" t="s">
        <v>543</v>
      </c>
      <c r="D254" t="s">
        <v>3</v>
      </c>
      <c r="E254">
        <v>55</v>
      </c>
      <c r="F254" t="s">
        <v>1358</v>
      </c>
      <c r="G254" t="s">
        <v>248</v>
      </c>
      <c r="H254">
        <v>4171</v>
      </c>
      <c r="I254" t="s">
        <v>4</v>
      </c>
      <c r="J254">
        <v>5</v>
      </c>
    </row>
    <row r="255" spans="1:10" x14ac:dyDescent="0.25">
      <c r="A255" t="s">
        <v>276</v>
      </c>
      <c r="B255" t="s">
        <v>498</v>
      </c>
      <c r="C255" t="s">
        <v>544</v>
      </c>
      <c r="D255" t="s">
        <v>3</v>
      </c>
      <c r="E255">
        <v>25</v>
      </c>
      <c r="F255" t="s">
        <v>1359</v>
      </c>
      <c r="G255" t="s">
        <v>199</v>
      </c>
      <c r="H255">
        <v>3451</v>
      </c>
      <c r="I255" t="s">
        <v>4</v>
      </c>
      <c r="J255">
        <v>3</v>
      </c>
    </row>
    <row r="256" spans="1:10" x14ac:dyDescent="0.25">
      <c r="A256" t="s">
        <v>545</v>
      </c>
      <c r="B256" t="s">
        <v>57</v>
      </c>
      <c r="C256" t="s">
        <v>546</v>
      </c>
      <c r="D256" t="s">
        <v>8</v>
      </c>
      <c r="E256">
        <v>43</v>
      </c>
      <c r="F256" t="s">
        <v>1357</v>
      </c>
      <c r="G256" t="s">
        <v>256</v>
      </c>
      <c r="H256">
        <v>6022</v>
      </c>
      <c r="I256" t="s">
        <v>14</v>
      </c>
      <c r="J256">
        <v>4</v>
      </c>
    </row>
    <row r="257" spans="1:10" x14ac:dyDescent="0.25">
      <c r="A257" t="s">
        <v>348</v>
      </c>
      <c r="B257" t="s">
        <v>366</v>
      </c>
      <c r="C257" t="s">
        <v>547</v>
      </c>
      <c r="D257" t="s">
        <v>3</v>
      </c>
      <c r="E257">
        <v>43</v>
      </c>
      <c r="F257" t="s">
        <v>1357</v>
      </c>
      <c r="G257" t="s">
        <v>47</v>
      </c>
      <c r="H257">
        <v>1711</v>
      </c>
      <c r="I257" t="s">
        <v>4</v>
      </c>
      <c r="J257">
        <v>5</v>
      </c>
    </row>
    <row r="258" spans="1:10" x14ac:dyDescent="0.25">
      <c r="A258" t="s">
        <v>374</v>
      </c>
      <c r="B258" t="s">
        <v>294</v>
      </c>
      <c r="C258" t="s">
        <v>548</v>
      </c>
      <c r="D258" t="s">
        <v>8</v>
      </c>
      <c r="E258">
        <v>54</v>
      </c>
      <c r="F258" t="s">
        <v>1358</v>
      </c>
      <c r="G258" t="s">
        <v>270</v>
      </c>
      <c r="H258">
        <v>4011</v>
      </c>
      <c r="I258" t="s">
        <v>14</v>
      </c>
      <c r="J258">
        <v>2</v>
      </c>
    </row>
    <row r="259" spans="1:10" x14ac:dyDescent="0.25">
      <c r="A259" t="s">
        <v>419</v>
      </c>
      <c r="B259" t="s">
        <v>277</v>
      </c>
      <c r="C259" t="s">
        <v>549</v>
      </c>
      <c r="D259" t="s">
        <v>8</v>
      </c>
      <c r="E259">
        <v>27</v>
      </c>
      <c r="F259" t="s">
        <v>1359</v>
      </c>
      <c r="G259" t="s">
        <v>211</v>
      </c>
      <c r="H259">
        <v>3025</v>
      </c>
      <c r="I259" t="s">
        <v>4</v>
      </c>
      <c r="J259">
        <v>0</v>
      </c>
    </row>
    <row r="260" spans="1:10" x14ac:dyDescent="0.25">
      <c r="A260" t="s">
        <v>390</v>
      </c>
      <c r="B260" t="s">
        <v>223</v>
      </c>
      <c r="C260" t="s">
        <v>550</v>
      </c>
      <c r="D260" t="s">
        <v>8</v>
      </c>
      <c r="E260">
        <v>49</v>
      </c>
      <c r="F260" t="s">
        <v>1357</v>
      </c>
      <c r="G260" t="s">
        <v>227</v>
      </c>
      <c r="H260">
        <v>3169</v>
      </c>
      <c r="I260" t="s">
        <v>4</v>
      </c>
      <c r="J260">
        <v>0</v>
      </c>
    </row>
    <row r="261" spans="1:10" x14ac:dyDescent="0.25">
      <c r="A261" t="s">
        <v>551</v>
      </c>
      <c r="B261" t="s">
        <v>552</v>
      </c>
      <c r="C261" t="s">
        <v>553</v>
      </c>
      <c r="D261" t="s">
        <v>8</v>
      </c>
      <c r="E261">
        <v>27</v>
      </c>
      <c r="F261" t="s">
        <v>1359</v>
      </c>
      <c r="G261" t="s">
        <v>217</v>
      </c>
      <c r="H261">
        <v>2188</v>
      </c>
      <c r="I261" t="s">
        <v>4</v>
      </c>
      <c r="J261">
        <v>1</v>
      </c>
    </row>
    <row r="262" spans="1:10" x14ac:dyDescent="0.25">
      <c r="A262" t="s">
        <v>166</v>
      </c>
      <c r="B262" t="s">
        <v>504</v>
      </c>
      <c r="C262" t="s">
        <v>554</v>
      </c>
      <c r="D262" t="s">
        <v>3</v>
      </c>
      <c r="E262">
        <v>38</v>
      </c>
      <c r="F262" t="s">
        <v>1357</v>
      </c>
      <c r="G262" t="s">
        <v>169</v>
      </c>
      <c r="H262">
        <v>8664</v>
      </c>
      <c r="I262" t="s">
        <v>4</v>
      </c>
      <c r="J262">
        <v>5</v>
      </c>
    </row>
    <row r="263" spans="1:10" x14ac:dyDescent="0.25">
      <c r="A263" t="s">
        <v>190</v>
      </c>
      <c r="B263" t="s">
        <v>351</v>
      </c>
      <c r="C263" t="s">
        <v>555</v>
      </c>
      <c r="D263" t="s">
        <v>8</v>
      </c>
      <c r="E263">
        <v>18</v>
      </c>
      <c r="F263" t="s">
        <v>1359</v>
      </c>
      <c r="G263" t="s">
        <v>217</v>
      </c>
      <c r="H263">
        <v>9986</v>
      </c>
      <c r="I263" t="s">
        <v>14</v>
      </c>
      <c r="J263">
        <v>1</v>
      </c>
    </row>
    <row r="264" spans="1:10" x14ac:dyDescent="0.25">
      <c r="A264" t="s">
        <v>26</v>
      </c>
      <c r="B264" t="s">
        <v>556</v>
      </c>
      <c r="C264" t="s">
        <v>557</v>
      </c>
      <c r="D264" t="s">
        <v>8</v>
      </c>
      <c r="E264">
        <v>32</v>
      </c>
      <c r="F264" t="s">
        <v>1357</v>
      </c>
      <c r="G264" t="s">
        <v>266</v>
      </c>
      <c r="H264">
        <v>9610</v>
      </c>
      <c r="I264" t="s">
        <v>4</v>
      </c>
      <c r="J264">
        <v>2</v>
      </c>
    </row>
    <row r="265" spans="1:10" x14ac:dyDescent="0.25">
      <c r="A265" t="s">
        <v>64</v>
      </c>
      <c r="B265" t="s">
        <v>95</v>
      </c>
      <c r="C265" t="s">
        <v>558</v>
      </c>
      <c r="D265" t="s">
        <v>3</v>
      </c>
      <c r="E265">
        <v>41</v>
      </c>
      <c r="F265" t="s">
        <v>1357</v>
      </c>
      <c r="G265" t="s">
        <v>134</v>
      </c>
      <c r="H265">
        <v>4136</v>
      </c>
      <c r="I265" t="s">
        <v>14</v>
      </c>
      <c r="J265">
        <v>1</v>
      </c>
    </row>
    <row r="266" spans="1:10" x14ac:dyDescent="0.25">
      <c r="A266" t="s">
        <v>90</v>
      </c>
      <c r="B266" t="s">
        <v>11</v>
      </c>
      <c r="C266" t="s">
        <v>559</v>
      </c>
      <c r="D266" t="s">
        <v>8</v>
      </c>
      <c r="E266">
        <v>39</v>
      </c>
      <c r="F266" t="s">
        <v>1357</v>
      </c>
      <c r="G266" t="s">
        <v>82</v>
      </c>
      <c r="H266">
        <v>2928</v>
      </c>
      <c r="I266" t="s">
        <v>14</v>
      </c>
      <c r="J266">
        <v>0</v>
      </c>
    </row>
    <row r="267" spans="1:10" x14ac:dyDescent="0.25">
      <c r="A267" t="s">
        <v>560</v>
      </c>
      <c r="B267" t="s">
        <v>561</v>
      </c>
      <c r="C267" t="s">
        <v>562</v>
      </c>
      <c r="D267" t="s">
        <v>8</v>
      </c>
      <c r="E267">
        <v>40</v>
      </c>
      <c r="F267" t="s">
        <v>1357</v>
      </c>
      <c r="G267" t="s">
        <v>118</v>
      </c>
      <c r="H267">
        <v>1819</v>
      </c>
      <c r="I267" t="s">
        <v>14</v>
      </c>
      <c r="J267">
        <v>3</v>
      </c>
    </row>
    <row r="268" spans="1:10" x14ac:dyDescent="0.25">
      <c r="A268" t="s">
        <v>360</v>
      </c>
      <c r="B268" t="s">
        <v>425</v>
      </c>
      <c r="C268" t="s">
        <v>563</v>
      </c>
      <c r="D268" t="s">
        <v>3</v>
      </c>
      <c r="E268">
        <v>41</v>
      </c>
      <c r="F268" t="s">
        <v>1357</v>
      </c>
      <c r="G268" t="s">
        <v>211</v>
      </c>
      <c r="H268">
        <v>8209</v>
      </c>
      <c r="I268" t="s">
        <v>14</v>
      </c>
      <c r="J268">
        <v>2</v>
      </c>
    </row>
    <row r="269" spans="1:10" x14ac:dyDescent="0.25">
      <c r="A269" t="s">
        <v>176</v>
      </c>
      <c r="B269" t="s">
        <v>101</v>
      </c>
      <c r="C269" t="s">
        <v>564</v>
      </c>
      <c r="D269" t="s">
        <v>3</v>
      </c>
      <c r="E269">
        <v>48</v>
      </c>
      <c r="F269" t="s">
        <v>1357</v>
      </c>
      <c r="G269" t="s">
        <v>124</v>
      </c>
      <c r="H269">
        <v>8554</v>
      </c>
      <c r="I269" t="s">
        <v>14</v>
      </c>
      <c r="J269">
        <v>4</v>
      </c>
    </row>
    <row r="270" spans="1:10" x14ac:dyDescent="0.25">
      <c r="A270" t="s">
        <v>155</v>
      </c>
      <c r="B270" t="s">
        <v>392</v>
      </c>
      <c r="C270" t="s">
        <v>565</v>
      </c>
      <c r="D270" t="s">
        <v>3</v>
      </c>
      <c r="E270">
        <v>35</v>
      </c>
      <c r="F270" t="s">
        <v>1357</v>
      </c>
      <c r="G270" t="s">
        <v>86</v>
      </c>
      <c r="H270">
        <v>7526</v>
      </c>
      <c r="I270" t="s">
        <v>4</v>
      </c>
      <c r="J270">
        <v>2</v>
      </c>
    </row>
    <row r="271" spans="1:10" x14ac:dyDescent="0.25">
      <c r="A271" t="s">
        <v>484</v>
      </c>
      <c r="B271" t="s">
        <v>16</v>
      </c>
      <c r="C271" t="s">
        <v>566</v>
      </c>
      <c r="D271" t="s">
        <v>3</v>
      </c>
      <c r="E271">
        <v>21</v>
      </c>
      <c r="F271" t="s">
        <v>1359</v>
      </c>
      <c r="G271" t="s">
        <v>256</v>
      </c>
      <c r="H271">
        <v>1799</v>
      </c>
      <c r="I271" t="s">
        <v>4</v>
      </c>
      <c r="J271">
        <v>2</v>
      </c>
    </row>
    <row r="272" spans="1:10" x14ac:dyDescent="0.25">
      <c r="A272" t="s">
        <v>161</v>
      </c>
      <c r="B272" t="s">
        <v>41</v>
      </c>
      <c r="C272" t="s">
        <v>567</v>
      </c>
      <c r="D272" t="s">
        <v>8</v>
      </c>
      <c r="E272">
        <v>55</v>
      </c>
      <c r="F272" t="s">
        <v>1358</v>
      </c>
      <c r="G272" t="s">
        <v>270</v>
      </c>
      <c r="H272">
        <v>524</v>
      </c>
      <c r="I272" t="s">
        <v>14</v>
      </c>
      <c r="J272">
        <v>2</v>
      </c>
    </row>
    <row r="273" spans="1:10" x14ac:dyDescent="0.25">
      <c r="A273" t="s">
        <v>568</v>
      </c>
      <c r="B273" t="s">
        <v>185</v>
      </c>
      <c r="C273" t="s">
        <v>569</v>
      </c>
      <c r="D273" t="s">
        <v>3</v>
      </c>
      <c r="E273">
        <v>40</v>
      </c>
      <c r="F273" t="s">
        <v>1357</v>
      </c>
      <c r="G273" t="s">
        <v>63</v>
      </c>
      <c r="H273">
        <v>6717</v>
      </c>
      <c r="I273" t="s">
        <v>14</v>
      </c>
      <c r="J273">
        <v>4</v>
      </c>
    </row>
    <row r="274" spans="1:10" x14ac:dyDescent="0.25">
      <c r="A274" t="s">
        <v>73</v>
      </c>
      <c r="B274" t="s">
        <v>120</v>
      </c>
      <c r="C274" t="s">
        <v>570</v>
      </c>
      <c r="D274" t="s">
        <v>3</v>
      </c>
      <c r="E274">
        <v>52</v>
      </c>
      <c r="F274" t="s">
        <v>1358</v>
      </c>
      <c r="G274" t="s">
        <v>107</v>
      </c>
      <c r="H274">
        <v>8050</v>
      </c>
      <c r="I274" t="s">
        <v>14</v>
      </c>
      <c r="J274">
        <v>1</v>
      </c>
    </row>
    <row r="275" spans="1:10" x14ac:dyDescent="0.25">
      <c r="A275" t="s">
        <v>273</v>
      </c>
      <c r="B275" t="s">
        <v>463</v>
      </c>
      <c r="C275" t="s">
        <v>571</v>
      </c>
      <c r="D275" t="s">
        <v>3</v>
      </c>
      <c r="E275">
        <v>47</v>
      </c>
      <c r="F275" t="s">
        <v>1357</v>
      </c>
      <c r="G275" t="s">
        <v>128</v>
      </c>
      <c r="H275">
        <v>3595</v>
      </c>
      <c r="I275" t="s">
        <v>14</v>
      </c>
      <c r="J275">
        <v>0</v>
      </c>
    </row>
    <row r="276" spans="1:10" x14ac:dyDescent="0.25">
      <c r="A276" t="s">
        <v>200</v>
      </c>
      <c r="B276" t="s">
        <v>174</v>
      </c>
      <c r="C276" t="s">
        <v>572</v>
      </c>
      <c r="D276" t="s">
        <v>3</v>
      </c>
      <c r="E276">
        <v>25</v>
      </c>
      <c r="F276" t="s">
        <v>1359</v>
      </c>
      <c r="G276" t="s">
        <v>169</v>
      </c>
      <c r="H276">
        <v>5234</v>
      </c>
      <c r="I276" t="s">
        <v>4</v>
      </c>
      <c r="J276">
        <v>0</v>
      </c>
    </row>
    <row r="277" spans="1:10" x14ac:dyDescent="0.25">
      <c r="A277" t="s">
        <v>151</v>
      </c>
      <c r="B277" t="s">
        <v>371</v>
      </c>
      <c r="C277" t="s">
        <v>573</v>
      </c>
      <c r="D277" t="s">
        <v>8</v>
      </c>
      <c r="E277">
        <v>18</v>
      </c>
      <c r="F277" t="s">
        <v>1359</v>
      </c>
      <c r="G277" t="s">
        <v>128</v>
      </c>
      <c r="H277">
        <v>7608</v>
      </c>
      <c r="I277" t="s">
        <v>4</v>
      </c>
      <c r="J277">
        <v>2</v>
      </c>
    </row>
    <row r="278" spans="1:10" x14ac:dyDescent="0.25">
      <c r="A278" t="s">
        <v>155</v>
      </c>
      <c r="B278" t="s">
        <v>71</v>
      </c>
      <c r="C278" t="s">
        <v>574</v>
      </c>
      <c r="D278" t="s">
        <v>3</v>
      </c>
      <c r="E278">
        <v>18</v>
      </c>
      <c r="F278" t="s">
        <v>1359</v>
      </c>
      <c r="G278" t="s">
        <v>197</v>
      </c>
      <c r="H278">
        <v>6184</v>
      </c>
      <c r="I278" t="s">
        <v>4</v>
      </c>
      <c r="J278">
        <v>2</v>
      </c>
    </row>
    <row r="279" spans="1:10" x14ac:dyDescent="0.25">
      <c r="A279" t="s">
        <v>408</v>
      </c>
      <c r="B279" t="s">
        <v>371</v>
      </c>
      <c r="C279" t="s">
        <v>575</v>
      </c>
      <c r="D279" t="s">
        <v>3</v>
      </c>
      <c r="E279">
        <v>18</v>
      </c>
      <c r="F279" t="s">
        <v>1359</v>
      </c>
      <c r="G279" t="s">
        <v>248</v>
      </c>
      <c r="H279">
        <v>9585</v>
      </c>
      <c r="I279" t="s">
        <v>14</v>
      </c>
      <c r="J279">
        <v>5</v>
      </c>
    </row>
    <row r="280" spans="1:10" x14ac:dyDescent="0.25">
      <c r="A280" t="s">
        <v>576</v>
      </c>
      <c r="B280" t="s">
        <v>180</v>
      </c>
      <c r="C280" t="s">
        <v>577</v>
      </c>
      <c r="D280" t="s">
        <v>3</v>
      </c>
      <c r="E280">
        <v>51</v>
      </c>
      <c r="F280" t="s">
        <v>1358</v>
      </c>
      <c r="G280" t="s">
        <v>36</v>
      </c>
      <c r="H280">
        <v>4847</v>
      </c>
      <c r="I280" t="s">
        <v>14</v>
      </c>
      <c r="J280">
        <v>3</v>
      </c>
    </row>
    <row r="281" spans="1:10" x14ac:dyDescent="0.25">
      <c r="A281" t="s">
        <v>254</v>
      </c>
      <c r="B281" t="s">
        <v>251</v>
      </c>
      <c r="C281" t="s">
        <v>578</v>
      </c>
      <c r="D281" t="s">
        <v>3</v>
      </c>
      <c r="E281">
        <v>40</v>
      </c>
      <c r="F281" t="s">
        <v>1357</v>
      </c>
      <c r="G281" t="s">
        <v>199</v>
      </c>
      <c r="H281">
        <v>7382</v>
      </c>
      <c r="I281" t="s">
        <v>14</v>
      </c>
      <c r="J281">
        <v>3</v>
      </c>
    </row>
    <row r="282" spans="1:10" x14ac:dyDescent="0.25">
      <c r="A282" t="s">
        <v>97</v>
      </c>
      <c r="B282" t="s">
        <v>334</v>
      </c>
      <c r="C282" t="s">
        <v>579</v>
      </c>
      <c r="D282" t="s">
        <v>8</v>
      </c>
      <c r="E282">
        <v>57</v>
      </c>
      <c r="F282" t="s">
        <v>1358</v>
      </c>
      <c r="G282" t="s">
        <v>29</v>
      </c>
      <c r="H282">
        <v>3757</v>
      </c>
      <c r="I282" t="s">
        <v>14</v>
      </c>
      <c r="J282">
        <v>3</v>
      </c>
    </row>
    <row r="283" spans="1:10" x14ac:dyDescent="0.25">
      <c r="A283" t="s">
        <v>56</v>
      </c>
      <c r="B283" t="s">
        <v>580</v>
      </c>
      <c r="C283" t="s">
        <v>581</v>
      </c>
      <c r="D283" t="s">
        <v>8</v>
      </c>
      <c r="E283">
        <v>47</v>
      </c>
      <c r="F283" t="s">
        <v>1357</v>
      </c>
      <c r="G283" t="s">
        <v>160</v>
      </c>
      <c r="H283">
        <v>4905</v>
      </c>
      <c r="I283" t="s">
        <v>14</v>
      </c>
      <c r="J283">
        <v>3</v>
      </c>
    </row>
    <row r="284" spans="1:10" x14ac:dyDescent="0.25">
      <c r="A284" t="s">
        <v>339</v>
      </c>
      <c r="B284" t="s">
        <v>148</v>
      </c>
      <c r="C284" t="s">
        <v>582</v>
      </c>
      <c r="D284" t="s">
        <v>8</v>
      </c>
      <c r="E284">
        <v>48</v>
      </c>
      <c r="F284" t="s">
        <v>1357</v>
      </c>
      <c r="G284" t="s">
        <v>134</v>
      </c>
      <c r="H284">
        <v>8142</v>
      </c>
      <c r="I284" t="s">
        <v>4</v>
      </c>
      <c r="J284">
        <v>4</v>
      </c>
    </row>
    <row r="285" spans="1:10" x14ac:dyDescent="0.25">
      <c r="A285" t="s">
        <v>166</v>
      </c>
      <c r="B285" t="s">
        <v>98</v>
      </c>
      <c r="C285" t="s">
        <v>583</v>
      </c>
      <c r="D285" t="s">
        <v>3</v>
      </c>
      <c r="E285">
        <v>50</v>
      </c>
      <c r="F285" t="s">
        <v>1357</v>
      </c>
      <c r="G285" t="s">
        <v>21</v>
      </c>
      <c r="H285">
        <v>6316</v>
      </c>
      <c r="I285" t="s">
        <v>4</v>
      </c>
      <c r="J285">
        <v>5</v>
      </c>
    </row>
    <row r="286" spans="1:10" x14ac:dyDescent="0.25">
      <c r="A286" t="s">
        <v>48</v>
      </c>
      <c r="B286" t="s">
        <v>49</v>
      </c>
      <c r="C286" t="s">
        <v>50</v>
      </c>
      <c r="D286" t="s">
        <v>8</v>
      </c>
      <c r="E286">
        <v>41</v>
      </c>
      <c r="F286" t="s">
        <v>1357</v>
      </c>
      <c r="G286" t="s">
        <v>114</v>
      </c>
      <c r="H286">
        <v>3266</v>
      </c>
      <c r="I286" t="s">
        <v>14</v>
      </c>
      <c r="J286">
        <v>2</v>
      </c>
    </row>
    <row r="287" spans="1:10" x14ac:dyDescent="0.25">
      <c r="A287" t="s">
        <v>584</v>
      </c>
      <c r="B287" t="s">
        <v>126</v>
      </c>
      <c r="C287" t="s">
        <v>585</v>
      </c>
      <c r="D287" t="s">
        <v>3</v>
      </c>
      <c r="E287">
        <v>36</v>
      </c>
      <c r="F287" t="s">
        <v>1357</v>
      </c>
      <c r="G287" t="s">
        <v>51</v>
      </c>
      <c r="H287">
        <v>8194</v>
      </c>
      <c r="I287" t="s">
        <v>14</v>
      </c>
      <c r="J287">
        <v>1</v>
      </c>
    </row>
    <row r="288" spans="1:10" x14ac:dyDescent="0.25">
      <c r="A288" t="s">
        <v>383</v>
      </c>
      <c r="B288" t="s">
        <v>136</v>
      </c>
      <c r="C288" t="s">
        <v>586</v>
      </c>
      <c r="D288" t="s">
        <v>3</v>
      </c>
      <c r="E288">
        <v>49</v>
      </c>
      <c r="F288" t="s">
        <v>1357</v>
      </c>
      <c r="G288" t="s">
        <v>248</v>
      </c>
      <c r="H288">
        <v>7997</v>
      </c>
      <c r="I288" t="s">
        <v>4</v>
      </c>
      <c r="J288">
        <v>1</v>
      </c>
    </row>
    <row r="289" spans="1:10" x14ac:dyDescent="0.25">
      <c r="A289" t="s">
        <v>339</v>
      </c>
      <c r="B289" t="s">
        <v>478</v>
      </c>
      <c r="C289" t="s">
        <v>587</v>
      </c>
      <c r="D289" t="s">
        <v>8</v>
      </c>
      <c r="E289">
        <v>54</v>
      </c>
      <c r="F289" t="s">
        <v>1358</v>
      </c>
      <c r="G289" t="s">
        <v>199</v>
      </c>
      <c r="H289">
        <v>807</v>
      </c>
      <c r="I289" t="s">
        <v>14</v>
      </c>
      <c r="J289">
        <v>3</v>
      </c>
    </row>
    <row r="290" spans="1:10" x14ac:dyDescent="0.25">
      <c r="A290" t="s">
        <v>73</v>
      </c>
      <c r="B290" t="s">
        <v>95</v>
      </c>
      <c r="C290" t="s">
        <v>588</v>
      </c>
      <c r="D290" t="s">
        <v>3</v>
      </c>
      <c r="E290">
        <v>49</v>
      </c>
      <c r="F290" t="s">
        <v>1357</v>
      </c>
      <c r="G290" t="s">
        <v>134</v>
      </c>
      <c r="H290">
        <v>8619</v>
      </c>
      <c r="I290" t="s">
        <v>4</v>
      </c>
      <c r="J290">
        <v>1</v>
      </c>
    </row>
    <row r="291" spans="1:10" x14ac:dyDescent="0.25">
      <c r="A291" t="s">
        <v>461</v>
      </c>
      <c r="B291" t="s">
        <v>478</v>
      </c>
      <c r="C291" t="s">
        <v>589</v>
      </c>
      <c r="D291" t="s">
        <v>8</v>
      </c>
      <c r="E291">
        <v>22</v>
      </c>
      <c r="F291" t="s">
        <v>1359</v>
      </c>
      <c r="G291" t="s">
        <v>303</v>
      </c>
      <c r="H291">
        <v>3268</v>
      </c>
      <c r="I291" t="s">
        <v>14</v>
      </c>
      <c r="J291">
        <v>4</v>
      </c>
    </row>
    <row r="292" spans="1:10" x14ac:dyDescent="0.25">
      <c r="A292" t="s">
        <v>183</v>
      </c>
      <c r="B292" t="s">
        <v>91</v>
      </c>
      <c r="C292" t="s">
        <v>590</v>
      </c>
      <c r="D292" t="s">
        <v>3</v>
      </c>
      <c r="E292">
        <v>28</v>
      </c>
      <c r="F292" t="s">
        <v>1359</v>
      </c>
      <c r="G292" t="s">
        <v>256</v>
      </c>
      <c r="H292">
        <v>7932</v>
      </c>
      <c r="I292" t="s">
        <v>4</v>
      </c>
      <c r="J292">
        <v>3</v>
      </c>
    </row>
    <row r="293" spans="1:10" x14ac:dyDescent="0.25">
      <c r="A293" t="s">
        <v>591</v>
      </c>
      <c r="B293" t="s">
        <v>340</v>
      </c>
      <c r="C293" t="s">
        <v>592</v>
      </c>
      <c r="D293" t="s">
        <v>8</v>
      </c>
      <c r="E293">
        <v>21</v>
      </c>
      <c r="F293" t="s">
        <v>1359</v>
      </c>
      <c r="G293" t="s">
        <v>32</v>
      </c>
      <c r="H293">
        <v>9520</v>
      </c>
      <c r="I293" t="s">
        <v>14</v>
      </c>
      <c r="J293">
        <v>2</v>
      </c>
    </row>
    <row r="294" spans="1:10" x14ac:dyDescent="0.25">
      <c r="A294" t="s">
        <v>333</v>
      </c>
      <c r="B294" t="s">
        <v>261</v>
      </c>
      <c r="C294" t="s">
        <v>593</v>
      </c>
      <c r="D294" t="s">
        <v>3</v>
      </c>
      <c r="E294">
        <v>57</v>
      </c>
      <c r="F294" t="s">
        <v>1358</v>
      </c>
      <c r="G294" t="s">
        <v>124</v>
      </c>
      <c r="H294">
        <v>9573</v>
      </c>
      <c r="I294" t="s">
        <v>4</v>
      </c>
      <c r="J294">
        <v>1</v>
      </c>
    </row>
    <row r="295" spans="1:10" x14ac:dyDescent="0.25">
      <c r="A295" t="s">
        <v>60</v>
      </c>
      <c r="B295" t="s">
        <v>552</v>
      </c>
      <c r="C295" t="s">
        <v>594</v>
      </c>
      <c r="D295" t="s">
        <v>3</v>
      </c>
      <c r="E295">
        <v>23</v>
      </c>
      <c r="F295" t="s">
        <v>1359</v>
      </c>
      <c r="G295" t="s">
        <v>43</v>
      </c>
      <c r="H295">
        <v>3609</v>
      </c>
      <c r="I295" t="s">
        <v>14</v>
      </c>
      <c r="J295">
        <v>2</v>
      </c>
    </row>
    <row r="296" spans="1:10" x14ac:dyDescent="0.25">
      <c r="A296" t="s">
        <v>595</v>
      </c>
      <c r="B296" t="s">
        <v>530</v>
      </c>
      <c r="C296" t="s">
        <v>596</v>
      </c>
      <c r="D296" t="s">
        <v>8</v>
      </c>
      <c r="E296">
        <v>54</v>
      </c>
      <c r="F296" t="s">
        <v>1358</v>
      </c>
      <c r="G296" t="s">
        <v>107</v>
      </c>
      <c r="H296">
        <v>2824</v>
      </c>
      <c r="I296" t="s">
        <v>14</v>
      </c>
      <c r="J296">
        <v>3</v>
      </c>
    </row>
    <row r="297" spans="1:10" x14ac:dyDescent="0.25">
      <c r="A297" t="s">
        <v>348</v>
      </c>
      <c r="B297" t="s">
        <v>98</v>
      </c>
      <c r="C297" t="s">
        <v>597</v>
      </c>
      <c r="D297" t="s">
        <v>3</v>
      </c>
      <c r="E297">
        <v>29</v>
      </c>
      <c r="F297" t="s">
        <v>1359</v>
      </c>
      <c r="G297" t="s">
        <v>86</v>
      </c>
      <c r="H297">
        <v>8221</v>
      </c>
      <c r="I297" t="s">
        <v>4</v>
      </c>
      <c r="J297">
        <v>5</v>
      </c>
    </row>
    <row r="298" spans="1:10" x14ac:dyDescent="0.25">
      <c r="A298" t="s">
        <v>379</v>
      </c>
      <c r="B298" t="s">
        <v>317</v>
      </c>
      <c r="C298" t="s">
        <v>598</v>
      </c>
      <c r="D298" t="s">
        <v>8</v>
      </c>
      <c r="E298">
        <v>49</v>
      </c>
      <c r="F298" t="s">
        <v>1357</v>
      </c>
      <c r="G298" t="s">
        <v>63</v>
      </c>
      <c r="H298">
        <v>1904</v>
      </c>
      <c r="I298" t="s">
        <v>4</v>
      </c>
      <c r="J298">
        <v>1</v>
      </c>
    </row>
    <row r="299" spans="1:10" x14ac:dyDescent="0.25">
      <c r="A299" t="s">
        <v>273</v>
      </c>
      <c r="B299" t="s">
        <v>324</v>
      </c>
      <c r="C299" t="s">
        <v>599</v>
      </c>
      <c r="D299" t="s">
        <v>3</v>
      </c>
      <c r="E299">
        <v>42</v>
      </c>
      <c r="F299" t="s">
        <v>1357</v>
      </c>
      <c r="G299" t="s">
        <v>9</v>
      </c>
      <c r="H299">
        <v>5687</v>
      </c>
      <c r="I299" t="s">
        <v>4</v>
      </c>
      <c r="J299">
        <v>0</v>
      </c>
    </row>
    <row r="300" spans="1:10" x14ac:dyDescent="0.25">
      <c r="A300" t="s">
        <v>192</v>
      </c>
      <c r="B300" t="s">
        <v>600</v>
      </c>
      <c r="C300" t="s">
        <v>601</v>
      </c>
      <c r="D300" t="s">
        <v>8</v>
      </c>
      <c r="E300">
        <v>24</v>
      </c>
      <c r="F300" t="s">
        <v>1359</v>
      </c>
      <c r="G300" t="s">
        <v>150</v>
      </c>
      <c r="H300">
        <v>8616</v>
      </c>
      <c r="I300" t="s">
        <v>14</v>
      </c>
      <c r="J300">
        <v>4</v>
      </c>
    </row>
    <row r="301" spans="1:10" x14ac:dyDescent="0.25">
      <c r="A301" t="s">
        <v>218</v>
      </c>
      <c r="B301" t="s">
        <v>351</v>
      </c>
      <c r="C301" t="s">
        <v>602</v>
      </c>
      <c r="D301" t="s">
        <v>3</v>
      </c>
      <c r="E301">
        <v>32</v>
      </c>
      <c r="F301" t="s">
        <v>1357</v>
      </c>
      <c r="G301" t="s">
        <v>182</v>
      </c>
      <c r="H301">
        <v>8786</v>
      </c>
      <c r="I301" t="s">
        <v>4</v>
      </c>
      <c r="J301">
        <v>3</v>
      </c>
    </row>
    <row r="302" spans="1:10" x14ac:dyDescent="0.25">
      <c r="A302" t="s">
        <v>603</v>
      </c>
      <c r="B302" t="s">
        <v>604</v>
      </c>
      <c r="C302" t="s">
        <v>605</v>
      </c>
      <c r="D302" t="s">
        <v>8</v>
      </c>
      <c r="E302">
        <v>40</v>
      </c>
      <c r="F302" t="s">
        <v>1357</v>
      </c>
      <c r="G302" t="s">
        <v>197</v>
      </c>
      <c r="H302">
        <v>8850</v>
      </c>
      <c r="I302" t="s">
        <v>14</v>
      </c>
      <c r="J302">
        <v>1</v>
      </c>
    </row>
    <row r="303" spans="1:10" x14ac:dyDescent="0.25">
      <c r="A303" t="s">
        <v>263</v>
      </c>
      <c r="B303" t="s">
        <v>136</v>
      </c>
      <c r="C303" t="s">
        <v>606</v>
      </c>
      <c r="D303" t="s">
        <v>3</v>
      </c>
      <c r="E303">
        <v>41</v>
      </c>
      <c r="F303" t="s">
        <v>1357</v>
      </c>
      <c r="G303" t="s">
        <v>9</v>
      </c>
      <c r="H303">
        <v>2654</v>
      </c>
      <c r="I303" t="s">
        <v>4</v>
      </c>
      <c r="J303">
        <v>2</v>
      </c>
    </row>
    <row r="304" spans="1:10" x14ac:dyDescent="0.25">
      <c r="A304" t="s">
        <v>437</v>
      </c>
      <c r="B304" t="s">
        <v>351</v>
      </c>
      <c r="C304" t="s">
        <v>607</v>
      </c>
      <c r="D304" t="s">
        <v>8</v>
      </c>
      <c r="E304">
        <v>37</v>
      </c>
      <c r="F304" t="s">
        <v>1357</v>
      </c>
      <c r="G304" t="s">
        <v>103</v>
      </c>
      <c r="H304">
        <v>838</v>
      </c>
      <c r="I304" t="s">
        <v>14</v>
      </c>
      <c r="J304">
        <v>2</v>
      </c>
    </row>
    <row r="305" spans="1:10" x14ac:dyDescent="0.25">
      <c r="A305" t="s">
        <v>608</v>
      </c>
      <c r="B305" t="s">
        <v>425</v>
      </c>
      <c r="C305" t="s">
        <v>609</v>
      </c>
      <c r="D305" t="s">
        <v>3</v>
      </c>
      <c r="E305">
        <v>47</v>
      </c>
      <c r="F305" t="s">
        <v>1357</v>
      </c>
      <c r="G305" t="s">
        <v>131</v>
      </c>
      <c r="H305">
        <v>6344</v>
      </c>
      <c r="I305" t="s">
        <v>14</v>
      </c>
      <c r="J305">
        <v>2</v>
      </c>
    </row>
    <row r="306" spans="1:10" x14ac:dyDescent="0.25">
      <c r="A306" t="s">
        <v>228</v>
      </c>
      <c r="B306" t="s">
        <v>308</v>
      </c>
      <c r="C306" t="s">
        <v>610</v>
      </c>
      <c r="D306" t="s">
        <v>8</v>
      </c>
      <c r="E306">
        <v>30</v>
      </c>
      <c r="F306" t="s">
        <v>1359</v>
      </c>
      <c r="G306" t="s">
        <v>80</v>
      </c>
      <c r="H306">
        <v>1420</v>
      </c>
      <c r="I306" t="s">
        <v>14</v>
      </c>
      <c r="J306">
        <v>5</v>
      </c>
    </row>
    <row r="307" spans="1:10" x14ac:dyDescent="0.25">
      <c r="A307" t="s">
        <v>339</v>
      </c>
      <c r="B307" t="s">
        <v>358</v>
      </c>
      <c r="C307" t="s">
        <v>611</v>
      </c>
      <c r="D307" t="s">
        <v>8</v>
      </c>
      <c r="E307">
        <v>50</v>
      </c>
      <c r="F307" t="s">
        <v>1357</v>
      </c>
      <c r="G307" t="s">
        <v>43</v>
      </c>
      <c r="H307">
        <v>7788</v>
      </c>
      <c r="I307" t="s">
        <v>14</v>
      </c>
      <c r="J307">
        <v>3</v>
      </c>
    </row>
    <row r="308" spans="1:10" x14ac:dyDescent="0.25">
      <c r="A308" t="s">
        <v>183</v>
      </c>
      <c r="B308" t="s">
        <v>433</v>
      </c>
      <c r="C308" t="s">
        <v>612</v>
      </c>
      <c r="D308" t="s">
        <v>3</v>
      </c>
      <c r="E308">
        <v>58</v>
      </c>
      <c r="F308" t="s">
        <v>1358</v>
      </c>
      <c r="G308" t="s">
        <v>51</v>
      </c>
      <c r="H308">
        <v>9246</v>
      </c>
      <c r="I308" t="s">
        <v>4</v>
      </c>
      <c r="J308">
        <v>5</v>
      </c>
    </row>
    <row r="309" spans="1:10" x14ac:dyDescent="0.25">
      <c r="A309" t="s">
        <v>282</v>
      </c>
      <c r="B309" t="s">
        <v>361</v>
      </c>
      <c r="C309" t="s">
        <v>613</v>
      </c>
      <c r="D309" t="s">
        <v>8</v>
      </c>
      <c r="E309">
        <v>46</v>
      </c>
      <c r="F309" t="s">
        <v>1357</v>
      </c>
      <c r="G309" t="s">
        <v>131</v>
      </c>
      <c r="H309">
        <v>709</v>
      </c>
      <c r="I309" t="s">
        <v>14</v>
      </c>
      <c r="J309">
        <v>4</v>
      </c>
    </row>
    <row r="310" spans="1:10" x14ac:dyDescent="0.25">
      <c r="A310" t="s">
        <v>614</v>
      </c>
      <c r="B310" t="s">
        <v>459</v>
      </c>
      <c r="C310" t="s">
        <v>615</v>
      </c>
      <c r="D310" t="s">
        <v>8</v>
      </c>
      <c r="E310">
        <v>38</v>
      </c>
      <c r="F310" t="s">
        <v>1357</v>
      </c>
      <c r="G310" t="s">
        <v>76</v>
      </c>
      <c r="H310">
        <v>520</v>
      </c>
      <c r="I310" t="s">
        <v>14</v>
      </c>
      <c r="J310">
        <v>5</v>
      </c>
    </row>
    <row r="311" spans="1:10" x14ac:dyDescent="0.25">
      <c r="A311" t="s">
        <v>383</v>
      </c>
      <c r="B311" t="s">
        <v>552</v>
      </c>
      <c r="C311" t="s">
        <v>616</v>
      </c>
      <c r="D311" t="s">
        <v>3</v>
      </c>
      <c r="E311">
        <v>54</v>
      </c>
      <c r="F311" t="s">
        <v>1358</v>
      </c>
      <c r="G311" t="s">
        <v>47</v>
      </c>
      <c r="H311">
        <v>8443</v>
      </c>
      <c r="I311" t="s">
        <v>4</v>
      </c>
      <c r="J311">
        <v>4</v>
      </c>
    </row>
    <row r="312" spans="1:10" x14ac:dyDescent="0.25">
      <c r="A312" t="s">
        <v>330</v>
      </c>
      <c r="B312" t="s">
        <v>324</v>
      </c>
      <c r="C312" t="s">
        <v>617</v>
      </c>
      <c r="D312" t="s">
        <v>8</v>
      </c>
      <c r="E312">
        <v>32</v>
      </c>
      <c r="F312" t="s">
        <v>1357</v>
      </c>
      <c r="G312" t="s">
        <v>270</v>
      </c>
      <c r="H312">
        <v>4131</v>
      </c>
      <c r="I312" t="s">
        <v>4</v>
      </c>
      <c r="J312">
        <v>1</v>
      </c>
    </row>
    <row r="313" spans="1:10" x14ac:dyDescent="0.25">
      <c r="A313" t="s">
        <v>104</v>
      </c>
      <c r="B313" t="s">
        <v>11</v>
      </c>
      <c r="C313" t="s">
        <v>618</v>
      </c>
      <c r="D313" t="s">
        <v>3</v>
      </c>
      <c r="E313">
        <v>46</v>
      </c>
      <c r="F313" t="s">
        <v>1357</v>
      </c>
      <c r="G313" t="s">
        <v>134</v>
      </c>
      <c r="H313">
        <v>8572</v>
      </c>
      <c r="I313" t="s">
        <v>14</v>
      </c>
      <c r="J313">
        <v>1</v>
      </c>
    </row>
    <row r="314" spans="1:10" x14ac:dyDescent="0.25">
      <c r="A314" t="s">
        <v>173</v>
      </c>
      <c r="B314" t="s">
        <v>249</v>
      </c>
      <c r="C314" t="s">
        <v>619</v>
      </c>
      <c r="D314" t="s">
        <v>3</v>
      </c>
      <c r="E314">
        <v>57</v>
      </c>
      <c r="F314" t="s">
        <v>1358</v>
      </c>
      <c r="G314" t="s">
        <v>187</v>
      </c>
      <c r="H314">
        <v>7500</v>
      </c>
      <c r="I314" t="s">
        <v>14</v>
      </c>
      <c r="J314">
        <v>4</v>
      </c>
    </row>
    <row r="315" spans="1:10" x14ac:dyDescent="0.25">
      <c r="A315" t="s">
        <v>154</v>
      </c>
      <c r="B315" t="s">
        <v>561</v>
      </c>
      <c r="C315" t="s">
        <v>620</v>
      </c>
      <c r="D315" t="s">
        <v>8</v>
      </c>
      <c r="E315">
        <v>48</v>
      </c>
      <c r="F315" t="s">
        <v>1357</v>
      </c>
      <c r="G315" t="s">
        <v>373</v>
      </c>
      <c r="H315">
        <v>7148</v>
      </c>
      <c r="I315" t="s">
        <v>4</v>
      </c>
      <c r="J315">
        <v>3</v>
      </c>
    </row>
    <row r="316" spans="1:10" x14ac:dyDescent="0.25">
      <c r="A316" t="s">
        <v>30</v>
      </c>
      <c r="B316" t="s">
        <v>88</v>
      </c>
      <c r="C316" t="s">
        <v>621</v>
      </c>
      <c r="D316" t="s">
        <v>3</v>
      </c>
      <c r="E316">
        <v>49</v>
      </c>
      <c r="F316" t="s">
        <v>1357</v>
      </c>
      <c r="G316" t="s">
        <v>103</v>
      </c>
      <c r="H316">
        <v>2920</v>
      </c>
      <c r="I316" t="s">
        <v>14</v>
      </c>
      <c r="J316">
        <v>4</v>
      </c>
    </row>
    <row r="317" spans="1:10" x14ac:dyDescent="0.25">
      <c r="A317" t="s">
        <v>510</v>
      </c>
      <c r="B317" t="s">
        <v>622</v>
      </c>
      <c r="C317" t="s">
        <v>623</v>
      </c>
      <c r="D317" t="s">
        <v>8</v>
      </c>
      <c r="E317">
        <v>47</v>
      </c>
      <c r="F317" t="s">
        <v>1357</v>
      </c>
      <c r="G317" t="s">
        <v>150</v>
      </c>
      <c r="H317">
        <v>692</v>
      </c>
      <c r="I317" t="s">
        <v>4</v>
      </c>
      <c r="J317">
        <v>4</v>
      </c>
    </row>
    <row r="318" spans="1:10" x14ac:dyDescent="0.25">
      <c r="A318" t="s">
        <v>534</v>
      </c>
      <c r="B318" t="s">
        <v>220</v>
      </c>
      <c r="C318" t="s">
        <v>624</v>
      </c>
      <c r="D318" t="s">
        <v>3</v>
      </c>
      <c r="E318">
        <v>33</v>
      </c>
      <c r="F318" t="s">
        <v>1357</v>
      </c>
      <c r="G318" t="s">
        <v>128</v>
      </c>
      <c r="H318">
        <v>2826</v>
      </c>
      <c r="I318" t="s">
        <v>14</v>
      </c>
      <c r="J318">
        <v>0</v>
      </c>
    </row>
    <row r="319" spans="1:10" x14ac:dyDescent="0.25">
      <c r="A319" t="s">
        <v>625</v>
      </c>
      <c r="B319" t="s">
        <v>409</v>
      </c>
      <c r="C319" t="s">
        <v>626</v>
      </c>
      <c r="D319" t="s">
        <v>3</v>
      </c>
      <c r="E319">
        <v>29</v>
      </c>
      <c r="F319" t="s">
        <v>1359</v>
      </c>
      <c r="G319" t="s">
        <v>21</v>
      </c>
      <c r="H319">
        <v>7289</v>
      </c>
      <c r="I319" t="s">
        <v>14</v>
      </c>
      <c r="J319">
        <v>1</v>
      </c>
    </row>
    <row r="320" spans="1:10" x14ac:dyDescent="0.25">
      <c r="A320" t="s">
        <v>507</v>
      </c>
      <c r="B320" t="s">
        <v>71</v>
      </c>
      <c r="C320" t="s">
        <v>627</v>
      </c>
      <c r="D320" t="s">
        <v>8</v>
      </c>
      <c r="E320">
        <v>42</v>
      </c>
      <c r="F320" t="s">
        <v>1357</v>
      </c>
      <c r="G320" t="s">
        <v>69</v>
      </c>
      <c r="H320">
        <v>4306</v>
      </c>
      <c r="I320" t="s">
        <v>14</v>
      </c>
      <c r="J320">
        <v>4</v>
      </c>
    </row>
    <row r="321" spans="1:10" x14ac:dyDescent="0.25">
      <c r="A321" t="s">
        <v>108</v>
      </c>
      <c r="B321" t="s">
        <v>88</v>
      </c>
      <c r="C321" t="s">
        <v>628</v>
      </c>
      <c r="D321" t="s">
        <v>3</v>
      </c>
      <c r="E321">
        <v>57</v>
      </c>
      <c r="F321" t="s">
        <v>1358</v>
      </c>
      <c r="G321" t="s">
        <v>234</v>
      </c>
      <c r="H321">
        <v>9129</v>
      </c>
      <c r="I321" t="s">
        <v>14</v>
      </c>
      <c r="J321">
        <v>3</v>
      </c>
    </row>
    <row r="322" spans="1:10" x14ac:dyDescent="0.25">
      <c r="A322" t="s">
        <v>192</v>
      </c>
      <c r="B322" t="s">
        <v>513</v>
      </c>
      <c r="C322" t="s">
        <v>629</v>
      </c>
      <c r="D322" t="s">
        <v>8</v>
      </c>
      <c r="E322">
        <v>29</v>
      </c>
      <c r="F322" t="s">
        <v>1359</v>
      </c>
      <c r="G322" t="s">
        <v>217</v>
      </c>
      <c r="H322">
        <v>8263</v>
      </c>
      <c r="I322" t="s">
        <v>4</v>
      </c>
      <c r="J322">
        <v>5</v>
      </c>
    </row>
    <row r="323" spans="1:10" x14ac:dyDescent="0.25">
      <c r="A323" t="s">
        <v>209</v>
      </c>
      <c r="B323" t="s">
        <v>392</v>
      </c>
      <c r="C323" t="s">
        <v>630</v>
      </c>
      <c r="D323" t="s">
        <v>8</v>
      </c>
      <c r="E323">
        <v>35</v>
      </c>
      <c r="F323" t="s">
        <v>1357</v>
      </c>
      <c r="G323" t="s">
        <v>29</v>
      </c>
      <c r="H323">
        <v>3797</v>
      </c>
      <c r="I323" t="s">
        <v>14</v>
      </c>
      <c r="J323">
        <v>3</v>
      </c>
    </row>
    <row r="324" spans="1:10" x14ac:dyDescent="0.25">
      <c r="A324" t="s">
        <v>529</v>
      </c>
      <c r="B324" t="s">
        <v>142</v>
      </c>
      <c r="C324" t="s">
        <v>631</v>
      </c>
      <c r="D324" t="s">
        <v>8</v>
      </c>
      <c r="E324">
        <v>38</v>
      </c>
      <c r="F324" t="s">
        <v>1357</v>
      </c>
      <c r="G324" t="s">
        <v>382</v>
      </c>
      <c r="H324">
        <v>8337</v>
      </c>
      <c r="I324" t="s">
        <v>4</v>
      </c>
      <c r="J324">
        <v>2</v>
      </c>
    </row>
    <row r="325" spans="1:10" x14ac:dyDescent="0.25">
      <c r="A325" t="s">
        <v>52</v>
      </c>
      <c r="B325" t="s">
        <v>351</v>
      </c>
      <c r="C325" t="s">
        <v>632</v>
      </c>
      <c r="D325" t="s">
        <v>8</v>
      </c>
      <c r="E325">
        <v>35</v>
      </c>
      <c r="F325" t="s">
        <v>1357</v>
      </c>
      <c r="G325" t="s">
        <v>107</v>
      </c>
      <c r="H325">
        <v>6041</v>
      </c>
      <c r="I325" t="s">
        <v>14</v>
      </c>
      <c r="J325">
        <v>5</v>
      </c>
    </row>
    <row r="326" spans="1:10" x14ac:dyDescent="0.25">
      <c r="A326" t="s">
        <v>395</v>
      </c>
      <c r="B326" t="s">
        <v>200</v>
      </c>
      <c r="C326" t="s">
        <v>633</v>
      </c>
      <c r="D326" t="s">
        <v>8</v>
      </c>
      <c r="E326">
        <v>57</v>
      </c>
      <c r="F326" t="s">
        <v>1358</v>
      </c>
      <c r="G326" t="s">
        <v>256</v>
      </c>
      <c r="H326">
        <v>3743</v>
      </c>
      <c r="I326" t="s">
        <v>14</v>
      </c>
      <c r="J326">
        <v>2</v>
      </c>
    </row>
    <row r="327" spans="1:10" x14ac:dyDescent="0.25">
      <c r="A327" t="s">
        <v>73</v>
      </c>
      <c r="B327" t="s">
        <v>317</v>
      </c>
      <c r="C327" t="s">
        <v>634</v>
      </c>
      <c r="D327" t="s">
        <v>3</v>
      </c>
      <c r="E327">
        <v>25</v>
      </c>
      <c r="F327" t="s">
        <v>1359</v>
      </c>
      <c r="G327" t="s">
        <v>211</v>
      </c>
      <c r="H327">
        <v>1172</v>
      </c>
      <c r="I327" t="s">
        <v>14</v>
      </c>
      <c r="J327">
        <v>5</v>
      </c>
    </row>
    <row r="328" spans="1:10" x14ac:dyDescent="0.25">
      <c r="A328" t="s">
        <v>356</v>
      </c>
      <c r="B328" t="s">
        <v>635</v>
      </c>
      <c r="C328" t="s">
        <v>636</v>
      </c>
      <c r="D328" t="s">
        <v>8</v>
      </c>
      <c r="E328">
        <v>23</v>
      </c>
      <c r="F328" t="s">
        <v>1359</v>
      </c>
      <c r="G328" t="s">
        <v>256</v>
      </c>
      <c r="H328">
        <v>5577</v>
      </c>
      <c r="I328" t="s">
        <v>4</v>
      </c>
      <c r="J328">
        <v>2</v>
      </c>
    </row>
    <row r="329" spans="1:10" x14ac:dyDescent="0.25">
      <c r="A329" t="s">
        <v>637</v>
      </c>
      <c r="B329" t="s">
        <v>34</v>
      </c>
      <c r="C329" t="s">
        <v>638</v>
      </c>
      <c r="D329" t="s">
        <v>3</v>
      </c>
      <c r="E329">
        <v>55</v>
      </c>
      <c r="F329" t="s">
        <v>1358</v>
      </c>
      <c r="G329" t="s">
        <v>32</v>
      </c>
      <c r="H329">
        <v>1464</v>
      </c>
      <c r="I329" t="s">
        <v>4</v>
      </c>
      <c r="J329">
        <v>0</v>
      </c>
    </row>
    <row r="330" spans="1:10" x14ac:dyDescent="0.25">
      <c r="A330" t="s">
        <v>639</v>
      </c>
      <c r="B330" t="s">
        <v>152</v>
      </c>
      <c r="C330" t="s">
        <v>640</v>
      </c>
      <c r="D330" t="s">
        <v>8</v>
      </c>
      <c r="E330">
        <v>60</v>
      </c>
      <c r="F330" t="s">
        <v>1358</v>
      </c>
      <c r="G330" t="s">
        <v>63</v>
      </c>
      <c r="H330">
        <v>7199</v>
      </c>
      <c r="I330" t="s">
        <v>4</v>
      </c>
      <c r="J330">
        <v>2</v>
      </c>
    </row>
    <row r="331" spans="1:10" x14ac:dyDescent="0.25">
      <c r="A331" t="s">
        <v>323</v>
      </c>
      <c r="B331" t="s">
        <v>368</v>
      </c>
      <c r="C331" t="s">
        <v>641</v>
      </c>
      <c r="D331" t="s">
        <v>8</v>
      </c>
      <c r="E331">
        <v>37</v>
      </c>
      <c r="F331" t="s">
        <v>1357</v>
      </c>
      <c r="G331" t="s">
        <v>82</v>
      </c>
      <c r="H331">
        <v>5354</v>
      </c>
      <c r="I331" t="s">
        <v>14</v>
      </c>
      <c r="J331">
        <v>4</v>
      </c>
    </row>
    <row r="332" spans="1:10" x14ac:dyDescent="0.25">
      <c r="A332" t="s">
        <v>642</v>
      </c>
      <c r="B332" t="s">
        <v>116</v>
      </c>
      <c r="C332" t="s">
        <v>643</v>
      </c>
      <c r="D332" t="s">
        <v>3</v>
      </c>
      <c r="E332">
        <v>51</v>
      </c>
      <c r="F332" t="s">
        <v>1358</v>
      </c>
      <c r="G332" t="s">
        <v>194</v>
      </c>
      <c r="H332">
        <v>1667</v>
      </c>
      <c r="I332" t="s">
        <v>14</v>
      </c>
      <c r="J332">
        <v>5</v>
      </c>
    </row>
    <row r="333" spans="1:10" x14ac:dyDescent="0.25">
      <c r="A333" t="s">
        <v>161</v>
      </c>
      <c r="B333" t="s">
        <v>334</v>
      </c>
      <c r="C333" t="s">
        <v>644</v>
      </c>
      <c r="D333" t="s">
        <v>8</v>
      </c>
      <c r="E333">
        <v>37</v>
      </c>
      <c r="F333" t="s">
        <v>1357</v>
      </c>
      <c r="G333" t="s">
        <v>13</v>
      </c>
      <c r="H333">
        <v>6097</v>
      </c>
      <c r="I333" t="s">
        <v>14</v>
      </c>
      <c r="J333">
        <v>0</v>
      </c>
    </row>
    <row r="334" spans="1:10" x14ac:dyDescent="0.25">
      <c r="A334" t="s">
        <v>515</v>
      </c>
      <c r="B334" t="s">
        <v>274</v>
      </c>
      <c r="C334" t="s">
        <v>645</v>
      </c>
      <c r="D334" t="s">
        <v>3</v>
      </c>
      <c r="E334">
        <v>23</v>
      </c>
      <c r="F334" t="s">
        <v>1359</v>
      </c>
      <c r="G334" t="s">
        <v>227</v>
      </c>
      <c r="H334">
        <v>2093</v>
      </c>
      <c r="I334" t="s">
        <v>14</v>
      </c>
      <c r="J334">
        <v>1</v>
      </c>
    </row>
    <row r="335" spans="1:10" x14ac:dyDescent="0.25">
      <c r="A335" t="s">
        <v>40</v>
      </c>
      <c r="B335" t="s">
        <v>88</v>
      </c>
      <c r="C335" t="s">
        <v>646</v>
      </c>
      <c r="D335" t="s">
        <v>8</v>
      </c>
      <c r="E335">
        <v>38</v>
      </c>
      <c r="F335" t="s">
        <v>1357</v>
      </c>
      <c r="G335" t="s">
        <v>124</v>
      </c>
      <c r="H335">
        <v>3398</v>
      </c>
      <c r="I335" t="s">
        <v>4</v>
      </c>
      <c r="J335">
        <v>4</v>
      </c>
    </row>
    <row r="336" spans="1:10" x14ac:dyDescent="0.25">
      <c r="A336" t="s">
        <v>307</v>
      </c>
      <c r="B336" t="s">
        <v>74</v>
      </c>
      <c r="C336" t="s">
        <v>647</v>
      </c>
      <c r="D336" t="s">
        <v>3</v>
      </c>
      <c r="E336">
        <v>27</v>
      </c>
      <c r="F336" t="s">
        <v>1359</v>
      </c>
      <c r="G336" t="s">
        <v>9</v>
      </c>
      <c r="H336">
        <v>4169</v>
      </c>
      <c r="I336" t="s">
        <v>14</v>
      </c>
      <c r="J336">
        <v>5</v>
      </c>
    </row>
    <row r="337" spans="1:10" x14ac:dyDescent="0.25">
      <c r="A337" t="s">
        <v>125</v>
      </c>
      <c r="B337" t="s">
        <v>392</v>
      </c>
      <c r="C337" t="s">
        <v>648</v>
      </c>
      <c r="D337" t="s">
        <v>8</v>
      </c>
      <c r="E337">
        <v>19</v>
      </c>
      <c r="F337" t="s">
        <v>1359</v>
      </c>
      <c r="G337" t="s">
        <v>51</v>
      </c>
      <c r="H337">
        <v>3829</v>
      </c>
      <c r="I337" t="s">
        <v>14</v>
      </c>
      <c r="J337">
        <v>1</v>
      </c>
    </row>
    <row r="338" spans="1:10" x14ac:dyDescent="0.25">
      <c r="A338" t="s">
        <v>336</v>
      </c>
      <c r="B338" t="s">
        <v>220</v>
      </c>
      <c r="C338" t="s">
        <v>649</v>
      </c>
      <c r="D338" t="s">
        <v>8</v>
      </c>
      <c r="E338">
        <v>25</v>
      </c>
      <c r="F338" t="s">
        <v>1359</v>
      </c>
      <c r="G338" t="s">
        <v>107</v>
      </c>
      <c r="H338">
        <v>6262</v>
      </c>
      <c r="I338" t="s">
        <v>14</v>
      </c>
      <c r="J338">
        <v>3</v>
      </c>
    </row>
    <row r="339" spans="1:10" x14ac:dyDescent="0.25">
      <c r="A339" t="s">
        <v>218</v>
      </c>
      <c r="B339" t="s">
        <v>650</v>
      </c>
      <c r="C339" t="s">
        <v>651</v>
      </c>
      <c r="D339" t="s">
        <v>3</v>
      </c>
      <c r="E339">
        <v>19</v>
      </c>
      <c r="F339" t="s">
        <v>1359</v>
      </c>
      <c r="G339" t="s">
        <v>9</v>
      </c>
      <c r="H339">
        <v>4438</v>
      </c>
      <c r="I339" t="s">
        <v>14</v>
      </c>
      <c r="J339">
        <v>5</v>
      </c>
    </row>
    <row r="340" spans="1:10" x14ac:dyDescent="0.25">
      <c r="A340" t="s">
        <v>482</v>
      </c>
      <c r="B340" t="s">
        <v>34</v>
      </c>
      <c r="C340" t="s">
        <v>652</v>
      </c>
      <c r="D340" t="s">
        <v>8</v>
      </c>
      <c r="E340">
        <v>31</v>
      </c>
      <c r="F340" t="s">
        <v>1357</v>
      </c>
      <c r="G340" t="s">
        <v>36</v>
      </c>
      <c r="H340">
        <v>3297</v>
      </c>
      <c r="I340" t="s">
        <v>14</v>
      </c>
      <c r="J340">
        <v>3</v>
      </c>
    </row>
    <row r="341" spans="1:10" x14ac:dyDescent="0.25">
      <c r="A341" t="s">
        <v>523</v>
      </c>
      <c r="B341" t="s">
        <v>19</v>
      </c>
      <c r="C341" t="s">
        <v>653</v>
      </c>
      <c r="D341" t="s">
        <v>3</v>
      </c>
      <c r="E341">
        <v>34</v>
      </c>
      <c r="F341" t="s">
        <v>1357</v>
      </c>
      <c r="G341" t="s">
        <v>293</v>
      </c>
      <c r="H341">
        <v>6988</v>
      </c>
      <c r="I341" t="s">
        <v>4</v>
      </c>
      <c r="J341">
        <v>4</v>
      </c>
    </row>
    <row r="342" spans="1:10" x14ac:dyDescent="0.25">
      <c r="A342" t="s">
        <v>155</v>
      </c>
      <c r="B342" t="s">
        <v>88</v>
      </c>
      <c r="C342" t="s">
        <v>654</v>
      </c>
      <c r="D342" t="s">
        <v>3</v>
      </c>
      <c r="E342">
        <v>40</v>
      </c>
      <c r="F342" t="s">
        <v>1357</v>
      </c>
      <c r="G342" t="s">
        <v>80</v>
      </c>
      <c r="H342">
        <v>2601</v>
      </c>
      <c r="I342" t="s">
        <v>4</v>
      </c>
      <c r="J342">
        <v>5</v>
      </c>
    </row>
    <row r="343" spans="1:10" x14ac:dyDescent="0.25">
      <c r="A343" t="s">
        <v>403</v>
      </c>
      <c r="B343" t="s">
        <v>655</v>
      </c>
      <c r="C343" t="s">
        <v>656</v>
      </c>
      <c r="D343" t="s">
        <v>8</v>
      </c>
      <c r="E343">
        <v>18</v>
      </c>
      <c r="F343" t="s">
        <v>1359</v>
      </c>
      <c r="G343" t="s">
        <v>270</v>
      </c>
      <c r="H343">
        <v>9428</v>
      </c>
      <c r="I343" t="s">
        <v>14</v>
      </c>
      <c r="J343">
        <v>5</v>
      </c>
    </row>
    <row r="344" spans="1:10" x14ac:dyDescent="0.25">
      <c r="A344" t="s">
        <v>657</v>
      </c>
      <c r="B344" t="s">
        <v>358</v>
      </c>
      <c r="C344" t="s">
        <v>658</v>
      </c>
      <c r="D344" t="s">
        <v>3</v>
      </c>
      <c r="E344">
        <v>36</v>
      </c>
      <c r="F344" t="s">
        <v>1357</v>
      </c>
      <c r="G344" t="s">
        <v>43</v>
      </c>
      <c r="H344">
        <v>2691</v>
      </c>
      <c r="I344" t="s">
        <v>14</v>
      </c>
      <c r="J344">
        <v>5</v>
      </c>
    </row>
    <row r="345" spans="1:10" x14ac:dyDescent="0.25">
      <c r="A345" t="s">
        <v>489</v>
      </c>
      <c r="B345" t="s">
        <v>1</v>
      </c>
      <c r="C345" t="s">
        <v>659</v>
      </c>
      <c r="D345" t="s">
        <v>3</v>
      </c>
      <c r="E345">
        <v>31</v>
      </c>
      <c r="F345" t="s">
        <v>1357</v>
      </c>
      <c r="G345" t="s">
        <v>197</v>
      </c>
      <c r="H345">
        <v>671</v>
      </c>
      <c r="I345" t="s">
        <v>14</v>
      </c>
      <c r="J345">
        <v>1</v>
      </c>
    </row>
    <row r="346" spans="1:10" x14ac:dyDescent="0.25">
      <c r="A346" t="s">
        <v>660</v>
      </c>
      <c r="B346" t="s">
        <v>174</v>
      </c>
      <c r="C346" t="s">
        <v>661</v>
      </c>
      <c r="D346" t="s">
        <v>8</v>
      </c>
      <c r="E346">
        <v>19</v>
      </c>
      <c r="F346" t="s">
        <v>1359</v>
      </c>
      <c r="G346" t="s">
        <v>43</v>
      </c>
      <c r="H346">
        <v>1086</v>
      </c>
      <c r="I346" t="s">
        <v>4</v>
      </c>
      <c r="J346">
        <v>5</v>
      </c>
    </row>
    <row r="347" spans="1:10" x14ac:dyDescent="0.25">
      <c r="A347" t="s">
        <v>206</v>
      </c>
      <c r="B347" t="s">
        <v>635</v>
      </c>
      <c r="C347" t="s">
        <v>662</v>
      </c>
      <c r="D347" t="s">
        <v>3</v>
      </c>
      <c r="E347">
        <v>44</v>
      </c>
      <c r="F347" t="s">
        <v>1357</v>
      </c>
      <c r="G347" t="s">
        <v>256</v>
      </c>
      <c r="H347">
        <v>5309</v>
      </c>
      <c r="I347" t="s">
        <v>14</v>
      </c>
      <c r="J347">
        <v>5</v>
      </c>
    </row>
    <row r="348" spans="1:10" x14ac:dyDescent="0.25">
      <c r="A348" t="s">
        <v>10</v>
      </c>
      <c r="B348" t="s">
        <v>409</v>
      </c>
      <c r="C348" t="s">
        <v>663</v>
      </c>
      <c r="D348" t="s">
        <v>3</v>
      </c>
      <c r="E348">
        <v>21</v>
      </c>
      <c r="F348" t="s">
        <v>1359</v>
      </c>
      <c r="G348" t="s">
        <v>234</v>
      </c>
      <c r="H348">
        <v>8381</v>
      </c>
      <c r="I348" t="s">
        <v>14</v>
      </c>
      <c r="J348">
        <v>0</v>
      </c>
    </row>
    <row r="349" spans="1:10" x14ac:dyDescent="0.25">
      <c r="A349" t="s">
        <v>664</v>
      </c>
      <c r="B349" t="s">
        <v>61</v>
      </c>
      <c r="C349" t="s">
        <v>665</v>
      </c>
      <c r="D349" t="s">
        <v>8</v>
      </c>
      <c r="E349">
        <v>55</v>
      </c>
      <c r="F349" t="s">
        <v>1358</v>
      </c>
      <c r="G349" t="s">
        <v>290</v>
      </c>
      <c r="H349">
        <v>833</v>
      </c>
      <c r="I349" t="s">
        <v>4</v>
      </c>
      <c r="J349">
        <v>0</v>
      </c>
    </row>
    <row r="350" spans="1:10" x14ac:dyDescent="0.25">
      <c r="A350" t="s">
        <v>666</v>
      </c>
      <c r="B350" t="s">
        <v>268</v>
      </c>
      <c r="C350" t="s">
        <v>667</v>
      </c>
      <c r="D350" t="s">
        <v>8</v>
      </c>
      <c r="E350">
        <v>34</v>
      </c>
      <c r="F350" t="s">
        <v>1357</v>
      </c>
      <c r="G350" t="s">
        <v>21</v>
      </c>
      <c r="H350">
        <v>3338</v>
      </c>
      <c r="I350" t="s">
        <v>4</v>
      </c>
      <c r="J350">
        <v>3</v>
      </c>
    </row>
    <row r="351" spans="1:10" x14ac:dyDescent="0.25">
      <c r="A351" t="s">
        <v>60</v>
      </c>
      <c r="B351" t="s">
        <v>264</v>
      </c>
      <c r="C351" t="s">
        <v>668</v>
      </c>
      <c r="D351" t="s">
        <v>3</v>
      </c>
      <c r="E351">
        <v>23</v>
      </c>
      <c r="F351" t="s">
        <v>1359</v>
      </c>
      <c r="G351" t="s">
        <v>128</v>
      </c>
      <c r="H351">
        <v>2886</v>
      </c>
      <c r="I351" t="s">
        <v>14</v>
      </c>
      <c r="J351">
        <v>0</v>
      </c>
    </row>
    <row r="352" spans="1:10" x14ac:dyDescent="0.25">
      <c r="A352" t="s">
        <v>60</v>
      </c>
      <c r="B352" t="s">
        <v>91</v>
      </c>
      <c r="C352" t="s">
        <v>669</v>
      </c>
      <c r="D352" t="s">
        <v>3</v>
      </c>
      <c r="E352">
        <v>54</v>
      </c>
      <c r="F352" t="s">
        <v>1358</v>
      </c>
      <c r="G352" t="s">
        <v>303</v>
      </c>
      <c r="H352">
        <v>8068</v>
      </c>
      <c r="I352" t="s">
        <v>14</v>
      </c>
      <c r="J352">
        <v>4</v>
      </c>
    </row>
    <row r="353" spans="1:10" x14ac:dyDescent="0.25">
      <c r="A353" t="s">
        <v>83</v>
      </c>
      <c r="B353" t="s">
        <v>45</v>
      </c>
      <c r="C353" t="s">
        <v>670</v>
      </c>
      <c r="D353" t="s">
        <v>3</v>
      </c>
      <c r="E353">
        <v>32</v>
      </c>
      <c r="F353" t="s">
        <v>1357</v>
      </c>
      <c r="G353" t="s">
        <v>76</v>
      </c>
      <c r="H353">
        <v>6181</v>
      </c>
      <c r="I353" t="s">
        <v>4</v>
      </c>
      <c r="J353">
        <v>4</v>
      </c>
    </row>
    <row r="354" spans="1:10" x14ac:dyDescent="0.25">
      <c r="A354" t="s">
        <v>671</v>
      </c>
      <c r="B354" t="s">
        <v>67</v>
      </c>
      <c r="C354" t="s">
        <v>672</v>
      </c>
      <c r="D354" t="s">
        <v>8</v>
      </c>
      <c r="E354">
        <v>18</v>
      </c>
      <c r="F354" t="s">
        <v>1359</v>
      </c>
      <c r="G354" t="s">
        <v>82</v>
      </c>
      <c r="H354">
        <v>4720</v>
      </c>
      <c r="I354" t="s">
        <v>14</v>
      </c>
      <c r="J354">
        <v>3</v>
      </c>
    </row>
    <row r="355" spans="1:10" x14ac:dyDescent="0.25">
      <c r="A355" t="s">
        <v>183</v>
      </c>
      <c r="B355" t="s">
        <v>223</v>
      </c>
      <c r="C355" t="s">
        <v>673</v>
      </c>
      <c r="D355" t="s">
        <v>3</v>
      </c>
      <c r="E355">
        <v>45</v>
      </c>
      <c r="F355" t="s">
        <v>1357</v>
      </c>
      <c r="G355" t="s">
        <v>194</v>
      </c>
      <c r="H355">
        <v>4075</v>
      </c>
      <c r="I355" t="s">
        <v>4</v>
      </c>
      <c r="J355">
        <v>1</v>
      </c>
    </row>
    <row r="356" spans="1:10" x14ac:dyDescent="0.25">
      <c r="A356" t="s">
        <v>240</v>
      </c>
      <c r="B356" t="s">
        <v>600</v>
      </c>
      <c r="C356" t="s">
        <v>674</v>
      </c>
      <c r="D356" t="s">
        <v>3</v>
      </c>
      <c r="E356">
        <v>30</v>
      </c>
      <c r="F356" t="s">
        <v>1359</v>
      </c>
      <c r="G356" t="s">
        <v>63</v>
      </c>
      <c r="H356">
        <v>4364</v>
      </c>
      <c r="I356" t="s">
        <v>14</v>
      </c>
      <c r="J356">
        <v>4</v>
      </c>
    </row>
    <row r="357" spans="1:10" x14ac:dyDescent="0.25">
      <c r="A357" t="s">
        <v>346</v>
      </c>
      <c r="B357" t="s">
        <v>600</v>
      </c>
      <c r="C357" t="s">
        <v>675</v>
      </c>
      <c r="D357" t="s">
        <v>3</v>
      </c>
      <c r="E357">
        <v>39</v>
      </c>
      <c r="F357" t="s">
        <v>1357</v>
      </c>
      <c r="G357" t="s">
        <v>43</v>
      </c>
      <c r="H357">
        <v>9370</v>
      </c>
      <c r="I357" t="s">
        <v>14</v>
      </c>
      <c r="J357">
        <v>3</v>
      </c>
    </row>
    <row r="358" spans="1:10" x14ac:dyDescent="0.25">
      <c r="A358" t="s">
        <v>595</v>
      </c>
      <c r="B358" t="s">
        <v>498</v>
      </c>
      <c r="C358" t="s">
        <v>676</v>
      </c>
      <c r="D358" t="s">
        <v>8</v>
      </c>
      <c r="E358">
        <v>35</v>
      </c>
      <c r="F358" t="s">
        <v>1357</v>
      </c>
      <c r="G358" t="s">
        <v>36</v>
      </c>
      <c r="H358">
        <v>5571</v>
      </c>
      <c r="I358" t="s">
        <v>4</v>
      </c>
      <c r="J358">
        <v>5</v>
      </c>
    </row>
    <row r="359" spans="1:10" x14ac:dyDescent="0.25">
      <c r="A359" t="s">
        <v>419</v>
      </c>
      <c r="B359" t="s">
        <v>361</v>
      </c>
      <c r="C359" t="s">
        <v>677</v>
      </c>
      <c r="D359" t="s">
        <v>8</v>
      </c>
      <c r="E359">
        <v>49</v>
      </c>
      <c r="F359" t="s">
        <v>1357</v>
      </c>
      <c r="G359" t="s">
        <v>9</v>
      </c>
      <c r="H359">
        <v>6478</v>
      </c>
      <c r="I359" t="s">
        <v>4</v>
      </c>
      <c r="J359">
        <v>3</v>
      </c>
    </row>
    <row r="360" spans="1:10" x14ac:dyDescent="0.25">
      <c r="A360" t="s">
        <v>135</v>
      </c>
      <c r="B360" t="s">
        <v>236</v>
      </c>
      <c r="C360" t="s">
        <v>678</v>
      </c>
      <c r="D360" t="s">
        <v>3</v>
      </c>
      <c r="E360">
        <v>22</v>
      </c>
      <c r="F360" t="s">
        <v>1359</v>
      </c>
      <c r="G360" t="s">
        <v>256</v>
      </c>
      <c r="H360">
        <v>4428</v>
      </c>
      <c r="I360" t="s">
        <v>14</v>
      </c>
      <c r="J360">
        <v>4</v>
      </c>
    </row>
    <row r="361" spans="1:10" x14ac:dyDescent="0.25">
      <c r="A361" t="s">
        <v>456</v>
      </c>
      <c r="B361" t="s">
        <v>425</v>
      </c>
      <c r="C361" t="s">
        <v>679</v>
      </c>
      <c r="D361" t="s">
        <v>3</v>
      </c>
      <c r="E361">
        <v>24</v>
      </c>
      <c r="F361" t="s">
        <v>1359</v>
      </c>
      <c r="G361" t="s">
        <v>128</v>
      </c>
      <c r="H361">
        <v>782</v>
      </c>
      <c r="I361" t="s">
        <v>14</v>
      </c>
      <c r="J361">
        <v>5</v>
      </c>
    </row>
    <row r="362" spans="1:10" x14ac:dyDescent="0.25">
      <c r="A362" t="s">
        <v>336</v>
      </c>
      <c r="B362" t="s">
        <v>142</v>
      </c>
      <c r="C362" t="s">
        <v>680</v>
      </c>
      <c r="D362" t="s">
        <v>8</v>
      </c>
      <c r="E362">
        <v>57</v>
      </c>
      <c r="F362" t="s">
        <v>1358</v>
      </c>
      <c r="G362" t="s">
        <v>266</v>
      </c>
      <c r="H362">
        <v>8679</v>
      </c>
      <c r="I362" t="s">
        <v>14</v>
      </c>
      <c r="J362">
        <v>0</v>
      </c>
    </row>
    <row r="363" spans="1:10" x14ac:dyDescent="0.25">
      <c r="A363" t="s">
        <v>307</v>
      </c>
      <c r="B363" t="s">
        <v>284</v>
      </c>
      <c r="C363" t="s">
        <v>681</v>
      </c>
      <c r="D363" t="s">
        <v>3</v>
      </c>
      <c r="E363">
        <v>23</v>
      </c>
      <c r="F363" t="s">
        <v>1359</v>
      </c>
      <c r="G363" t="s">
        <v>25</v>
      </c>
      <c r="H363">
        <v>9589</v>
      </c>
      <c r="I363" t="s">
        <v>14</v>
      </c>
      <c r="J363">
        <v>1</v>
      </c>
    </row>
    <row r="364" spans="1:10" x14ac:dyDescent="0.25">
      <c r="A364" t="s">
        <v>276</v>
      </c>
      <c r="B364" t="s">
        <v>600</v>
      </c>
      <c r="C364" t="s">
        <v>682</v>
      </c>
      <c r="D364" t="s">
        <v>3</v>
      </c>
      <c r="E364">
        <v>33</v>
      </c>
      <c r="F364" t="s">
        <v>1357</v>
      </c>
      <c r="G364" t="s">
        <v>43</v>
      </c>
      <c r="H364">
        <v>6306</v>
      </c>
      <c r="I364" t="s">
        <v>4</v>
      </c>
      <c r="J364">
        <v>0</v>
      </c>
    </row>
    <row r="365" spans="1:10" x14ac:dyDescent="0.25">
      <c r="A365" t="s">
        <v>383</v>
      </c>
      <c r="B365" t="s">
        <v>409</v>
      </c>
      <c r="C365" t="s">
        <v>683</v>
      </c>
      <c r="D365" t="s">
        <v>3</v>
      </c>
      <c r="E365">
        <v>36</v>
      </c>
      <c r="F365" t="s">
        <v>1357</v>
      </c>
      <c r="G365" t="s">
        <v>211</v>
      </c>
      <c r="H365">
        <v>2810</v>
      </c>
      <c r="I365" t="s">
        <v>4</v>
      </c>
      <c r="J365">
        <v>3</v>
      </c>
    </row>
    <row r="366" spans="1:10" x14ac:dyDescent="0.25">
      <c r="A366" t="s">
        <v>61</v>
      </c>
      <c r="B366" t="s">
        <v>600</v>
      </c>
      <c r="C366" t="s">
        <v>684</v>
      </c>
      <c r="D366" t="s">
        <v>3</v>
      </c>
      <c r="E366">
        <v>29</v>
      </c>
      <c r="F366" t="s">
        <v>1359</v>
      </c>
      <c r="G366" t="s">
        <v>36</v>
      </c>
      <c r="H366">
        <v>9850</v>
      </c>
      <c r="I366" t="s">
        <v>14</v>
      </c>
      <c r="J366">
        <v>4</v>
      </c>
    </row>
    <row r="367" spans="1:10" x14ac:dyDescent="0.25">
      <c r="A367" t="s">
        <v>484</v>
      </c>
      <c r="B367" t="s">
        <v>358</v>
      </c>
      <c r="C367" t="s">
        <v>685</v>
      </c>
      <c r="D367" t="s">
        <v>3</v>
      </c>
      <c r="E367">
        <v>45</v>
      </c>
      <c r="F367" t="s">
        <v>1357</v>
      </c>
      <c r="G367" t="s">
        <v>199</v>
      </c>
      <c r="H367">
        <v>3195</v>
      </c>
      <c r="I367" t="s">
        <v>4</v>
      </c>
      <c r="J367">
        <v>5</v>
      </c>
    </row>
    <row r="368" spans="1:10" x14ac:dyDescent="0.25">
      <c r="A368" t="s">
        <v>232</v>
      </c>
      <c r="B368" t="s">
        <v>308</v>
      </c>
      <c r="C368" t="s">
        <v>686</v>
      </c>
      <c r="D368" t="s">
        <v>8</v>
      </c>
      <c r="E368">
        <v>28</v>
      </c>
      <c r="F368" t="s">
        <v>1359</v>
      </c>
      <c r="G368" t="s">
        <v>150</v>
      </c>
      <c r="H368">
        <v>2010</v>
      </c>
      <c r="I368" t="s">
        <v>4</v>
      </c>
      <c r="J368">
        <v>2</v>
      </c>
    </row>
    <row r="369" spans="1:10" x14ac:dyDescent="0.25">
      <c r="A369" t="s">
        <v>687</v>
      </c>
      <c r="B369" t="s">
        <v>409</v>
      </c>
      <c r="C369" t="s">
        <v>688</v>
      </c>
      <c r="D369" t="s">
        <v>8</v>
      </c>
      <c r="E369">
        <v>30</v>
      </c>
      <c r="F369" t="s">
        <v>1359</v>
      </c>
      <c r="G369" t="s">
        <v>290</v>
      </c>
      <c r="H369">
        <v>9617</v>
      </c>
      <c r="I369" t="s">
        <v>14</v>
      </c>
      <c r="J369">
        <v>4</v>
      </c>
    </row>
    <row r="370" spans="1:10" x14ac:dyDescent="0.25">
      <c r="A370" t="s">
        <v>473</v>
      </c>
      <c r="B370" t="s">
        <v>368</v>
      </c>
      <c r="C370" t="s">
        <v>689</v>
      </c>
      <c r="D370" t="s">
        <v>8</v>
      </c>
      <c r="E370">
        <v>55</v>
      </c>
      <c r="F370" t="s">
        <v>1358</v>
      </c>
      <c r="G370" t="s">
        <v>248</v>
      </c>
      <c r="H370">
        <v>2277</v>
      </c>
      <c r="I370" t="s">
        <v>4</v>
      </c>
      <c r="J370">
        <v>4</v>
      </c>
    </row>
    <row r="371" spans="1:10" x14ac:dyDescent="0.25">
      <c r="A371" t="s">
        <v>690</v>
      </c>
      <c r="B371" t="s">
        <v>132</v>
      </c>
      <c r="C371" t="s">
        <v>691</v>
      </c>
      <c r="D371" t="s">
        <v>8</v>
      </c>
      <c r="E371">
        <v>30</v>
      </c>
      <c r="F371" t="s">
        <v>1359</v>
      </c>
      <c r="G371" t="s">
        <v>290</v>
      </c>
      <c r="H371">
        <v>2999</v>
      </c>
      <c r="I371" t="s">
        <v>4</v>
      </c>
      <c r="J371">
        <v>1</v>
      </c>
    </row>
    <row r="372" spans="1:10" x14ac:dyDescent="0.25">
      <c r="A372" t="s">
        <v>692</v>
      </c>
      <c r="B372" t="s">
        <v>324</v>
      </c>
      <c r="C372" t="s">
        <v>693</v>
      </c>
      <c r="D372" t="s">
        <v>3</v>
      </c>
      <c r="E372">
        <v>44</v>
      </c>
      <c r="F372" t="s">
        <v>1357</v>
      </c>
      <c r="G372" t="s">
        <v>21</v>
      </c>
      <c r="H372">
        <v>6793</v>
      </c>
      <c r="I372" t="s">
        <v>14</v>
      </c>
      <c r="J372">
        <v>3</v>
      </c>
    </row>
    <row r="373" spans="1:10" x14ac:dyDescent="0.25">
      <c r="A373" t="s">
        <v>356</v>
      </c>
      <c r="B373" t="s">
        <v>122</v>
      </c>
      <c r="C373" t="s">
        <v>694</v>
      </c>
      <c r="D373" t="s">
        <v>8</v>
      </c>
      <c r="E373">
        <v>23</v>
      </c>
      <c r="F373" t="s">
        <v>1359</v>
      </c>
      <c r="G373" t="s">
        <v>231</v>
      </c>
      <c r="H373">
        <v>8249</v>
      </c>
      <c r="I373" t="s">
        <v>14</v>
      </c>
      <c r="J373">
        <v>3</v>
      </c>
    </row>
    <row r="374" spans="1:10" x14ac:dyDescent="0.25">
      <c r="A374" t="s">
        <v>30</v>
      </c>
      <c r="B374" t="s">
        <v>366</v>
      </c>
      <c r="C374" t="s">
        <v>695</v>
      </c>
      <c r="D374" t="s">
        <v>3</v>
      </c>
      <c r="E374">
        <v>54</v>
      </c>
      <c r="F374" t="s">
        <v>1358</v>
      </c>
      <c r="G374" t="s">
        <v>169</v>
      </c>
      <c r="H374">
        <v>4723</v>
      </c>
      <c r="I374" t="s">
        <v>4</v>
      </c>
      <c r="J374">
        <v>1</v>
      </c>
    </row>
    <row r="375" spans="1:10" x14ac:dyDescent="0.25">
      <c r="A375" t="s">
        <v>22</v>
      </c>
      <c r="B375" t="s">
        <v>98</v>
      </c>
      <c r="C375" t="s">
        <v>696</v>
      </c>
      <c r="D375" t="s">
        <v>3</v>
      </c>
      <c r="E375">
        <v>60</v>
      </c>
      <c r="F375" t="s">
        <v>1358</v>
      </c>
      <c r="G375" t="s">
        <v>55</v>
      </c>
      <c r="H375">
        <v>1198</v>
      </c>
      <c r="I375" t="s">
        <v>14</v>
      </c>
      <c r="J375">
        <v>2</v>
      </c>
    </row>
    <row r="376" spans="1:10" x14ac:dyDescent="0.25">
      <c r="A376" t="s">
        <v>195</v>
      </c>
      <c r="B376" t="s">
        <v>425</v>
      </c>
      <c r="C376" t="s">
        <v>697</v>
      </c>
      <c r="D376" t="s">
        <v>3</v>
      </c>
      <c r="E376">
        <v>19</v>
      </c>
      <c r="F376" t="s">
        <v>1359</v>
      </c>
      <c r="G376" t="s">
        <v>225</v>
      </c>
      <c r="H376">
        <v>7458</v>
      </c>
      <c r="I376" t="s">
        <v>14</v>
      </c>
      <c r="J376">
        <v>0</v>
      </c>
    </row>
    <row r="377" spans="1:10" x14ac:dyDescent="0.25">
      <c r="A377" t="s">
        <v>698</v>
      </c>
      <c r="B377" t="s">
        <v>294</v>
      </c>
      <c r="C377" t="s">
        <v>699</v>
      </c>
      <c r="D377" t="s">
        <v>8</v>
      </c>
      <c r="E377">
        <v>26</v>
      </c>
      <c r="F377" t="s">
        <v>1359</v>
      </c>
      <c r="G377" t="s">
        <v>227</v>
      </c>
      <c r="H377">
        <v>5385</v>
      </c>
      <c r="I377" t="s">
        <v>4</v>
      </c>
      <c r="J377">
        <v>3</v>
      </c>
    </row>
    <row r="378" spans="1:10" x14ac:dyDescent="0.25">
      <c r="A378" t="s">
        <v>700</v>
      </c>
      <c r="B378" t="s">
        <v>358</v>
      </c>
      <c r="C378" t="s">
        <v>701</v>
      </c>
      <c r="D378" t="s">
        <v>3</v>
      </c>
      <c r="E378">
        <v>51</v>
      </c>
      <c r="F378" t="s">
        <v>1358</v>
      </c>
      <c r="G378" t="s">
        <v>9</v>
      </c>
      <c r="H378">
        <v>2127</v>
      </c>
      <c r="I378" t="s">
        <v>14</v>
      </c>
      <c r="J378">
        <v>2</v>
      </c>
    </row>
    <row r="379" spans="1:10" x14ac:dyDescent="0.25">
      <c r="A379" t="s">
        <v>276</v>
      </c>
      <c r="B379" t="s">
        <v>294</v>
      </c>
      <c r="C379" t="s">
        <v>702</v>
      </c>
      <c r="D379" t="s">
        <v>3</v>
      </c>
      <c r="E379">
        <v>31</v>
      </c>
      <c r="F379" t="s">
        <v>1357</v>
      </c>
      <c r="G379" t="s">
        <v>248</v>
      </c>
      <c r="H379">
        <v>1175</v>
      </c>
      <c r="I379" t="s">
        <v>14</v>
      </c>
      <c r="J379">
        <v>3</v>
      </c>
    </row>
    <row r="380" spans="1:10" x14ac:dyDescent="0.25">
      <c r="A380" t="s">
        <v>61</v>
      </c>
      <c r="B380" t="s">
        <v>622</v>
      </c>
      <c r="C380" t="s">
        <v>703</v>
      </c>
      <c r="D380" t="s">
        <v>3</v>
      </c>
      <c r="E380">
        <v>36</v>
      </c>
      <c r="F380" t="s">
        <v>1357</v>
      </c>
      <c r="G380" t="s">
        <v>124</v>
      </c>
      <c r="H380">
        <v>6811</v>
      </c>
      <c r="I380" t="s">
        <v>4</v>
      </c>
      <c r="J380">
        <v>1</v>
      </c>
    </row>
    <row r="381" spans="1:10" x14ac:dyDescent="0.25">
      <c r="A381" t="s">
        <v>704</v>
      </c>
      <c r="B381" t="s">
        <v>305</v>
      </c>
      <c r="C381" t="s">
        <v>705</v>
      </c>
      <c r="D381" t="s">
        <v>8</v>
      </c>
      <c r="E381">
        <v>42</v>
      </c>
      <c r="F381" t="s">
        <v>1357</v>
      </c>
      <c r="G381" t="s">
        <v>9</v>
      </c>
      <c r="H381">
        <v>9276</v>
      </c>
      <c r="I381" t="s">
        <v>14</v>
      </c>
      <c r="J381">
        <v>3</v>
      </c>
    </row>
    <row r="382" spans="1:10" x14ac:dyDescent="0.25">
      <c r="A382" t="s">
        <v>48</v>
      </c>
      <c r="B382" t="s">
        <v>126</v>
      </c>
      <c r="C382" t="s">
        <v>706</v>
      </c>
      <c r="D382" t="s">
        <v>8</v>
      </c>
      <c r="E382">
        <v>43</v>
      </c>
      <c r="F382" t="s">
        <v>1357</v>
      </c>
      <c r="G382" t="s">
        <v>114</v>
      </c>
      <c r="H382">
        <v>5879</v>
      </c>
      <c r="I382" t="s">
        <v>14</v>
      </c>
      <c r="J382">
        <v>3</v>
      </c>
    </row>
    <row r="383" spans="1:10" x14ac:dyDescent="0.25">
      <c r="A383" t="s">
        <v>515</v>
      </c>
      <c r="B383" t="s">
        <v>236</v>
      </c>
      <c r="C383" t="s">
        <v>707</v>
      </c>
      <c r="D383" t="s">
        <v>3</v>
      </c>
      <c r="E383">
        <v>46</v>
      </c>
      <c r="F383" t="s">
        <v>1357</v>
      </c>
      <c r="G383" t="s">
        <v>86</v>
      </c>
      <c r="H383">
        <v>1881</v>
      </c>
      <c r="I383" t="s">
        <v>4</v>
      </c>
      <c r="J383">
        <v>5</v>
      </c>
    </row>
    <row r="384" spans="1:10" x14ac:dyDescent="0.25">
      <c r="A384" t="s">
        <v>44</v>
      </c>
      <c r="B384" t="s">
        <v>120</v>
      </c>
      <c r="C384" t="s">
        <v>708</v>
      </c>
      <c r="D384" t="s">
        <v>8</v>
      </c>
      <c r="E384">
        <v>32</v>
      </c>
      <c r="F384" t="s">
        <v>1357</v>
      </c>
      <c r="G384" t="s">
        <v>234</v>
      </c>
      <c r="H384">
        <v>6734</v>
      </c>
      <c r="I384" t="s">
        <v>4</v>
      </c>
      <c r="J384">
        <v>3</v>
      </c>
    </row>
    <row r="385" spans="1:10" x14ac:dyDescent="0.25">
      <c r="A385" t="s">
        <v>432</v>
      </c>
      <c r="B385" t="s">
        <v>177</v>
      </c>
      <c r="C385" t="s">
        <v>709</v>
      </c>
      <c r="D385" t="s">
        <v>3</v>
      </c>
      <c r="E385">
        <v>40</v>
      </c>
      <c r="F385" t="s">
        <v>1357</v>
      </c>
      <c r="G385" t="s">
        <v>59</v>
      </c>
      <c r="H385">
        <v>4086</v>
      </c>
      <c r="I385" t="s">
        <v>4</v>
      </c>
      <c r="J385">
        <v>3</v>
      </c>
    </row>
    <row r="386" spans="1:10" x14ac:dyDescent="0.25">
      <c r="A386" t="s">
        <v>56</v>
      </c>
      <c r="B386" t="s">
        <v>174</v>
      </c>
      <c r="C386" t="s">
        <v>710</v>
      </c>
      <c r="D386" t="s">
        <v>8</v>
      </c>
      <c r="E386">
        <v>39</v>
      </c>
      <c r="F386" t="s">
        <v>1357</v>
      </c>
      <c r="G386" t="s">
        <v>103</v>
      </c>
      <c r="H386">
        <v>6700</v>
      </c>
      <c r="I386" t="s">
        <v>14</v>
      </c>
      <c r="J386">
        <v>3</v>
      </c>
    </row>
    <row r="387" spans="1:10" x14ac:dyDescent="0.25">
      <c r="A387" t="s">
        <v>145</v>
      </c>
      <c r="B387" t="s">
        <v>1</v>
      </c>
      <c r="C387" t="s">
        <v>711</v>
      </c>
      <c r="D387" t="s">
        <v>8</v>
      </c>
      <c r="E387">
        <v>29</v>
      </c>
      <c r="F387" t="s">
        <v>1359</v>
      </c>
      <c r="G387" t="s">
        <v>32</v>
      </c>
      <c r="H387">
        <v>1151</v>
      </c>
      <c r="I387" t="s">
        <v>14</v>
      </c>
      <c r="J387">
        <v>1</v>
      </c>
    </row>
    <row r="388" spans="1:10" x14ac:dyDescent="0.25">
      <c r="A388" t="s">
        <v>125</v>
      </c>
      <c r="B388" t="s">
        <v>61</v>
      </c>
      <c r="C388" t="s">
        <v>712</v>
      </c>
      <c r="D388" t="s">
        <v>8</v>
      </c>
      <c r="E388">
        <v>36</v>
      </c>
      <c r="F388" t="s">
        <v>1357</v>
      </c>
      <c r="G388" t="s">
        <v>86</v>
      </c>
      <c r="H388">
        <v>682</v>
      </c>
      <c r="I388" t="s">
        <v>14</v>
      </c>
      <c r="J388">
        <v>0</v>
      </c>
    </row>
    <row r="389" spans="1:10" x14ac:dyDescent="0.25">
      <c r="A389" t="s">
        <v>267</v>
      </c>
      <c r="B389" t="s">
        <v>1</v>
      </c>
      <c r="C389" t="s">
        <v>713</v>
      </c>
      <c r="D389" t="s">
        <v>8</v>
      </c>
      <c r="E389">
        <v>50</v>
      </c>
      <c r="F389" t="s">
        <v>1357</v>
      </c>
      <c r="G389" t="s">
        <v>86</v>
      </c>
      <c r="H389">
        <v>4473</v>
      </c>
      <c r="I389" t="s">
        <v>4</v>
      </c>
      <c r="J389">
        <v>1</v>
      </c>
    </row>
    <row r="390" spans="1:10" x14ac:dyDescent="0.25">
      <c r="A390" t="s">
        <v>319</v>
      </c>
      <c r="B390" t="s">
        <v>11</v>
      </c>
      <c r="C390" t="s">
        <v>714</v>
      </c>
      <c r="D390" t="s">
        <v>3</v>
      </c>
      <c r="E390">
        <v>28</v>
      </c>
      <c r="F390" t="s">
        <v>1359</v>
      </c>
      <c r="G390" t="s">
        <v>197</v>
      </c>
      <c r="H390">
        <v>2262</v>
      </c>
      <c r="I390" t="s">
        <v>4</v>
      </c>
      <c r="J390">
        <v>3</v>
      </c>
    </row>
    <row r="391" spans="1:10" x14ac:dyDescent="0.25">
      <c r="A391" t="s">
        <v>637</v>
      </c>
      <c r="B391" t="s">
        <v>317</v>
      </c>
      <c r="C391" t="s">
        <v>715</v>
      </c>
      <c r="D391" t="s">
        <v>3</v>
      </c>
      <c r="E391">
        <v>57</v>
      </c>
      <c r="F391" t="s">
        <v>1358</v>
      </c>
      <c r="G391" t="s">
        <v>134</v>
      </c>
      <c r="H391">
        <v>9332</v>
      </c>
      <c r="I391" t="s">
        <v>4</v>
      </c>
      <c r="J391">
        <v>1</v>
      </c>
    </row>
    <row r="392" spans="1:10" x14ac:dyDescent="0.25">
      <c r="A392" t="s">
        <v>203</v>
      </c>
      <c r="B392" t="s">
        <v>74</v>
      </c>
      <c r="C392" t="s">
        <v>716</v>
      </c>
      <c r="D392" t="s">
        <v>8</v>
      </c>
      <c r="E392">
        <v>28</v>
      </c>
      <c r="F392" t="s">
        <v>1359</v>
      </c>
      <c r="G392" t="s">
        <v>76</v>
      </c>
      <c r="H392">
        <v>8005</v>
      </c>
      <c r="I392" t="s">
        <v>14</v>
      </c>
      <c r="J392">
        <v>0</v>
      </c>
    </row>
    <row r="393" spans="1:10" x14ac:dyDescent="0.25">
      <c r="A393" t="s">
        <v>188</v>
      </c>
      <c r="B393" t="s">
        <v>88</v>
      </c>
      <c r="C393" t="s">
        <v>717</v>
      </c>
      <c r="D393" t="s">
        <v>8</v>
      </c>
      <c r="E393">
        <v>46</v>
      </c>
      <c r="F393" t="s">
        <v>1357</v>
      </c>
      <c r="G393" t="s">
        <v>290</v>
      </c>
      <c r="H393">
        <v>8678</v>
      </c>
      <c r="I393" t="s">
        <v>14</v>
      </c>
      <c r="J393">
        <v>1</v>
      </c>
    </row>
    <row r="394" spans="1:10" x14ac:dyDescent="0.25">
      <c r="A394" t="s">
        <v>214</v>
      </c>
      <c r="B394" t="s">
        <v>180</v>
      </c>
      <c r="C394" t="s">
        <v>718</v>
      </c>
      <c r="D394" t="s">
        <v>3</v>
      </c>
      <c r="E394">
        <v>30</v>
      </c>
      <c r="F394" t="s">
        <v>1359</v>
      </c>
      <c r="G394" t="s">
        <v>47</v>
      </c>
      <c r="H394">
        <v>3771</v>
      </c>
      <c r="I394" t="s">
        <v>4</v>
      </c>
      <c r="J394">
        <v>1</v>
      </c>
    </row>
    <row r="395" spans="1:10" x14ac:dyDescent="0.25">
      <c r="A395" t="s">
        <v>639</v>
      </c>
      <c r="B395" t="s">
        <v>105</v>
      </c>
      <c r="C395" t="s">
        <v>719</v>
      </c>
      <c r="D395" t="s">
        <v>8</v>
      </c>
      <c r="E395">
        <v>37</v>
      </c>
      <c r="F395" t="s">
        <v>1357</v>
      </c>
      <c r="G395" t="s">
        <v>59</v>
      </c>
      <c r="H395">
        <v>9917</v>
      </c>
      <c r="I395" t="s">
        <v>14</v>
      </c>
      <c r="J395">
        <v>4</v>
      </c>
    </row>
    <row r="396" spans="1:10" x14ac:dyDescent="0.25">
      <c r="A396" t="s">
        <v>348</v>
      </c>
      <c r="B396" t="s">
        <v>375</v>
      </c>
      <c r="C396" t="s">
        <v>720</v>
      </c>
      <c r="D396" t="s">
        <v>3</v>
      </c>
      <c r="E396">
        <v>42</v>
      </c>
      <c r="F396" t="s">
        <v>1357</v>
      </c>
      <c r="G396" t="s">
        <v>47</v>
      </c>
      <c r="H396">
        <v>8015</v>
      </c>
      <c r="I396" t="s">
        <v>14</v>
      </c>
      <c r="J396">
        <v>5</v>
      </c>
    </row>
    <row r="397" spans="1:10" x14ac:dyDescent="0.25">
      <c r="A397" t="s">
        <v>660</v>
      </c>
      <c r="B397" t="s">
        <v>604</v>
      </c>
      <c r="C397" t="s">
        <v>721</v>
      </c>
      <c r="D397" t="s">
        <v>8</v>
      </c>
      <c r="E397">
        <v>20</v>
      </c>
      <c r="F397" t="s">
        <v>1359</v>
      </c>
      <c r="G397" t="s">
        <v>114</v>
      </c>
      <c r="H397">
        <v>8588</v>
      </c>
      <c r="I397" t="s">
        <v>14</v>
      </c>
      <c r="J397">
        <v>1</v>
      </c>
    </row>
    <row r="398" spans="1:10" x14ac:dyDescent="0.25">
      <c r="A398" t="s">
        <v>5</v>
      </c>
      <c r="B398" t="s">
        <v>326</v>
      </c>
      <c r="C398" t="s">
        <v>722</v>
      </c>
      <c r="D398" t="s">
        <v>8</v>
      </c>
      <c r="E398">
        <v>20</v>
      </c>
      <c r="F398" t="s">
        <v>1359</v>
      </c>
      <c r="G398" t="s">
        <v>172</v>
      </c>
      <c r="H398">
        <v>6887</v>
      </c>
      <c r="I398" t="s">
        <v>4</v>
      </c>
      <c r="J398">
        <v>0</v>
      </c>
    </row>
    <row r="399" spans="1:10" x14ac:dyDescent="0.25">
      <c r="A399" t="s">
        <v>370</v>
      </c>
      <c r="B399" t="s">
        <v>622</v>
      </c>
      <c r="C399" t="s">
        <v>723</v>
      </c>
      <c r="D399" t="s">
        <v>8</v>
      </c>
      <c r="E399">
        <v>31</v>
      </c>
      <c r="F399" t="s">
        <v>1357</v>
      </c>
      <c r="G399" t="s">
        <v>82</v>
      </c>
      <c r="H399">
        <v>3486</v>
      </c>
      <c r="I399" t="s">
        <v>14</v>
      </c>
      <c r="J399">
        <v>0</v>
      </c>
    </row>
    <row r="400" spans="1:10" x14ac:dyDescent="0.25">
      <c r="A400" t="s">
        <v>576</v>
      </c>
      <c r="B400" t="s">
        <v>78</v>
      </c>
      <c r="C400" t="s">
        <v>724</v>
      </c>
      <c r="D400" t="s">
        <v>3</v>
      </c>
      <c r="E400">
        <v>18</v>
      </c>
      <c r="F400" t="s">
        <v>1359</v>
      </c>
      <c r="G400" t="s">
        <v>217</v>
      </c>
      <c r="H400">
        <v>3869</v>
      </c>
      <c r="I400" t="s">
        <v>14</v>
      </c>
      <c r="J400">
        <v>3</v>
      </c>
    </row>
    <row r="401" spans="1:10" x14ac:dyDescent="0.25">
      <c r="A401" t="s">
        <v>725</v>
      </c>
      <c r="B401" t="s">
        <v>358</v>
      </c>
      <c r="C401" t="s">
        <v>726</v>
      </c>
      <c r="D401" t="s">
        <v>8</v>
      </c>
      <c r="E401">
        <v>48</v>
      </c>
      <c r="F401" t="s">
        <v>1357</v>
      </c>
      <c r="G401" t="s">
        <v>303</v>
      </c>
      <c r="H401">
        <v>5930</v>
      </c>
      <c r="I401" t="s">
        <v>4</v>
      </c>
      <c r="J401">
        <v>3</v>
      </c>
    </row>
    <row r="402" spans="1:10" x14ac:dyDescent="0.25">
      <c r="A402" t="s">
        <v>360</v>
      </c>
      <c r="B402" t="s">
        <v>504</v>
      </c>
      <c r="C402" t="s">
        <v>727</v>
      </c>
      <c r="D402" t="s">
        <v>3</v>
      </c>
      <c r="E402">
        <v>23</v>
      </c>
      <c r="F402" t="s">
        <v>1359</v>
      </c>
      <c r="G402" t="s">
        <v>9</v>
      </c>
      <c r="H402">
        <v>7096</v>
      </c>
      <c r="I402" t="s">
        <v>4</v>
      </c>
      <c r="J402">
        <v>2</v>
      </c>
    </row>
    <row r="403" spans="1:10" x14ac:dyDescent="0.25">
      <c r="A403" t="s">
        <v>443</v>
      </c>
      <c r="B403" t="s">
        <v>180</v>
      </c>
      <c r="C403" t="s">
        <v>728</v>
      </c>
      <c r="D403" t="s">
        <v>3</v>
      </c>
      <c r="E403">
        <v>21</v>
      </c>
      <c r="F403" t="s">
        <v>1359</v>
      </c>
      <c r="G403" t="s">
        <v>303</v>
      </c>
      <c r="H403">
        <v>4159</v>
      </c>
      <c r="I403" t="s">
        <v>4</v>
      </c>
      <c r="J403">
        <v>4</v>
      </c>
    </row>
    <row r="404" spans="1:10" x14ac:dyDescent="0.25">
      <c r="A404" t="s">
        <v>493</v>
      </c>
      <c r="B404" t="s">
        <v>71</v>
      </c>
      <c r="C404" t="s">
        <v>729</v>
      </c>
      <c r="D404" t="s">
        <v>3</v>
      </c>
      <c r="E404">
        <v>19</v>
      </c>
      <c r="F404" t="s">
        <v>1359</v>
      </c>
      <c r="G404" t="s">
        <v>303</v>
      </c>
      <c r="H404">
        <v>6572</v>
      </c>
      <c r="I404" t="s">
        <v>4</v>
      </c>
      <c r="J404">
        <v>2</v>
      </c>
    </row>
    <row r="405" spans="1:10" x14ac:dyDescent="0.25">
      <c r="A405" t="s">
        <v>154</v>
      </c>
      <c r="B405" t="s">
        <v>368</v>
      </c>
      <c r="C405" t="s">
        <v>730</v>
      </c>
      <c r="D405" t="s">
        <v>8</v>
      </c>
      <c r="E405">
        <v>60</v>
      </c>
      <c r="F405" t="s">
        <v>1358</v>
      </c>
      <c r="G405" t="s">
        <v>165</v>
      </c>
      <c r="H405">
        <v>540</v>
      </c>
      <c r="I405" t="s">
        <v>4</v>
      </c>
      <c r="J405">
        <v>3</v>
      </c>
    </row>
    <row r="406" spans="1:10" x14ac:dyDescent="0.25">
      <c r="A406" t="s">
        <v>731</v>
      </c>
      <c r="B406" t="s">
        <v>142</v>
      </c>
      <c r="C406" t="s">
        <v>732</v>
      </c>
      <c r="D406" t="s">
        <v>8</v>
      </c>
      <c r="E406">
        <v>30</v>
      </c>
      <c r="F406" t="s">
        <v>1359</v>
      </c>
      <c r="G406" t="s">
        <v>172</v>
      </c>
      <c r="H406">
        <v>9974</v>
      </c>
      <c r="I406" t="s">
        <v>14</v>
      </c>
      <c r="J406">
        <v>3</v>
      </c>
    </row>
    <row r="407" spans="1:10" x14ac:dyDescent="0.25">
      <c r="A407" t="s">
        <v>354</v>
      </c>
      <c r="B407" t="s">
        <v>67</v>
      </c>
      <c r="C407" t="s">
        <v>733</v>
      </c>
      <c r="D407" t="s">
        <v>8</v>
      </c>
      <c r="E407">
        <v>22</v>
      </c>
      <c r="F407" t="s">
        <v>1359</v>
      </c>
      <c r="G407" t="s">
        <v>217</v>
      </c>
      <c r="H407">
        <v>1976</v>
      </c>
      <c r="I407" t="s">
        <v>14</v>
      </c>
      <c r="J407">
        <v>0</v>
      </c>
    </row>
    <row r="408" spans="1:10" x14ac:dyDescent="0.25">
      <c r="A408" t="s">
        <v>336</v>
      </c>
      <c r="B408" t="s">
        <v>61</v>
      </c>
      <c r="C408" t="s">
        <v>734</v>
      </c>
      <c r="D408" t="s">
        <v>8</v>
      </c>
      <c r="E408">
        <v>25</v>
      </c>
      <c r="F408" t="s">
        <v>1359</v>
      </c>
      <c r="G408" t="s">
        <v>187</v>
      </c>
      <c r="H408">
        <v>2768</v>
      </c>
      <c r="I408" t="s">
        <v>4</v>
      </c>
      <c r="J408">
        <v>5</v>
      </c>
    </row>
    <row r="409" spans="1:10" x14ac:dyDescent="0.25">
      <c r="A409" t="s">
        <v>403</v>
      </c>
      <c r="B409" t="s">
        <v>155</v>
      </c>
      <c r="C409" t="s">
        <v>735</v>
      </c>
      <c r="D409" t="s">
        <v>8</v>
      </c>
      <c r="E409">
        <v>32</v>
      </c>
      <c r="F409" t="s">
        <v>1357</v>
      </c>
      <c r="G409" t="s">
        <v>199</v>
      </c>
      <c r="H409">
        <v>1120</v>
      </c>
      <c r="I409" t="s">
        <v>4</v>
      </c>
      <c r="J409">
        <v>1</v>
      </c>
    </row>
    <row r="410" spans="1:10" x14ac:dyDescent="0.25">
      <c r="A410" t="s">
        <v>183</v>
      </c>
      <c r="B410" t="s">
        <v>84</v>
      </c>
      <c r="C410" t="s">
        <v>184</v>
      </c>
      <c r="D410" t="s">
        <v>3</v>
      </c>
      <c r="E410">
        <v>22</v>
      </c>
      <c r="F410" t="s">
        <v>1359</v>
      </c>
      <c r="G410" t="s">
        <v>160</v>
      </c>
      <c r="H410">
        <v>3875</v>
      </c>
      <c r="I410" t="s">
        <v>4</v>
      </c>
      <c r="J410">
        <v>2</v>
      </c>
    </row>
    <row r="411" spans="1:10" x14ac:dyDescent="0.25">
      <c r="A411" t="s">
        <v>456</v>
      </c>
      <c r="B411" t="s">
        <v>358</v>
      </c>
      <c r="C411" t="s">
        <v>736</v>
      </c>
      <c r="D411" t="s">
        <v>3</v>
      </c>
      <c r="E411">
        <v>42</v>
      </c>
      <c r="F411" t="s">
        <v>1357</v>
      </c>
      <c r="G411" t="s">
        <v>9</v>
      </c>
      <c r="H411">
        <v>9377</v>
      </c>
      <c r="I411" t="s">
        <v>14</v>
      </c>
      <c r="J411">
        <v>3</v>
      </c>
    </row>
    <row r="412" spans="1:10" x14ac:dyDescent="0.25">
      <c r="A412" t="s">
        <v>417</v>
      </c>
      <c r="B412" t="s">
        <v>556</v>
      </c>
      <c r="C412" t="s">
        <v>737</v>
      </c>
      <c r="D412" t="s">
        <v>8</v>
      </c>
      <c r="E412">
        <v>46</v>
      </c>
      <c r="F412" t="s">
        <v>1357</v>
      </c>
      <c r="G412" t="s">
        <v>227</v>
      </c>
      <c r="H412">
        <v>2695</v>
      </c>
      <c r="I412" t="s">
        <v>4</v>
      </c>
      <c r="J412">
        <v>5</v>
      </c>
    </row>
    <row r="413" spans="1:10" x14ac:dyDescent="0.25">
      <c r="A413" t="s">
        <v>22</v>
      </c>
      <c r="B413" t="s">
        <v>122</v>
      </c>
      <c r="C413" t="s">
        <v>738</v>
      </c>
      <c r="D413" t="s">
        <v>3</v>
      </c>
      <c r="E413">
        <v>48</v>
      </c>
      <c r="F413" t="s">
        <v>1357</v>
      </c>
      <c r="G413" t="s">
        <v>293</v>
      </c>
      <c r="H413">
        <v>5213</v>
      </c>
      <c r="I413" t="s">
        <v>14</v>
      </c>
      <c r="J413">
        <v>3</v>
      </c>
    </row>
    <row r="414" spans="1:10" x14ac:dyDescent="0.25">
      <c r="A414" t="s">
        <v>739</v>
      </c>
      <c r="B414" t="s">
        <v>132</v>
      </c>
      <c r="C414" t="s">
        <v>740</v>
      </c>
      <c r="D414" t="s">
        <v>8</v>
      </c>
      <c r="E414">
        <v>42</v>
      </c>
      <c r="F414" t="s">
        <v>1357</v>
      </c>
      <c r="G414" t="s">
        <v>63</v>
      </c>
      <c r="H414">
        <v>5434</v>
      </c>
      <c r="I414" t="s">
        <v>14</v>
      </c>
      <c r="J414">
        <v>5</v>
      </c>
    </row>
    <row r="415" spans="1:10" x14ac:dyDescent="0.25">
      <c r="A415" t="s">
        <v>568</v>
      </c>
      <c r="B415" t="s">
        <v>23</v>
      </c>
      <c r="C415" t="s">
        <v>741</v>
      </c>
      <c r="D415" t="s">
        <v>3</v>
      </c>
      <c r="E415">
        <v>35</v>
      </c>
      <c r="F415" t="s">
        <v>1357</v>
      </c>
      <c r="G415" t="s">
        <v>211</v>
      </c>
      <c r="H415">
        <v>3641</v>
      </c>
      <c r="I415" t="s">
        <v>14</v>
      </c>
      <c r="J415">
        <v>2</v>
      </c>
    </row>
    <row r="416" spans="1:10" x14ac:dyDescent="0.25">
      <c r="A416" t="s">
        <v>423</v>
      </c>
      <c r="B416" t="s">
        <v>294</v>
      </c>
      <c r="C416" t="s">
        <v>742</v>
      </c>
      <c r="D416" t="s">
        <v>8</v>
      </c>
      <c r="E416">
        <v>55</v>
      </c>
      <c r="F416" t="s">
        <v>1358</v>
      </c>
      <c r="G416" t="s">
        <v>69</v>
      </c>
      <c r="H416">
        <v>7462</v>
      </c>
      <c r="I416" t="s">
        <v>14</v>
      </c>
      <c r="J416">
        <v>2</v>
      </c>
    </row>
    <row r="417" spans="1:10" x14ac:dyDescent="0.25">
      <c r="A417" t="s">
        <v>379</v>
      </c>
      <c r="B417" t="s">
        <v>220</v>
      </c>
      <c r="C417" t="s">
        <v>743</v>
      </c>
      <c r="D417" t="s">
        <v>8</v>
      </c>
      <c r="E417">
        <v>28</v>
      </c>
      <c r="F417" t="s">
        <v>1359</v>
      </c>
      <c r="G417" t="s">
        <v>165</v>
      </c>
      <c r="H417">
        <v>5721</v>
      </c>
      <c r="I417" t="s">
        <v>4</v>
      </c>
      <c r="J417">
        <v>3</v>
      </c>
    </row>
    <row r="418" spans="1:10" x14ac:dyDescent="0.25">
      <c r="A418" t="s">
        <v>437</v>
      </c>
      <c r="B418" t="s">
        <v>744</v>
      </c>
      <c r="C418" t="s">
        <v>745</v>
      </c>
      <c r="D418" t="s">
        <v>8</v>
      </c>
      <c r="E418">
        <v>48</v>
      </c>
      <c r="F418" t="s">
        <v>1357</v>
      </c>
      <c r="G418" t="s">
        <v>234</v>
      </c>
      <c r="H418">
        <v>5032</v>
      </c>
      <c r="I418" t="s">
        <v>14</v>
      </c>
      <c r="J418">
        <v>1</v>
      </c>
    </row>
    <row r="419" spans="1:10" x14ac:dyDescent="0.25">
      <c r="A419" t="s">
        <v>70</v>
      </c>
      <c r="B419" t="s">
        <v>334</v>
      </c>
      <c r="C419" t="s">
        <v>746</v>
      </c>
      <c r="D419" t="s">
        <v>3</v>
      </c>
      <c r="E419">
        <v>29</v>
      </c>
      <c r="F419" t="s">
        <v>1359</v>
      </c>
      <c r="G419" t="s">
        <v>114</v>
      </c>
      <c r="H419">
        <v>2870</v>
      </c>
      <c r="I419" t="s">
        <v>14</v>
      </c>
      <c r="J419">
        <v>5</v>
      </c>
    </row>
    <row r="420" spans="1:10" x14ac:dyDescent="0.25">
      <c r="A420" t="s">
        <v>534</v>
      </c>
      <c r="B420" t="s">
        <v>249</v>
      </c>
      <c r="C420" t="s">
        <v>747</v>
      </c>
      <c r="D420" t="s">
        <v>3</v>
      </c>
      <c r="E420">
        <v>20</v>
      </c>
      <c r="F420" t="s">
        <v>1359</v>
      </c>
      <c r="G420" t="s">
        <v>197</v>
      </c>
      <c r="H420">
        <v>4950</v>
      </c>
      <c r="I420" t="s">
        <v>14</v>
      </c>
      <c r="J420">
        <v>5</v>
      </c>
    </row>
    <row r="421" spans="1:10" x14ac:dyDescent="0.25">
      <c r="A421" t="s">
        <v>333</v>
      </c>
      <c r="B421" t="s">
        <v>433</v>
      </c>
      <c r="C421" t="s">
        <v>748</v>
      </c>
      <c r="D421" t="s">
        <v>3</v>
      </c>
      <c r="E421">
        <v>25</v>
      </c>
      <c r="F421" t="s">
        <v>1359</v>
      </c>
      <c r="G421" t="s">
        <v>43</v>
      </c>
      <c r="H421">
        <v>6903</v>
      </c>
      <c r="I421" t="s">
        <v>14</v>
      </c>
      <c r="J421">
        <v>4</v>
      </c>
    </row>
    <row r="422" spans="1:10" x14ac:dyDescent="0.25">
      <c r="A422" t="s">
        <v>356</v>
      </c>
      <c r="B422" t="s">
        <v>334</v>
      </c>
      <c r="C422" t="s">
        <v>749</v>
      </c>
      <c r="D422" t="s">
        <v>8</v>
      </c>
      <c r="E422">
        <v>26</v>
      </c>
      <c r="F422" t="s">
        <v>1359</v>
      </c>
      <c r="G422" t="s">
        <v>293</v>
      </c>
      <c r="H422">
        <v>6577</v>
      </c>
      <c r="I422" t="s">
        <v>14</v>
      </c>
      <c r="J422">
        <v>4</v>
      </c>
    </row>
    <row r="423" spans="1:10" x14ac:dyDescent="0.25">
      <c r="A423" t="s">
        <v>360</v>
      </c>
      <c r="B423" t="s">
        <v>561</v>
      </c>
      <c r="C423" t="s">
        <v>750</v>
      </c>
      <c r="D423" t="s">
        <v>3</v>
      </c>
      <c r="E423">
        <v>42</v>
      </c>
      <c r="F423" t="s">
        <v>1357</v>
      </c>
      <c r="G423" t="s">
        <v>131</v>
      </c>
      <c r="H423">
        <v>7295</v>
      </c>
      <c r="I423" t="s">
        <v>4</v>
      </c>
      <c r="J423">
        <v>5</v>
      </c>
    </row>
    <row r="424" spans="1:10" x14ac:dyDescent="0.25">
      <c r="A424" t="s">
        <v>64</v>
      </c>
      <c r="B424" t="s">
        <v>122</v>
      </c>
      <c r="C424" t="s">
        <v>751</v>
      </c>
      <c r="D424" t="s">
        <v>3</v>
      </c>
      <c r="E424">
        <v>40</v>
      </c>
      <c r="F424" t="s">
        <v>1357</v>
      </c>
      <c r="G424" t="s">
        <v>36</v>
      </c>
      <c r="H424">
        <v>6173</v>
      </c>
      <c r="I424" t="s">
        <v>14</v>
      </c>
      <c r="J424">
        <v>2</v>
      </c>
    </row>
    <row r="425" spans="1:10" x14ac:dyDescent="0.25">
      <c r="A425" t="s">
        <v>690</v>
      </c>
      <c r="B425" t="s">
        <v>112</v>
      </c>
      <c r="C425" t="s">
        <v>752</v>
      </c>
      <c r="D425" t="s">
        <v>8</v>
      </c>
      <c r="E425">
        <v>29</v>
      </c>
      <c r="F425" t="s">
        <v>1359</v>
      </c>
      <c r="G425" t="s">
        <v>80</v>
      </c>
      <c r="H425">
        <v>8584</v>
      </c>
      <c r="I425" t="s">
        <v>4</v>
      </c>
      <c r="J425">
        <v>4</v>
      </c>
    </row>
    <row r="426" spans="1:10" x14ac:dyDescent="0.25">
      <c r="A426" t="s">
        <v>93</v>
      </c>
      <c r="B426" t="s">
        <v>552</v>
      </c>
      <c r="C426" t="s">
        <v>753</v>
      </c>
      <c r="D426" t="s">
        <v>3</v>
      </c>
      <c r="E426">
        <v>32</v>
      </c>
      <c r="F426" t="s">
        <v>1357</v>
      </c>
      <c r="G426" t="s">
        <v>217</v>
      </c>
      <c r="H426">
        <v>3726</v>
      </c>
      <c r="I426" t="s">
        <v>14</v>
      </c>
      <c r="J426">
        <v>5</v>
      </c>
    </row>
    <row r="427" spans="1:10" x14ac:dyDescent="0.25">
      <c r="A427" t="s">
        <v>666</v>
      </c>
      <c r="B427" t="s">
        <v>61</v>
      </c>
      <c r="C427" t="s">
        <v>754</v>
      </c>
      <c r="D427" t="s">
        <v>8</v>
      </c>
      <c r="E427">
        <v>52</v>
      </c>
      <c r="F427" t="s">
        <v>1358</v>
      </c>
      <c r="G427" t="s">
        <v>270</v>
      </c>
      <c r="H427">
        <v>2843</v>
      </c>
      <c r="I427" t="s">
        <v>4</v>
      </c>
      <c r="J427">
        <v>4</v>
      </c>
    </row>
    <row r="428" spans="1:10" x14ac:dyDescent="0.25">
      <c r="A428" t="s">
        <v>44</v>
      </c>
      <c r="B428" t="s">
        <v>340</v>
      </c>
      <c r="C428" t="s">
        <v>755</v>
      </c>
      <c r="D428" t="s">
        <v>8</v>
      </c>
      <c r="E428">
        <v>25</v>
      </c>
      <c r="F428" t="s">
        <v>1359</v>
      </c>
      <c r="G428" t="s">
        <v>25</v>
      </c>
      <c r="H428">
        <v>7543</v>
      </c>
      <c r="I428" t="s">
        <v>4</v>
      </c>
      <c r="J428">
        <v>0</v>
      </c>
    </row>
    <row r="429" spans="1:10" x14ac:dyDescent="0.25">
      <c r="A429" t="s">
        <v>403</v>
      </c>
      <c r="B429" t="s">
        <v>174</v>
      </c>
      <c r="C429" t="s">
        <v>756</v>
      </c>
      <c r="D429" t="s">
        <v>8</v>
      </c>
      <c r="E429">
        <v>51</v>
      </c>
      <c r="F429" t="s">
        <v>1358</v>
      </c>
      <c r="G429" t="s">
        <v>21</v>
      </c>
      <c r="H429">
        <v>5853</v>
      </c>
      <c r="I429" t="s">
        <v>14</v>
      </c>
      <c r="J429">
        <v>1</v>
      </c>
    </row>
    <row r="430" spans="1:10" x14ac:dyDescent="0.25">
      <c r="A430" t="s">
        <v>757</v>
      </c>
      <c r="B430" t="s">
        <v>148</v>
      </c>
      <c r="C430" t="s">
        <v>758</v>
      </c>
      <c r="D430" t="s">
        <v>3</v>
      </c>
      <c r="E430">
        <v>33</v>
      </c>
      <c r="F430" t="s">
        <v>1357</v>
      </c>
      <c r="G430" t="s">
        <v>234</v>
      </c>
      <c r="H430">
        <v>6838</v>
      </c>
      <c r="I430" t="s">
        <v>4</v>
      </c>
      <c r="J430">
        <v>1</v>
      </c>
    </row>
    <row r="431" spans="1:10" x14ac:dyDescent="0.25">
      <c r="A431" t="s">
        <v>445</v>
      </c>
      <c r="B431" t="s">
        <v>459</v>
      </c>
      <c r="C431" t="s">
        <v>759</v>
      </c>
      <c r="D431" t="s">
        <v>3</v>
      </c>
      <c r="E431">
        <v>50</v>
      </c>
      <c r="F431" t="s">
        <v>1357</v>
      </c>
      <c r="G431" t="s">
        <v>36</v>
      </c>
      <c r="H431">
        <v>9570</v>
      </c>
      <c r="I431" t="s">
        <v>4</v>
      </c>
      <c r="J431">
        <v>5</v>
      </c>
    </row>
    <row r="432" spans="1:10" x14ac:dyDescent="0.25">
      <c r="A432" t="s">
        <v>100</v>
      </c>
      <c r="B432" t="s">
        <v>433</v>
      </c>
      <c r="C432" t="s">
        <v>760</v>
      </c>
      <c r="D432" t="s">
        <v>8</v>
      </c>
      <c r="E432">
        <v>28</v>
      </c>
      <c r="F432" t="s">
        <v>1359</v>
      </c>
      <c r="G432" t="s">
        <v>270</v>
      </c>
      <c r="H432">
        <v>4870</v>
      </c>
      <c r="I432" t="s">
        <v>4</v>
      </c>
      <c r="J432">
        <v>1</v>
      </c>
    </row>
    <row r="433" spans="1:10" x14ac:dyDescent="0.25">
      <c r="A433" t="s">
        <v>26</v>
      </c>
      <c r="B433" t="s">
        <v>132</v>
      </c>
      <c r="C433" t="s">
        <v>761</v>
      </c>
      <c r="D433" t="s">
        <v>8</v>
      </c>
      <c r="E433">
        <v>20</v>
      </c>
      <c r="F433" t="s">
        <v>1359</v>
      </c>
      <c r="G433" t="s">
        <v>80</v>
      </c>
      <c r="H433">
        <v>8863</v>
      </c>
      <c r="I433" t="s">
        <v>14</v>
      </c>
      <c r="J433">
        <v>2</v>
      </c>
    </row>
    <row r="434" spans="1:10" x14ac:dyDescent="0.25">
      <c r="A434" t="s">
        <v>762</v>
      </c>
      <c r="B434" t="s">
        <v>635</v>
      </c>
      <c r="C434" t="s">
        <v>763</v>
      </c>
      <c r="D434" t="s">
        <v>3</v>
      </c>
      <c r="E434">
        <v>49</v>
      </c>
      <c r="F434" t="s">
        <v>1357</v>
      </c>
      <c r="G434" t="s">
        <v>227</v>
      </c>
      <c r="H434">
        <v>4748</v>
      </c>
      <c r="I434" t="s">
        <v>4</v>
      </c>
      <c r="J434">
        <v>0</v>
      </c>
    </row>
    <row r="435" spans="1:10" x14ac:dyDescent="0.25">
      <c r="A435" t="s">
        <v>304</v>
      </c>
      <c r="B435" t="s">
        <v>358</v>
      </c>
      <c r="C435" t="s">
        <v>764</v>
      </c>
      <c r="D435" t="s">
        <v>3</v>
      </c>
      <c r="E435">
        <v>52</v>
      </c>
      <c r="F435" t="s">
        <v>1358</v>
      </c>
      <c r="G435" t="s">
        <v>82</v>
      </c>
      <c r="H435">
        <v>1476</v>
      </c>
      <c r="I435" t="s">
        <v>14</v>
      </c>
      <c r="J435">
        <v>1</v>
      </c>
    </row>
    <row r="436" spans="1:10" x14ac:dyDescent="0.25">
      <c r="A436" t="s">
        <v>765</v>
      </c>
      <c r="B436" t="s">
        <v>504</v>
      </c>
      <c r="C436" t="s">
        <v>766</v>
      </c>
      <c r="D436" t="s">
        <v>8</v>
      </c>
      <c r="E436">
        <v>35</v>
      </c>
      <c r="F436" t="s">
        <v>1357</v>
      </c>
      <c r="G436" t="s">
        <v>25</v>
      </c>
      <c r="H436">
        <v>6813</v>
      </c>
      <c r="I436" t="s">
        <v>4</v>
      </c>
      <c r="J436">
        <v>4</v>
      </c>
    </row>
    <row r="437" spans="1:10" x14ac:dyDescent="0.25">
      <c r="A437" t="s">
        <v>307</v>
      </c>
      <c r="B437" t="s">
        <v>415</v>
      </c>
      <c r="C437" t="s">
        <v>767</v>
      </c>
      <c r="D437" t="s">
        <v>3</v>
      </c>
      <c r="E437">
        <v>22</v>
      </c>
      <c r="F437" t="s">
        <v>1359</v>
      </c>
      <c r="G437" t="s">
        <v>256</v>
      </c>
      <c r="H437">
        <v>2644</v>
      </c>
      <c r="I437" t="s">
        <v>4</v>
      </c>
      <c r="J437">
        <v>2</v>
      </c>
    </row>
    <row r="438" spans="1:10" x14ac:dyDescent="0.25">
      <c r="A438" t="s">
        <v>161</v>
      </c>
      <c r="B438" t="s">
        <v>371</v>
      </c>
      <c r="C438" t="s">
        <v>768</v>
      </c>
      <c r="D438" t="s">
        <v>8</v>
      </c>
      <c r="E438">
        <v>23</v>
      </c>
      <c r="F438" t="s">
        <v>1359</v>
      </c>
      <c r="G438" t="s">
        <v>160</v>
      </c>
      <c r="H438">
        <v>3777</v>
      </c>
      <c r="I438" t="s">
        <v>4</v>
      </c>
      <c r="J438">
        <v>2</v>
      </c>
    </row>
    <row r="439" spans="1:10" x14ac:dyDescent="0.25">
      <c r="A439" t="s">
        <v>141</v>
      </c>
      <c r="B439" t="s">
        <v>308</v>
      </c>
      <c r="C439" t="s">
        <v>769</v>
      </c>
      <c r="D439" t="s">
        <v>8</v>
      </c>
      <c r="E439">
        <v>27</v>
      </c>
      <c r="F439" t="s">
        <v>1359</v>
      </c>
      <c r="G439" t="s">
        <v>227</v>
      </c>
      <c r="H439">
        <v>3524</v>
      </c>
      <c r="I439" t="s">
        <v>4</v>
      </c>
      <c r="J439">
        <v>4</v>
      </c>
    </row>
    <row r="440" spans="1:10" x14ac:dyDescent="0.25">
      <c r="A440" t="s">
        <v>700</v>
      </c>
      <c r="B440" t="s">
        <v>433</v>
      </c>
      <c r="C440" t="s">
        <v>770</v>
      </c>
      <c r="D440" t="s">
        <v>3</v>
      </c>
      <c r="E440">
        <v>42</v>
      </c>
      <c r="F440" t="s">
        <v>1357</v>
      </c>
      <c r="G440" t="s">
        <v>248</v>
      </c>
      <c r="H440">
        <v>2229</v>
      </c>
      <c r="I440" t="s">
        <v>14</v>
      </c>
      <c r="J440">
        <v>3</v>
      </c>
    </row>
    <row r="441" spans="1:10" x14ac:dyDescent="0.25">
      <c r="A441" t="s">
        <v>484</v>
      </c>
      <c r="B441" t="s">
        <v>284</v>
      </c>
      <c r="C441" t="s">
        <v>771</v>
      </c>
      <c r="D441" t="s">
        <v>3</v>
      </c>
      <c r="E441">
        <v>40</v>
      </c>
      <c r="F441" t="s">
        <v>1357</v>
      </c>
      <c r="G441" t="s">
        <v>55</v>
      </c>
      <c r="H441">
        <v>3353</v>
      </c>
      <c r="I441" t="s">
        <v>4</v>
      </c>
      <c r="J441">
        <v>5</v>
      </c>
    </row>
    <row r="442" spans="1:10" x14ac:dyDescent="0.25">
      <c r="A442" t="s">
        <v>267</v>
      </c>
      <c r="B442" t="s">
        <v>132</v>
      </c>
      <c r="C442" t="s">
        <v>772</v>
      </c>
      <c r="D442" t="s">
        <v>8</v>
      </c>
      <c r="E442">
        <v>36</v>
      </c>
      <c r="F442" t="s">
        <v>1357</v>
      </c>
      <c r="G442" t="s">
        <v>280</v>
      </c>
      <c r="H442">
        <v>1512</v>
      </c>
      <c r="I442" t="s">
        <v>14</v>
      </c>
      <c r="J442">
        <v>2</v>
      </c>
    </row>
    <row r="443" spans="1:10" x14ac:dyDescent="0.25">
      <c r="A443" t="s">
        <v>731</v>
      </c>
      <c r="B443" t="s">
        <v>11</v>
      </c>
      <c r="C443" t="s">
        <v>773</v>
      </c>
      <c r="D443" t="s">
        <v>8</v>
      </c>
      <c r="E443">
        <v>27</v>
      </c>
      <c r="F443" t="s">
        <v>1359</v>
      </c>
      <c r="G443" t="s">
        <v>194</v>
      </c>
      <c r="H443">
        <v>9716</v>
      </c>
      <c r="I443" t="s">
        <v>14</v>
      </c>
      <c r="J443">
        <v>3</v>
      </c>
    </row>
    <row r="444" spans="1:10" x14ac:dyDescent="0.25">
      <c r="A444" t="s">
        <v>465</v>
      </c>
      <c r="B444" t="s">
        <v>361</v>
      </c>
      <c r="C444" t="s">
        <v>774</v>
      </c>
      <c r="D444" t="s">
        <v>3</v>
      </c>
      <c r="E444">
        <v>44</v>
      </c>
      <c r="F444" t="s">
        <v>1357</v>
      </c>
      <c r="G444" t="s">
        <v>182</v>
      </c>
      <c r="H444">
        <v>9417</v>
      </c>
      <c r="I444" t="s">
        <v>4</v>
      </c>
      <c r="J444">
        <v>1</v>
      </c>
    </row>
    <row r="445" spans="1:10" x14ac:dyDescent="0.25">
      <c r="A445" t="s">
        <v>354</v>
      </c>
      <c r="B445" t="s">
        <v>459</v>
      </c>
      <c r="C445" t="s">
        <v>775</v>
      </c>
      <c r="D445" t="s">
        <v>8</v>
      </c>
      <c r="E445">
        <v>57</v>
      </c>
      <c r="F445" t="s">
        <v>1358</v>
      </c>
      <c r="G445" t="s">
        <v>82</v>
      </c>
      <c r="H445">
        <v>2219</v>
      </c>
      <c r="I445" t="s">
        <v>4</v>
      </c>
      <c r="J445">
        <v>3</v>
      </c>
    </row>
    <row r="446" spans="1:10" x14ac:dyDescent="0.25">
      <c r="A446" t="s">
        <v>480</v>
      </c>
      <c r="B446" t="s">
        <v>177</v>
      </c>
      <c r="C446" t="s">
        <v>776</v>
      </c>
      <c r="D446" t="s">
        <v>8</v>
      </c>
      <c r="E446">
        <v>48</v>
      </c>
      <c r="F446" t="s">
        <v>1357</v>
      </c>
      <c r="G446" t="s">
        <v>86</v>
      </c>
      <c r="H446">
        <v>9038</v>
      </c>
      <c r="I446" t="s">
        <v>14</v>
      </c>
      <c r="J446">
        <v>5</v>
      </c>
    </row>
    <row r="447" spans="1:10" x14ac:dyDescent="0.25">
      <c r="A447" t="s">
        <v>155</v>
      </c>
      <c r="B447" t="s">
        <v>277</v>
      </c>
      <c r="C447" t="s">
        <v>777</v>
      </c>
      <c r="D447" t="s">
        <v>3</v>
      </c>
      <c r="E447">
        <v>21</v>
      </c>
      <c r="F447" t="s">
        <v>1359</v>
      </c>
      <c r="G447" t="s">
        <v>165</v>
      </c>
      <c r="H447">
        <v>4661</v>
      </c>
      <c r="I447" t="s">
        <v>4</v>
      </c>
      <c r="J447">
        <v>3</v>
      </c>
    </row>
    <row r="448" spans="1:10" x14ac:dyDescent="0.25">
      <c r="A448" t="s">
        <v>56</v>
      </c>
      <c r="B448" t="s">
        <v>98</v>
      </c>
      <c r="C448" t="s">
        <v>778</v>
      </c>
      <c r="D448" t="s">
        <v>8</v>
      </c>
      <c r="E448">
        <v>52</v>
      </c>
      <c r="F448" t="s">
        <v>1358</v>
      </c>
      <c r="G448" t="s">
        <v>124</v>
      </c>
      <c r="H448">
        <v>2657</v>
      </c>
      <c r="I448" t="s">
        <v>4</v>
      </c>
      <c r="J448">
        <v>4</v>
      </c>
    </row>
    <row r="449" spans="1:10" x14ac:dyDescent="0.25">
      <c r="A449" t="s">
        <v>551</v>
      </c>
      <c r="B449" t="s">
        <v>49</v>
      </c>
      <c r="C449" t="s">
        <v>779</v>
      </c>
      <c r="D449" t="s">
        <v>8</v>
      </c>
      <c r="E449">
        <v>35</v>
      </c>
      <c r="F449" t="s">
        <v>1357</v>
      </c>
      <c r="G449" t="s">
        <v>150</v>
      </c>
      <c r="H449">
        <v>8220</v>
      </c>
      <c r="I449" t="s">
        <v>4</v>
      </c>
      <c r="J449">
        <v>5</v>
      </c>
    </row>
    <row r="450" spans="1:10" x14ac:dyDescent="0.25">
      <c r="A450" t="s">
        <v>40</v>
      </c>
      <c r="B450" t="s">
        <v>409</v>
      </c>
      <c r="C450" t="s">
        <v>780</v>
      </c>
      <c r="D450" t="s">
        <v>8</v>
      </c>
      <c r="E450">
        <v>49</v>
      </c>
      <c r="F450" t="s">
        <v>1357</v>
      </c>
      <c r="G450" t="s">
        <v>103</v>
      </c>
      <c r="H450">
        <v>1031</v>
      </c>
      <c r="I450" t="s">
        <v>14</v>
      </c>
      <c r="J450">
        <v>0</v>
      </c>
    </row>
    <row r="451" spans="1:10" x14ac:dyDescent="0.25">
      <c r="A451" t="s">
        <v>304</v>
      </c>
      <c r="B451" t="s">
        <v>504</v>
      </c>
      <c r="C451" t="s">
        <v>781</v>
      </c>
      <c r="D451" t="s">
        <v>3</v>
      </c>
      <c r="E451">
        <v>54</v>
      </c>
      <c r="F451" t="s">
        <v>1358</v>
      </c>
      <c r="G451" t="s">
        <v>172</v>
      </c>
      <c r="H451">
        <v>5880</v>
      </c>
      <c r="I451" t="s">
        <v>14</v>
      </c>
      <c r="J451">
        <v>5</v>
      </c>
    </row>
    <row r="452" spans="1:10" x14ac:dyDescent="0.25">
      <c r="A452" t="s">
        <v>37</v>
      </c>
      <c r="B452" t="s">
        <v>139</v>
      </c>
      <c r="C452" t="s">
        <v>782</v>
      </c>
      <c r="D452" t="s">
        <v>3</v>
      </c>
      <c r="E452">
        <v>33</v>
      </c>
      <c r="F452" t="s">
        <v>1357</v>
      </c>
      <c r="G452" t="s">
        <v>43</v>
      </c>
      <c r="H452">
        <v>5199</v>
      </c>
      <c r="I452" t="s">
        <v>14</v>
      </c>
      <c r="J452">
        <v>2</v>
      </c>
    </row>
    <row r="453" spans="1:10" x14ac:dyDescent="0.25">
      <c r="A453" t="s">
        <v>354</v>
      </c>
      <c r="B453" t="s">
        <v>324</v>
      </c>
      <c r="C453" t="s">
        <v>783</v>
      </c>
      <c r="D453" t="s">
        <v>8</v>
      </c>
      <c r="E453">
        <v>41</v>
      </c>
      <c r="F453" t="s">
        <v>1357</v>
      </c>
      <c r="G453" t="s">
        <v>373</v>
      </c>
      <c r="H453">
        <v>8261</v>
      </c>
      <c r="I453" t="s">
        <v>14</v>
      </c>
      <c r="J453">
        <v>0</v>
      </c>
    </row>
    <row r="454" spans="1:10" x14ac:dyDescent="0.25">
      <c r="A454" t="s">
        <v>304</v>
      </c>
      <c r="B454" t="s">
        <v>180</v>
      </c>
      <c r="C454" t="s">
        <v>784</v>
      </c>
      <c r="D454" t="s">
        <v>3</v>
      </c>
      <c r="E454">
        <v>49</v>
      </c>
      <c r="F454" t="s">
        <v>1357</v>
      </c>
      <c r="G454" t="s">
        <v>248</v>
      </c>
      <c r="H454">
        <v>1056</v>
      </c>
      <c r="I454" t="s">
        <v>14</v>
      </c>
      <c r="J454">
        <v>2</v>
      </c>
    </row>
    <row r="455" spans="1:10" x14ac:dyDescent="0.25">
      <c r="A455" t="s">
        <v>257</v>
      </c>
      <c r="B455" t="s">
        <v>200</v>
      </c>
      <c r="C455" t="s">
        <v>785</v>
      </c>
      <c r="D455" t="s">
        <v>3</v>
      </c>
      <c r="E455">
        <v>50</v>
      </c>
      <c r="F455" t="s">
        <v>1357</v>
      </c>
      <c r="G455" t="s">
        <v>165</v>
      </c>
      <c r="H455">
        <v>7188</v>
      </c>
      <c r="I455" t="s">
        <v>14</v>
      </c>
      <c r="J455">
        <v>4</v>
      </c>
    </row>
    <row r="456" spans="1:10" x14ac:dyDescent="0.25">
      <c r="A456" t="s">
        <v>439</v>
      </c>
      <c r="B456" t="s">
        <v>34</v>
      </c>
      <c r="C456" t="s">
        <v>786</v>
      </c>
      <c r="D456" t="s">
        <v>3</v>
      </c>
      <c r="E456">
        <v>46</v>
      </c>
      <c r="F456" t="s">
        <v>1357</v>
      </c>
      <c r="G456" t="s">
        <v>69</v>
      </c>
      <c r="H456">
        <v>616</v>
      </c>
      <c r="I456" t="s">
        <v>4</v>
      </c>
      <c r="J456">
        <v>0</v>
      </c>
    </row>
    <row r="457" spans="1:10" x14ac:dyDescent="0.25">
      <c r="A457" t="s">
        <v>209</v>
      </c>
      <c r="B457" t="s">
        <v>556</v>
      </c>
      <c r="C457" t="s">
        <v>787</v>
      </c>
      <c r="D457" t="s">
        <v>8</v>
      </c>
      <c r="E457">
        <v>49</v>
      </c>
      <c r="F457" t="s">
        <v>1357</v>
      </c>
      <c r="G457" t="s">
        <v>172</v>
      </c>
      <c r="H457">
        <v>7756</v>
      </c>
      <c r="I457" t="s">
        <v>14</v>
      </c>
      <c r="J457">
        <v>4</v>
      </c>
    </row>
    <row r="458" spans="1:10" x14ac:dyDescent="0.25">
      <c r="A458" t="s">
        <v>692</v>
      </c>
      <c r="B458" t="s">
        <v>556</v>
      </c>
      <c r="C458" t="s">
        <v>788</v>
      </c>
      <c r="D458" t="s">
        <v>3</v>
      </c>
      <c r="E458">
        <v>44</v>
      </c>
      <c r="F458" t="s">
        <v>1357</v>
      </c>
      <c r="G458" t="s">
        <v>187</v>
      </c>
      <c r="H458">
        <v>4771</v>
      </c>
      <c r="I458" t="s">
        <v>4</v>
      </c>
      <c r="J458">
        <v>2</v>
      </c>
    </row>
    <row r="459" spans="1:10" x14ac:dyDescent="0.25">
      <c r="A459" t="s">
        <v>263</v>
      </c>
      <c r="B459" t="s">
        <v>340</v>
      </c>
      <c r="C459" t="s">
        <v>789</v>
      </c>
      <c r="D459" t="s">
        <v>3</v>
      </c>
      <c r="E459">
        <v>39</v>
      </c>
      <c r="F459" t="s">
        <v>1357</v>
      </c>
      <c r="G459" t="s">
        <v>131</v>
      </c>
      <c r="H459">
        <v>1015</v>
      </c>
      <c r="I459" t="s">
        <v>4</v>
      </c>
      <c r="J459">
        <v>3</v>
      </c>
    </row>
    <row r="460" spans="1:10" x14ac:dyDescent="0.25">
      <c r="A460" t="s">
        <v>40</v>
      </c>
      <c r="B460" t="s">
        <v>23</v>
      </c>
      <c r="C460" t="s">
        <v>790</v>
      </c>
      <c r="D460" t="s">
        <v>8</v>
      </c>
      <c r="E460">
        <v>39</v>
      </c>
      <c r="F460" t="s">
        <v>1357</v>
      </c>
      <c r="G460" t="s">
        <v>248</v>
      </c>
      <c r="H460">
        <v>778</v>
      </c>
      <c r="I460" t="s">
        <v>14</v>
      </c>
      <c r="J460">
        <v>0</v>
      </c>
    </row>
    <row r="461" spans="1:10" x14ac:dyDescent="0.25">
      <c r="A461" t="s">
        <v>339</v>
      </c>
      <c r="B461" t="s">
        <v>324</v>
      </c>
      <c r="C461" t="s">
        <v>791</v>
      </c>
      <c r="D461" t="s">
        <v>8</v>
      </c>
      <c r="E461">
        <v>24</v>
      </c>
      <c r="F461" t="s">
        <v>1359</v>
      </c>
      <c r="G461" t="s">
        <v>59</v>
      </c>
      <c r="H461">
        <v>9205</v>
      </c>
      <c r="I461" t="s">
        <v>14</v>
      </c>
      <c r="J461">
        <v>1</v>
      </c>
    </row>
    <row r="462" spans="1:10" x14ac:dyDescent="0.25">
      <c r="A462" t="s">
        <v>792</v>
      </c>
      <c r="B462" t="s">
        <v>308</v>
      </c>
      <c r="C462" t="s">
        <v>793</v>
      </c>
      <c r="D462" t="s">
        <v>8</v>
      </c>
      <c r="E462">
        <v>22</v>
      </c>
      <c r="F462" t="s">
        <v>1359</v>
      </c>
      <c r="G462" t="s">
        <v>114</v>
      </c>
      <c r="H462">
        <v>4803</v>
      </c>
      <c r="I462" t="s">
        <v>14</v>
      </c>
      <c r="J462">
        <v>5</v>
      </c>
    </row>
    <row r="463" spans="1:10" x14ac:dyDescent="0.25">
      <c r="A463" t="s">
        <v>390</v>
      </c>
      <c r="B463" t="s">
        <v>409</v>
      </c>
      <c r="C463" t="s">
        <v>794</v>
      </c>
      <c r="D463" t="s">
        <v>8</v>
      </c>
      <c r="E463">
        <v>41</v>
      </c>
      <c r="F463" t="s">
        <v>1357</v>
      </c>
      <c r="G463" t="s">
        <v>225</v>
      </c>
      <c r="H463">
        <v>4511</v>
      </c>
      <c r="I463" t="s">
        <v>14</v>
      </c>
      <c r="J463">
        <v>5</v>
      </c>
    </row>
    <row r="464" spans="1:10" x14ac:dyDescent="0.25">
      <c r="A464" t="s">
        <v>400</v>
      </c>
      <c r="B464" t="s">
        <v>16</v>
      </c>
      <c r="C464" t="s">
        <v>795</v>
      </c>
      <c r="D464" t="s">
        <v>3</v>
      </c>
      <c r="E464">
        <v>39</v>
      </c>
      <c r="F464" t="s">
        <v>1357</v>
      </c>
      <c r="G464" t="s">
        <v>231</v>
      </c>
      <c r="H464">
        <v>4177</v>
      </c>
      <c r="I464" t="s">
        <v>14</v>
      </c>
      <c r="J464">
        <v>2</v>
      </c>
    </row>
    <row r="465" spans="1:10" x14ac:dyDescent="0.25">
      <c r="A465" t="s">
        <v>796</v>
      </c>
      <c r="B465" t="s">
        <v>155</v>
      </c>
      <c r="C465" t="s">
        <v>797</v>
      </c>
      <c r="D465" t="s">
        <v>8</v>
      </c>
      <c r="E465">
        <v>55</v>
      </c>
      <c r="F465" t="s">
        <v>1358</v>
      </c>
      <c r="G465" t="s">
        <v>80</v>
      </c>
      <c r="H465">
        <v>3160</v>
      </c>
      <c r="I465" t="s">
        <v>4</v>
      </c>
      <c r="J465">
        <v>0</v>
      </c>
    </row>
    <row r="466" spans="1:10" x14ac:dyDescent="0.25">
      <c r="A466" t="s">
        <v>473</v>
      </c>
      <c r="B466" t="s">
        <v>264</v>
      </c>
      <c r="C466" t="s">
        <v>798</v>
      </c>
      <c r="D466" t="s">
        <v>8</v>
      </c>
      <c r="E466">
        <v>48</v>
      </c>
      <c r="F466" t="s">
        <v>1357</v>
      </c>
      <c r="G466" t="s">
        <v>266</v>
      </c>
      <c r="H466">
        <v>8821</v>
      </c>
      <c r="I466" t="s">
        <v>4</v>
      </c>
      <c r="J466">
        <v>1</v>
      </c>
    </row>
    <row r="467" spans="1:10" x14ac:dyDescent="0.25">
      <c r="A467" t="s">
        <v>642</v>
      </c>
      <c r="B467" t="s">
        <v>340</v>
      </c>
      <c r="C467" t="s">
        <v>799</v>
      </c>
      <c r="D467" t="s">
        <v>3</v>
      </c>
      <c r="E467">
        <v>44</v>
      </c>
      <c r="F467" t="s">
        <v>1357</v>
      </c>
      <c r="G467" t="s">
        <v>266</v>
      </c>
      <c r="H467">
        <v>3563</v>
      </c>
      <c r="I467" t="s">
        <v>14</v>
      </c>
      <c r="J467">
        <v>5</v>
      </c>
    </row>
    <row r="468" spans="1:10" x14ac:dyDescent="0.25">
      <c r="A468" t="s">
        <v>660</v>
      </c>
      <c r="B468" t="s">
        <v>120</v>
      </c>
      <c r="C468" t="s">
        <v>800</v>
      </c>
      <c r="D468" t="s">
        <v>8</v>
      </c>
      <c r="E468">
        <v>48</v>
      </c>
      <c r="F468" t="s">
        <v>1357</v>
      </c>
      <c r="G468" t="s">
        <v>55</v>
      </c>
      <c r="H468">
        <v>4835</v>
      </c>
      <c r="I468" t="s">
        <v>4</v>
      </c>
      <c r="J468">
        <v>5</v>
      </c>
    </row>
    <row r="469" spans="1:10" x14ac:dyDescent="0.25">
      <c r="A469" t="s">
        <v>489</v>
      </c>
      <c r="B469" t="s">
        <v>132</v>
      </c>
      <c r="C469" t="s">
        <v>801</v>
      </c>
      <c r="D469" t="s">
        <v>3</v>
      </c>
      <c r="E469">
        <v>55</v>
      </c>
      <c r="F469" t="s">
        <v>1358</v>
      </c>
      <c r="G469" t="s">
        <v>231</v>
      </c>
      <c r="H469">
        <v>1728</v>
      </c>
      <c r="I469" t="s">
        <v>4</v>
      </c>
      <c r="J469">
        <v>4</v>
      </c>
    </row>
    <row r="470" spans="1:10" x14ac:dyDescent="0.25">
      <c r="A470" t="s">
        <v>614</v>
      </c>
      <c r="B470" t="s">
        <v>61</v>
      </c>
      <c r="C470" t="s">
        <v>802</v>
      </c>
      <c r="D470" t="s">
        <v>8</v>
      </c>
      <c r="E470">
        <v>34</v>
      </c>
      <c r="F470" t="s">
        <v>1357</v>
      </c>
      <c r="G470" t="s">
        <v>280</v>
      </c>
      <c r="H470">
        <v>2914</v>
      </c>
      <c r="I470" t="s">
        <v>14</v>
      </c>
      <c r="J470">
        <v>4</v>
      </c>
    </row>
    <row r="471" spans="1:10" x14ac:dyDescent="0.25">
      <c r="A471" t="s">
        <v>803</v>
      </c>
      <c r="B471" t="s">
        <v>88</v>
      </c>
      <c r="C471" t="s">
        <v>804</v>
      </c>
      <c r="D471" t="s">
        <v>8</v>
      </c>
      <c r="E471">
        <v>35</v>
      </c>
      <c r="F471" t="s">
        <v>1357</v>
      </c>
      <c r="G471" t="s">
        <v>47</v>
      </c>
      <c r="H471">
        <v>4366</v>
      </c>
      <c r="I471" t="s">
        <v>4</v>
      </c>
      <c r="J471">
        <v>5</v>
      </c>
    </row>
    <row r="472" spans="1:10" x14ac:dyDescent="0.25">
      <c r="A472" t="s">
        <v>664</v>
      </c>
      <c r="B472" t="s">
        <v>204</v>
      </c>
      <c r="C472" t="s">
        <v>805</v>
      </c>
      <c r="D472" t="s">
        <v>8</v>
      </c>
      <c r="E472">
        <v>33</v>
      </c>
      <c r="F472" t="s">
        <v>1357</v>
      </c>
      <c r="G472" t="s">
        <v>9</v>
      </c>
      <c r="H472">
        <v>4050</v>
      </c>
      <c r="I472" t="s">
        <v>4</v>
      </c>
      <c r="J472">
        <v>0</v>
      </c>
    </row>
    <row r="473" spans="1:10" x14ac:dyDescent="0.25">
      <c r="A473" t="s">
        <v>238</v>
      </c>
      <c r="B473" t="s">
        <v>425</v>
      </c>
      <c r="C473" t="s">
        <v>806</v>
      </c>
      <c r="D473" t="s">
        <v>8</v>
      </c>
      <c r="E473">
        <v>50</v>
      </c>
      <c r="F473" t="s">
        <v>1357</v>
      </c>
      <c r="G473" t="s">
        <v>160</v>
      </c>
      <c r="H473">
        <v>4048</v>
      </c>
      <c r="I473" t="s">
        <v>4</v>
      </c>
      <c r="J473">
        <v>3</v>
      </c>
    </row>
    <row r="474" spans="1:10" x14ac:dyDescent="0.25">
      <c r="A474" t="s">
        <v>356</v>
      </c>
      <c r="B474" t="s">
        <v>139</v>
      </c>
      <c r="C474" t="s">
        <v>807</v>
      </c>
      <c r="D474" t="s">
        <v>8</v>
      </c>
      <c r="E474">
        <v>29</v>
      </c>
      <c r="F474" t="s">
        <v>1359</v>
      </c>
      <c r="G474" t="s">
        <v>182</v>
      </c>
      <c r="H474">
        <v>7450</v>
      </c>
      <c r="I474" t="s">
        <v>4</v>
      </c>
      <c r="J474">
        <v>5</v>
      </c>
    </row>
    <row r="475" spans="1:10" x14ac:dyDescent="0.25">
      <c r="A475" t="s">
        <v>61</v>
      </c>
      <c r="B475" t="s">
        <v>415</v>
      </c>
      <c r="C475" t="s">
        <v>808</v>
      </c>
      <c r="D475" t="s">
        <v>3</v>
      </c>
      <c r="E475">
        <v>53</v>
      </c>
      <c r="F475" t="s">
        <v>1358</v>
      </c>
      <c r="G475" t="s">
        <v>76</v>
      </c>
      <c r="H475">
        <v>4255</v>
      </c>
      <c r="I475" t="s">
        <v>4</v>
      </c>
      <c r="J475">
        <v>1</v>
      </c>
    </row>
    <row r="476" spans="1:10" x14ac:dyDescent="0.25">
      <c r="A476" t="s">
        <v>232</v>
      </c>
      <c r="B476" t="s">
        <v>101</v>
      </c>
      <c r="C476" t="s">
        <v>809</v>
      </c>
      <c r="D476" t="s">
        <v>8</v>
      </c>
      <c r="E476">
        <v>33</v>
      </c>
      <c r="F476" t="s">
        <v>1357</v>
      </c>
      <c r="G476" t="s">
        <v>303</v>
      </c>
      <c r="H476">
        <v>3936</v>
      </c>
      <c r="I476" t="s">
        <v>14</v>
      </c>
      <c r="J476">
        <v>4</v>
      </c>
    </row>
    <row r="477" spans="1:10" x14ac:dyDescent="0.25">
      <c r="A477" t="s">
        <v>238</v>
      </c>
      <c r="B477" t="s">
        <v>513</v>
      </c>
      <c r="C477" t="s">
        <v>810</v>
      </c>
      <c r="D477" t="s">
        <v>8</v>
      </c>
      <c r="E477">
        <v>53</v>
      </c>
      <c r="F477" t="s">
        <v>1358</v>
      </c>
      <c r="G477" t="s">
        <v>63</v>
      </c>
      <c r="H477">
        <v>3952</v>
      </c>
      <c r="I477" t="s">
        <v>14</v>
      </c>
      <c r="J477">
        <v>5</v>
      </c>
    </row>
    <row r="478" spans="1:10" x14ac:dyDescent="0.25">
      <c r="A478" t="s">
        <v>61</v>
      </c>
      <c r="B478" t="s">
        <v>251</v>
      </c>
      <c r="C478" t="s">
        <v>811</v>
      </c>
      <c r="D478" t="s">
        <v>3</v>
      </c>
      <c r="E478">
        <v>44</v>
      </c>
      <c r="F478" t="s">
        <v>1357</v>
      </c>
      <c r="G478" t="s">
        <v>150</v>
      </c>
      <c r="H478">
        <v>4210</v>
      </c>
      <c r="I478" t="s">
        <v>4</v>
      </c>
      <c r="J478">
        <v>2</v>
      </c>
    </row>
    <row r="479" spans="1:10" x14ac:dyDescent="0.25">
      <c r="A479" t="s">
        <v>812</v>
      </c>
      <c r="B479" t="s">
        <v>91</v>
      </c>
      <c r="C479" t="s">
        <v>813</v>
      </c>
      <c r="D479" t="s">
        <v>3</v>
      </c>
      <c r="E479">
        <v>28</v>
      </c>
      <c r="F479" t="s">
        <v>1359</v>
      </c>
      <c r="G479" t="s">
        <v>280</v>
      </c>
      <c r="H479">
        <v>6576</v>
      </c>
      <c r="I479" t="s">
        <v>14</v>
      </c>
      <c r="J479">
        <v>0</v>
      </c>
    </row>
    <row r="480" spans="1:10" x14ac:dyDescent="0.25">
      <c r="A480" t="s">
        <v>454</v>
      </c>
      <c r="B480" t="s">
        <v>53</v>
      </c>
      <c r="C480" t="s">
        <v>814</v>
      </c>
      <c r="D480" t="s">
        <v>8</v>
      </c>
      <c r="E480">
        <v>23</v>
      </c>
      <c r="F480" t="s">
        <v>1359</v>
      </c>
      <c r="G480" t="s">
        <v>25</v>
      </c>
      <c r="H480">
        <v>7860</v>
      </c>
      <c r="I480" t="s">
        <v>14</v>
      </c>
      <c r="J480">
        <v>4</v>
      </c>
    </row>
    <row r="481" spans="1:10" x14ac:dyDescent="0.25">
      <c r="A481" t="s">
        <v>73</v>
      </c>
      <c r="B481" t="s">
        <v>358</v>
      </c>
      <c r="C481" t="s">
        <v>815</v>
      </c>
      <c r="D481" t="s">
        <v>3</v>
      </c>
      <c r="E481">
        <v>46</v>
      </c>
      <c r="F481" t="s">
        <v>1357</v>
      </c>
      <c r="G481" t="s">
        <v>69</v>
      </c>
      <c r="H481">
        <v>4792</v>
      </c>
      <c r="I481" t="s">
        <v>14</v>
      </c>
      <c r="J481">
        <v>1</v>
      </c>
    </row>
    <row r="482" spans="1:10" x14ac:dyDescent="0.25">
      <c r="A482" t="s">
        <v>0</v>
      </c>
      <c r="B482" t="s">
        <v>498</v>
      </c>
      <c r="C482" t="s">
        <v>816</v>
      </c>
      <c r="D482" t="s">
        <v>3</v>
      </c>
      <c r="E482">
        <v>19</v>
      </c>
      <c r="F482" t="s">
        <v>1359</v>
      </c>
      <c r="G482" t="s">
        <v>382</v>
      </c>
      <c r="H482">
        <v>2202</v>
      </c>
      <c r="I482" t="s">
        <v>4</v>
      </c>
      <c r="J482">
        <v>1</v>
      </c>
    </row>
    <row r="483" spans="1:10" x14ac:dyDescent="0.25">
      <c r="A483" t="s">
        <v>73</v>
      </c>
      <c r="B483" t="s">
        <v>95</v>
      </c>
      <c r="C483" t="s">
        <v>588</v>
      </c>
      <c r="D483" t="s">
        <v>3</v>
      </c>
      <c r="E483">
        <v>44</v>
      </c>
      <c r="F483" t="s">
        <v>1357</v>
      </c>
      <c r="G483" t="s">
        <v>9</v>
      </c>
      <c r="H483">
        <v>2732</v>
      </c>
      <c r="I483" t="s">
        <v>4</v>
      </c>
      <c r="J483">
        <v>3</v>
      </c>
    </row>
    <row r="484" spans="1:10" x14ac:dyDescent="0.25">
      <c r="A484" t="s">
        <v>489</v>
      </c>
      <c r="B484" t="s">
        <v>504</v>
      </c>
      <c r="C484" t="s">
        <v>817</v>
      </c>
      <c r="D484" t="s">
        <v>3</v>
      </c>
      <c r="E484">
        <v>32</v>
      </c>
      <c r="F484" t="s">
        <v>1357</v>
      </c>
      <c r="G484" t="s">
        <v>373</v>
      </c>
      <c r="H484">
        <v>2842</v>
      </c>
      <c r="I484" t="s">
        <v>14</v>
      </c>
      <c r="J484">
        <v>3</v>
      </c>
    </row>
    <row r="485" spans="1:10" x14ac:dyDescent="0.25">
      <c r="A485" t="s">
        <v>803</v>
      </c>
      <c r="B485" t="s">
        <v>215</v>
      </c>
      <c r="C485" t="s">
        <v>818</v>
      </c>
      <c r="D485" t="s">
        <v>8</v>
      </c>
      <c r="E485">
        <v>22</v>
      </c>
      <c r="F485" t="s">
        <v>1359</v>
      </c>
      <c r="G485" t="s">
        <v>160</v>
      </c>
      <c r="H485">
        <v>2608</v>
      </c>
      <c r="I485" t="s">
        <v>14</v>
      </c>
      <c r="J485">
        <v>3</v>
      </c>
    </row>
    <row r="486" spans="1:10" x14ac:dyDescent="0.25">
      <c r="A486" t="s">
        <v>218</v>
      </c>
      <c r="B486" t="s">
        <v>142</v>
      </c>
      <c r="C486" t="s">
        <v>819</v>
      </c>
      <c r="D486" t="s">
        <v>3</v>
      </c>
      <c r="E486">
        <v>51</v>
      </c>
      <c r="F486" t="s">
        <v>1358</v>
      </c>
      <c r="G486" t="s">
        <v>114</v>
      </c>
      <c r="H486">
        <v>9745</v>
      </c>
      <c r="I486" t="s">
        <v>4</v>
      </c>
      <c r="J486">
        <v>2</v>
      </c>
    </row>
    <row r="487" spans="1:10" x14ac:dyDescent="0.25">
      <c r="A487" t="s">
        <v>698</v>
      </c>
      <c r="B487" t="s">
        <v>223</v>
      </c>
      <c r="C487" t="s">
        <v>820</v>
      </c>
      <c r="D487" t="s">
        <v>8</v>
      </c>
      <c r="E487">
        <v>57</v>
      </c>
      <c r="F487" t="s">
        <v>1358</v>
      </c>
      <c r="G487" t="s">
        <v>1364</v>
      </c>
      <c r="H487">
        <v>9296</v>
      </c>
      <c r="I487" t="s">
        <v>4</v>
      </c>
      <c r="J487">
        <v>1</v>
      </c>
    </row>
    <row r="488" spans="1:10" x14ac:dyDescent="0.25">
      <c r="A488" t="s">
        <v>439</v>
      </c>
      <c r="B488" t="s">
        <v>19</v>
      </c>
      <c r="C488" t="s">
        <v>821</v>
      </c>
      <c r="D488" t="s">
        <v>3</v>
      </c>
      <c r="E488">
        <v>54</v>
      </c>
      <c r="F488" t="s">
        <v>1358</v>
      </c>
      <c r="G488" t="s">
        <v>55</v>
      </c>
      <c r="H488">
        <v>5610</v>
      </c>
      <c r="I488" t="s">
        <v>14</v>
      </c>
      <c r="J488">
        <v>5</v>
      </c>
    </row>
    <row r="489" spans="1:10" x14ac:dyDescent="0.25">
      <c r="A489" t="s">
        <v>254</v>
      </c>
      <c r="B489" t="s">
        <v>415</v>
      </c>
      <c r="C489" t="s">
        <v>822</v>
      </c>
      <c r="D489" t="s">
        <v>3</v>
      </c>
      <c r="E489">
        <v>55</v>
      </c>
      <c r="F489" t="s">
        <v>1358</v>
      </c>
      <c r="G489" t="s">
        <v>25</v>
      </c>
      <c r="H489">
        <v>3761</v>
      </c>
      <c r="I489" t="s">
        <v>4</v>
      </c>
      <c r="J489">
        <v>1</v>
      </c>
    </row>
    <row r="490" spans="1:10" x14ac:dyDescent="0.25">
      <c r="A490" t="s">
        <v>307</v>
      </c>
      <c r="B490" t="s">
        <v>158</v>
      </c>
      <c r="C490" t="s">
        <v>823</v>
      </c>
      <c r="D490" t="s">
        <v>3</v>
      </c>
      <c r="E490">
        <v>60</v>
      </c>
      <c r="F490" t="s">
        <v>1358</v>
      </c>
      <c r="G490" t="s">
        <v>59</v>
      </c>
      <c r="H490">
        <v>8318</v>
      </c>
      <c r="I490" t="s">
        <v>14</v>
      </c>
      <c r="J490">
        <v>2</v>
      </c>
    </row>
    <row r="491" spans="1:10" x14ac:dyDescent="0.25">
      <c r="A491" t="s">
        <v>465</v>
      </c>
      <c r="B491" t="s">
        <v>251</v>
      </c>
      <c r="C491" t="s">
        <v>824</v>
      </c>
      <c r="D491" t="s">
        <v>3</v>
      </c>
      <c r="E491">
        <v>20</v>
      </c>
      <c r="F491" t="s">
        <v>1359</v>
      </c>
      <c r="G491" t="s">
        <v>107</v>
      </c>
      <c r="H491">
        <v>1004</v>
      </c>
      <c r="I491" t="s">
        <v>14</v>
      </c>
      <c r="J491">
        <v>2</v>
      </c>
    </row>
    <row r="492" spans="1:10" x14ac:dyDescent="0.25">
      <c r="A492" t="s">
        <v>354</v>
      </c>
      <c r="B492" t="s">
        <v>409</v>
      </c>
      <c r="C492" t="s">
        <v>825</v>
      </c>
      <c r="D492" t="s">
        <v>8</v>
      </c>
      <c r="E492">
        <v>54</v>
      </c>
      <c r="F492" t="s">
        <v>1358</v>
      </c>
      <c r="G492" t="s">
        <v>165</v>
      </c>
      <c r="H492">
        <v>2146</v>
      </c>
      <c r="I492" t="s">
        <v>4</v>
      </c>
      <c r="J492">
        <v>2</v>
      </c>
    </row>
    <row r="493" spans="1:10" x14ac:dyDescent="0.25">
      <c r="A493" t="s">
        <v>60</v>
      </c>
      <c r="B493" t="s">
        <v>261</v>
      </c>
      <c r="C493" t="s">
        <v>826</v>
      </c>
      <c r="D493" t="s">
        <v>3</v>
      </c>
      <c r="E493">
        <v>23</v>
      </c>
      <c r="F493" t="s">
        <v>1359</v>
      </c>
      <c r="G493" t="s">
        <v>270</v>
      </c>
      <c r="H493">
        <v>9079</v>
      </c>
      <c r="I493" t="s">
        <v>14</v>
      </c>
      <c r="J493">
        <v>0</v>
      </c>
    </row>
    <row r="494" spans="1:10" x14ac:dyDescent="0.25">
      <c r="A494" t="s">
        <v>495</v>
      </c>
      <c r="B494" t="s">
        <v>530</v>
      </c>
      <c r="C494" t="s">
        <v>827</v>
      </c>
      <c r="D494" t="s">
        <v>3</v>
      </c>
      <c r="E494">
        <v>55</v>
      </c>
      <c r="F494" t="s">
        <v>1358</v>
      </c>
      <c r="G494" t="s">
        <v>169</v>
      </c>
      <c r="H494">
        <v>6753</v>
      </c>
      <c r="I494" t="s">
        <v>14</v>
      </c>
      <c r="J494">
        <v>1</v>
      </c>
    </row>
    <row r="495" spans="1:10" x14ac:dyDescent="0.25">
      <c r="A495" t="s">
        <v>161</v>
      </c>
      <c r="B495" t="s">
        <v>78</v>
      </c>
      <c r="C495" t="s">
        <v>828</v>
      </c>
      <c r="D495" t="s">
        <v>8</v>
      </c>
      <c r="E495">
        <v>32</v>
      </c>
      <c r="F495" t="s">
        <v>1357</v>
      </c>
      <c r="G495" t="s">
        <v>118</v>
      </c>
      <c r="H495">
        <v>4480</v>
      </c>
      <c r="I495" t="s">
        <v>14</v>
      </c>
      <c r="J495">
        <v>3</v>
      </c>
    </row>
    <row r="496" spans="1:10" x14ac:dyDescent="0.25">
      <c r="A496" t="s">
        <v>271</v>
      </c>
      <c r="B496" t="s">
        <v>114</v>
      </c>
      <c r="C496" t="s">
        <v>829</v>
      </c>
      <c r="D496" t="s">
        <v>3</v>
      </c>
      <c r="E496">
        <v>53</v>
      </c>
      <c r="F496" t="s">
        <v>1358</v>
      </c>
      <c r="G496" t="s">
        <v>382</v>
      </c>
      <c r="H496">
        <v>4373</v>
      </c>
      <c r="I496" t="s">
        <v>14</v>
      </c>
      <c r="J496">
        <v>4</v>
      </c>
    </row>
    <row r="497" spans="1:10" x14ac:dyDescent="0.25">
      <c r="A497" t="s">
        <v>52</v>
      </c>
      <c r="B497" t="s">
        <v>142</v>
      </c>
      <c r="C497" t="s">
        <v>830</v>
      </c>
      <c r="D497" t="s">
        <v>8</v>
      </c>
      <c r="E497">
        <v>18</v>
      </c>
      <c r="F497" t="s">
        <v>1359</v>
      </c>
      <c r="G497" t="s">
        <v>165</v>
      </c>
      <c r="H497">
        <v>4106</v>
      </c>
      <c r="I497" t="s">
        <v>4</v>
      </c>
      <c r="J497">
        <v>4</v>
      </c>
    </row>
    <row r="498" spans="1:10" x14ac:dyDescent="0.25">
      <c r="A498" t="s">
        <v>316</v>
      </c>
      <c r="B498" t="s">
        <v>244</v>
      </c>
      <c r="C498" t="s">
        <v>831</v>
      </c>
      <c r="D498" t="s">
        <v>8</v>
      </c>
      <c r="E498">
        <v>33</v>
      </c>
      <c r="F498" t="s">
        <v>1357</v>
      </c>
      <c r="G498" t="s">
        <v>225</v>
      </c>
      <c r="H498">
        <v>5532</v>
      </c>
      <c r="I498" t="s">
        <v>14</v>
      </c>
      <c r="J498">
        <v>1</v>
      </c>
    </row>
    <row r="499" spans="1:10" x14ac:dyDescent="0.25">
      <c r="A499" t="s">
        <v>698</v>
      </c>
      <c r="B499" t="s">
        <v>105</v>
      </c>
      <c r="C499" t="s">
        <v>832</v>
      </c>
      <c r="D499" t="s">
        <v>8</v>
      </c>
      <c r="E499">
        <v>45</v>
      </c>
      <c r="F499" t="s">
        <v>1357</v>
      </c>
      <c r="G499" t="s">
        <v>43</v>
      </c>
      <c r="H499">
        <v>8990</v>
      </c>
      <c r="I499" t="s">
        <v>4</v>
      </c>
      <c r="J499">
        <v>0</v>
      </c>
    </row>
    <row r="500" spans="1:10" x14ac:dyDescent="0.25">
      <c r="A500" t="s">
        <v>138</v>
      </c>
      <c r="B500" t="s">
        <v>375</v>
      </c>
      <c r="C500" t="s">
        <v>833</v>
      </c>
      <c r="D500" t="s">
        <v>3</v>
      </c>
      <c r="E500">
        <v>29</v>
      </c>
      <c r="F500" t="s">
        <v>1359</v>
      </c>
      <c r="G500" t="s">
        <v>9</v>
      </c>
      <c r="H500">
        <v>6744</v>
      </c>
      <c r="I500" t="s">
        <v>4</v>
      </c>
      <c r="J500">
        <v>1</v>
      </c>
    </row>
    <row r="501" spans="1:10" x14ac:dyDescent="0.25">
      <c r="A501" t="s">
        <v>166</v>
      </c>
      <c r="B501" t="s">
        <v>98</v>
      </c>
      <c r="C501" t="s">
        <v>583</v>
      </c>
      <c r="D501" t="s">
        <v>3</v>
      </c>
      <c r="E501">
        <v>19</v>
      </c>
      <c r="F501" t="s">
        <v>1359</v>
      </c>
      <c r="G501" t="s">
        <v>47</v>
      </c>
      <c r="H501">
        <v>9324</v>
      </c>
      <c r="I501" t="s">
        <v>4</v>
      </c>
      <c r="J501">
        <v>5</v>
      </c>
    </row>
    <row r="502" spans="1:10" x14ac:dyDescent="0.25">
      <c r="A502" t="s">
        <v>195</v>
      </c>
      <c r="B502" t="s">
        <v>744</v>
      </c>
      <c r="C502" t="s">
        <v>834</v>
      </c>
      <c r="D502" t="s">
        <v>3</v>
      </c>
      <c r="E502">
        <v>29</v>
      </c>
      <c r="F502" t="s">
        <v>1359</v>
      </c>
      <c r="G502" t="s">
        <v>197</v>
      </c>
      <c r="H502">
        <v>8930</v>
      </c>
      <c r="I502" t="s">
        <v>14</v>
      </c>
      <c r="J502">
        <v>4</v>
      </c>
    </row>
    <row r="503" spans="1:10" x14ac:dyDescent="0.25">
      <c r="A503" t="s">
        <v>52</v>
      </c>
      <c r="B503" t="s">
        <v>433</v>
      </c>
      <c r="C503" t="s">
        <v>835</v>
      </c>
      <c r="D503" t="s">
        <v>8</v>
      </c>
      <c r="E503">
        <v>59</v>
      </c>
      <c r="F503" t="s">
        <v>1358</v>
      </c>
      <c r="G503" t="s">
        <v>114</v>
      </c>
      <c r="H503">
        <v>880</v>
      </c>
      <c r="I503" t="s">
        <v>14</v>
      </c>
      <c r="J503">
        <v>5</v>
      </c>
    </row>
    <row r="504" spans="1:10" x14ac:dyDescent="0.25">
      <c r="A504" t="s">
        <v>18</v>
      </c>
      <c r="B504" t="s">
        <v>38</v>
      </c>
      <c r="C504" t="s">
        <v>836</v>
      </c>
      <c r="D504" t="s">
        <v>3</v>
      </c>
      <c r="E504">
        <v>35</v>
      </c>
      <c r="F504" t="s">
        <v>1357</v>
      </c>
      <c r="G504" t="s">
        <v>150</v>
      </c>
      <c r="H504">
        <v>6097</v>
      </c>
      <c r="I504" t="s">
        <v>14</v>
      </c>
      <c r="J504">
        <v>3</v>
      </c>
    </row>
    <row r="505" spans="1:10" x14ac:dyDescent="0.25">
      <c r="A505" t="s">
        <v>52</v>
      </c>
      <c r="B505" t="s">
        <v>326</v>
      </c>
      <c r="C505" t="s">
        <v>837</v>
      </c>
      <c r="D505" t="s">
        <v>8</v>
      </c>
      <c r="E505">
        <v>19</v>
      </c>
      <c r="F505" t="s">
        <v>1359</v>
      </c>
      <c r="G505" t="s">
        <v>217</v>
      </c>
      <c r="H505">
        <v>3627</v>
      </c>
      <c r="I505" t="s">
        <v>4</v>
      </c>
      <c r="J505">
        <v>4</v>
      </c>
    </row>
    <row r="506" spans="1:10" x14ac:dyDescent="0.25">
      <c r="A506" t="s">
        <v>108</v>
      </c>
      <c r="B506" t="s">
        <v>57</v>
      </c>
      <c r="C506" t="s">
        <v>838</v>
      </c>
      <c r="D506" t="s">
        <v>3</v>
      </c>
      <c r="E506">
        <v>46</v>
      </c>
      <c r="F506" t="s">
        <v>1357</v>
      </c>
      <c r="G506" t="s">
        <v>160</v>
      </c>
      <c r="H506">
        <v>8508</v>
      </c>
      <c r="I506" t="s">
        <v>4</v>
      </c>
      <c r="J506">
        <v>3</v>
      </c>
    </row>
    <row r="507" spans="1:10" x14ac:dyDescent="0.25">
      <c r="A507" t="s">
        <v>40</v>
      </c>
      <c r="B507" t="s">
        <v>530</v>
      </c>
      <c r="C507" t="s">
        <v>839</v>
      </c>
      <c r="D507" t="s">
        <v>8</v>
      </c>
      <c r="E507">
        <v>24</v>
      </c>
      <c r="F507" t="s">
        <v>1359</v>
      </c>
      <c r="G507" t="s">
        <v>187</v>
      </c>
      <c r="H507">
        <v>3794</v>
      </c>
      <c r="I507" t="s">
        <v>4</v>
      </c>
      <c r="J507">
        <v>2</v>
      </c>
    </row>
    <row r="508" spans="1:10" x14ac:dyDescent="0.25">
      <c r="A508" t="s">
        <v>637</v>
      </c>
      <c r="B508" t="s">
        <v>561</v>
      </c>
      <c r="C508" t="s">
        <v>840</v>
      </c>
      <c r="D508" t="s">
        <v>3</v>
      </c>
      <c r="E508">
        <v>44</v>
      </c>
      <c r="F508" t="s">
        <v>1357</v>
      </c>
      <c r="G508" t="s">
        <v>197</v>
      </c>
      <c r="H508">
        <v>1602</v>
      </c>
      <c r="I508" t="s">
        <v>14</v>
      </c>
      <c r="J508">
        <v>0</v>
      </c>
    </row>
    <row r="509" spans="1:10" x14ac:dyDescent="0.25">
      <c r="A509" t="s">
        <v>276</v>
      </c>
      <c r="B509" t="s">
        <v>41</v>
      </c>
      <c r="C509" t="s">
        <v>841</v>
      </c>
      <c r="D509" t="s">
        <v>3</v>
      </c>
      <c r="E509">
        <v>25</v>
      </c>
      <c r="F509" t="s">
        <v>1359</v>
      </c>
      <c r="G509" t="s">
        <v>76</v>
      </c>
      <c r="H509">
        <v>7486</v>
      </c>
      <c r="I509" t="s">
        <v>4</v>
      </c>
      <c r="J509">
        <v>4</v>
      </c>
    </row>
    <row r="510" spans="1:10" x14ac:dyDescent="0.25">
      <c r="A510" t="s">
        <v>584</v>
      </c>
      <c r="B510" t="s">
        <v>126</v>
      </c>
      <c r="C510" t="s">
        <v>585</v>
      </c>
      <c r="D510" t="s">
        <v>3</v>
      </c>
      <c r="E510">
        <v>35</v>
      </c>
      <c r="F510" t="s">
        <v>1357</v>
      </c>
      <c r="G510" t="s">
        <v>160</v>
      </c>
      <c r="H510">
        <v>9296</v>
      </c>
      <c r="I510" t="s">
        <v>4</v>
      </c>
      <c r="J510">
        <v>5</v>
      </c>
    </row>
    <row r="511" spans="1:10" x14ac:dyDescent="0.25">
      <c r="A511" t="s">
        <v>842</v>
      </c>
      <c r="B511" t="s">
        <v>1</v>
      </c>
      <c r="C511" t="s">
        <v>843</v>
      </c>
      <c r="D511" t="s">
        <v>3</v>
      </c>
      <c r="E511">
        <v>31</v>
      </c>
      <c r="F511" t="s">
        <v>1357</v>
      </c>
      <c r="G511" t="s">
        <v>248</v>
      </c>
      <c r="H511">
        <v>2958</v>
      </c>
      <c r="I511" t="s">
        <v>4</v>
      </c>
      <c r="J511">
        <v>1</v>
      </c>
    </row>
    <row r="512" spans="1:10" x14ac:dyDescent="0.25">
      <c r="A512" t="s">
        <v>666</v>
      </c>
      <c r="B512" t="s">
        <v>95</v>
      </c>
      <c r="C512" t="s">
        <v>844</v>
      </c>
      <c r="D512" t="s">
        <v>8</v>
      </c>
      <c r="E512">
        <v>18</v>
      </c>
      <c r="F512" t="s">
        <v>1359</v>
      </c>
      <c r="G512" t="s">
        <v>211</v>
      </c>
      <c r="H512">
        <v>4318</v>
      </c>
      <c r="I512" t="s">
        <v>4</v>
      </c>
      <c r="J512">
        <v>3</v>
      </c>
    </row>
    <row r="513" spans="1:10" x14ac:dyDescent="0.25">
      <c r="A513" t="s">
        <v>282</v>
      </c>
      <c r="B513" t="s">
        <v>366</v>
      </c>
      <c r="C513" t="s">
        <v>845</v>
      </c>
      <c r="D513" t="s">
        <v>8</v>
      </c>
      <c r="E513">
        <v>35</v>
      </c>
      <c r="F513" t="s">
        <v>1357</v>
      </c>
      <c r="G513" t="s">
        <v>128</v>
      </c>
      <c r="H513">
        <v>1305</v>
      </c>
      <c r="I513" t="s">
        <v>14</v>
      </c>
      <c r="J513">
        <v>2</v>
      </c>
    </row>
    <row r="514" spans="1:10" x14ac:dyDescent="0.25">
      <c r="A514" t="s">
        <v>129</v>
      </c>
      <c r="B514" t="s">
        <v>139</v>
      </c>
      <c r="C514" t="s">
        <v>846</v>
      </c>
      <c r="D514" t="s">
        <v>3</v>
      </c>
      <c r="E514">
        <v>59</v>
      </c>
      <c r="F514" t="s">
        <v>1358</v>
      </c>
      <c r="G514" t="s">
        <v>63</v>
      </c>
      <c r="H514">
        <v>4486</v>
      </c>
      <c r="I514" t="s">
        <v>4</v>
      </c>
      <c r="J514">
        <v>1</v>
      </c>
    </row>
    <row r="515" spans="1:10" x14ac:dyDescent="0.25">
      <c r="A515" t="s">
        <v>847</v>
      </c>
      <c r="B515" t="s">
        <v>392</v>
      </c>
      <c r="C515" t="s">
        <v>848</v>
      </c>
      <c r="D515" t="s">
        <v>8</v>
      </c>
      <c r="E515">
        <v>19</v>
      </c>
      <c r="F515" t="s">
        <v>1359</v>
      </c>
      <c r="G515" t="s">
        <v>86</v>
      </c>
      <c r="H515">
        <v>3881</v>
      </c>
      <c r="I515" t="s">
        <v>4</v>
      </c>
      <c r="J515">
        <v>2</v>
      </c>
    </row>
    <row r="516" spans="1:10" x14ac:dyDescent="0.25">
      <c r="A516" t="s">
        <v>77</v>
      </c>
      <c r="B516" t="s">
        <v>162</v>
      </c>
      <c r="C516" t="s">
        <v>849</v>
      </c>
      <c r="D516" t="s">
        <v>3</v>
      </c>
      <c r="E516">
        <v>59</v>
      </c>
      <c r="F516" t="s">
        <v>1358</v>
      </c>
      <c r="G516" t="s">
        <v>47</v>
      </c>
      <c r="H516">
        <v>7464</v>
      </c>
      <c r="I516" t="s">
        <v>4</v>
      </c>
      <c r="J516">
        <v>5</v>
      </c>
    </row>
    <row r="517" spans="1:10" x14ac:dyDescent="0.25">
      <c r="A517" t="s">
        <v>30</v>
      </c>
      <c r="B517" t="s">
        <v>41</v>
      </c>
      <c r="C517" t="s">
        <v>850</v>
      </c>
      <c r="D517" t="s">
        <v>3</v>
      </c>
      <c r="E517">
        <v>35</v>
      </c>
      <c r="F517" t="s">
        <v>1357</v>
      </c>
      <c r="G517" t="s">
        <v>124</v>
      </c>
      <c r="H517">
        <v>3682</v>
      </c>
      <c r="I517" t="s">
        <v>14</v>
      </c>
      <c r="J517">
        <v>4</v>
      </c>
    </row>
    <row r="518" spans="1:10" x14ac:dyDescent="0.25">
      <c r="A518" t="s">
        <v>512</v>
      </c>
      <c r="B518" t="s">
        <v>98</v>
      </c>
      <c r="C518" t="s">
        <v>851</v>
      </c>
      <c r="D518" t="s">
        <v>3</v>
      </c>
      <c r="E518">
        <v>42</v>
      </c>
      <c r="F518" t="s">
        <v>1357</v>
      </c>
      <c r="G518" t="s">
        <v>280</v>
      </c>
      <c r="H518">
        <v>9544</v>
      </c>
      <c r="I518" t="s">
        <v>4</v>
      </c>
      <c r="J518">
        <v>4</v>
      </c>
    </row>
    <row r="519" spans="1:10" x14ac:dyDescent="0.25">
      <c r="A519" t="s">
        <v>397</v>
      </c>
      <c r="B519" t="s">
        <v>114</v>
      </c>
      <c r="C519" t="s">
        <v>852</v>
      </c>
      <c r="D519" t="s">
        <v>3</v>
      </c>
      <c r="E519">
        <v>52</v>
      </c>
      <c r="F519" t="s">
        <v>1358</v>
      </c>
      <c r="G519" t="s">
        <v>165</v>
      </c>
      <c r="H519">
        <v>2516</v>
      </c>
      <c r="I519" t="s">
        <v>4</v>
      </c>
      <c r="J519">
        <v>2</v>
      </c>
    </row>
    <row r="520" spans="1:10" x14ac:dyDescent="0.25">
      <c r="A520" t="s">
        <v>97</v>
      </c>
      <c r="B520" t="s">
        <v>122</v>
      </c>
      <c r="C520" t="s">
        <v>853</v>
      </c>
      <c r="D520" t="s">
        <v>8</v>
      </c>
      <c r="E520">
        <v>50</v>
      </c>
      <c r="F520" t="s">
        <v>1357</v>
      </c>
      <c r="G520" t="s">
        <v>59</v>
      </c>
      <c r="H520">
        <v>2901</v>
      </c>
      <c r="I520" t="s">
        <v>14</v>
      </c>
      <c r="J520">
        <v>3</v>
      </c>
    </row>
    <row r="521" spans="1:10" x14ac:dyDescent="0.25">
      <c r="A521" t="s">
        <v>195</v>
      </c>
      <c r="B521" t="s">
        <v>88</v>
      </c>
      <c r="C521" t="s">
        <v>854</v>
      </c>
      <c r="D521" t="s">
        <v>3</v>
      </c>
      <c r="E521">
        <v>51</v>
      </c>
      <c r="F521" t="s">
        <v>1358</v>
      </c>
      <c r="G521" t="s">
        <v>86</v>
      </c>
      <c r="H521">
        <v>8701</v>
      </c>
      <c r="I521" t="s">
        <v>14</v>
      </c>
      <c r="J521">
        <v>2</v>
      </c>
    </row>
    <row r="522" spans="1:10" x14ac:dyDescent="0.25">
      <c r="A522" t="s">
        <v>477</v>
      </c>
      <c r="B522" t="s">
        <v>498</v>
      </c>
      <c r="C522" t="s">
        <v>855</v>
      </c>
      <c r="D522" t="s">
        <v>8</v>
      </c>
      <c r="E522">
        <v>37</v>
      </c>
      <c r="F522" t="s">
        <v>1357</v>
      </c>
      <c r="G522" t="s">
        <v>382</v>
      </c>
      <c r="H522">
        <v>9689</v>
      </c>
      <c r="I522" t="s">
        <v>4</v>
      </c>
      <c r="J522">
        <v>0</v>
      </c>
    </row>
    <row r="523" spans="1:10" x14ac:dyDescent="0.25">
      <c r="A523" t="s">
        <v>456</v>
      </c>
      <c r="B523" t="s">
        <v>580</v>
      </c>
      <c r="C523" t="s">
        <v>856</v>
      </c>
      <c r="D523" t="s">
        <v>3</v>
      </c>
      <c r="E523">
        <v>28</v>
      </c>
      <c r="F523" t="s">
        <v>1359</v>
      </c>
      <c r="G523" t="s">
        <v>303</v>
      </c>
      <c r="H523">
        <v>4269</v>
      </c>
      <c r="I523" t="s">
        <v>14</v>
      </c>
      <c r="J523">
        <v>5</v>
      </c>
    </row>
    <row r="524" spans="1:10" x14ac:dyDescent="0.25">
      <c r="A524" t="s">
        <v>456</v>
      </c>
      <c r="B524" t="s">
        <v>351</v>
      </c>
      <c r="C524" t="s">
        <v>857</v>
      </c>
      <c r="D524" t="s">
        <v>3</v>
      </c>
      <c r="E524">
        <v>40</v>
      </c>
      <c r="F524" t="s">
        <v>1357</v>
      </c>
      <c r="G524" t="s">
        <v>76</v>
      </c>
      <c r="H524">
        <v>1962</v>
      </c>
      <c r="I524" t="s">
        <v>4</v>
      </c>
      <c r="J524">
        <v>2</v>
      </c>
    </row>
    <row r="525" spans="1:10" x14ac:dyDescent="0.25">
      <c r="A525" t="s">
        <v>493</v>
      </c>
      <c r="B525" t="s">
        <v>6</v>
      </c>
      <c r="C525" t="s">
        <v>858</v>
      </c>
      <c r="D525" t="s">
        <v>3</v>
      </c>
      <c r="E525">
        <v>23</v>
      </c>
      <c r="F525" t="s">
        <v>1359</v>
      </c>
      <c r="G525" t="s">
        <v>248</v>
      </c>
      <c r="H525">
        <v>4880</v>
      </c>
      <c r="I525" t="s">
        <v>4</v>
      </c>
      <c r="J525">
        <v>1</v>
      </c>
    </row>
    <row r="526" spans="1:10" x14ac:dyDescent="0.25">
      <c r="A526" t="s">
        <v>232</v>
      </c>
      <c r="B526" t="s">
        <v>177</v>
      </c>
      <c r="C526" t="s">
        <v>859</v>
      </c>
      <c r="D526" t="s">
        <v>8</v>
      </c>
      <c r="E526">
        <v>55</v>
      </c>
      <c r="F526" t="s">
        <v>1358</v>
      </c>
      <c r="G526" t="s">
        <v>1364</v>
      </c>
      <c r="H526">
        <v>7239</v>
      </c>
      <c r="I526" t="s">
        <v>14</v>
      </c>
      <c r="J526">
        <v>0</v>
      </c>
    </row>
    <row r="527" spans="1:10" x14ac:dyDescent="0.25">
      <c r="A527" t="s">
        <v>125</v>
      </c>
      <c r="B527" t="s">
        <v>478</v>
      </c>
      <c r="C527" t="s">
        <v>860</v>
      </c>
      <c r="D527" t="s">
        <v>8</v>
      </c>
      <c r="E527">
        <v>20</v>
      </c>
      <c r="F527" t="s">
        <v>1359</v>
      </c>
      <c r="G527" t="s">
        <v>165</v>
      </c>
      <c r="H527">
        <v>6358</v>
      </c>
      <c r="I527" t="s">
        <v>4</v>
      </c>
      <c r="J527">
        <v>2</v>
      </c>
    </row>
    <row r="528" spans="1:10" x14ac:dyDescent="0.25">
      <c r="A528" t="s">
        <v>408</v>
      </c>
      <c r="B528" t="s">
        <v>392</v>
      </c>
      <c r="C528" t="s">
        <v>861</v>
      </c>
      <c r="D528" t="s">
        <v>3</v>
      </c>
      <c r="E528">
        <v>44</v>
      </c>
      <c r="F528" t="s">
        <v>1357</v>
      </c>
      <c r="G528" t="s">
        <v>9</v>
      </c>
      <c r="H528">
        <v>5798</v>
      </c>
      <c r="I528" t="s">
        <v>4</v>
      </c>
      <c r="J528">
        <v>4</v>
      </c>
    </row>
    <row r="529" spans="1:10" x14ac:dyDescent="0.25">
      <c r="A529" t="s">
        <v>304</v>
      </c>
      <c r="B529" t="s">
        <v>116</v>
      </c>
      <c r="C529" t="s">
        <v>427</v>
      </c>
      <c r="D529" t="s">
        <v>3</v>
      </c>
      <c r="E529">
        <v>53</v>
      </c>
      <c r="F529" t="s">
        <v>1358</v>
      </c>
      <c r="G529" t="s">
        <v>107</v>
      </c>
      <c r="H529">
        <v>8258</v>
      </c>
      <c r="I529" t="s">
        <v>14</v>
      </c>
      <c r="J529">
        <v>2</v>
      </c>
    </row>
    <row r="530" spans="1:10" x14ac:dyDescent="0.25">
      <c r="A530" t="s">
        <v>862</v>
      </c>
      <c r="B530" t="s">
        <v>204</v>
      </c>
      <c r="C530" t="s">
        <v>863</v>
      </c>
      <c r="D530" t="s">
        <v>3</v>
      </c>
      <c r="E530">
        <v>34</v>
      </c>
      <c r="F530" t="s">
        <v>1357</v>
      </c>
      <c r="G530" t="s">
        <v>160</v>
      </c>
      <c r="H530">
        <v>4312</v>
      </c>
      <c r="I530" t="s">
        <v>14</v>
      </c>
      <c r="J530">
        <v>2</v>
      </c>
    </row>
    <row r="531" spans="1:10" x14ac:dyDescent="0.25">
      <c r="A531" t="s">
        <v>458</v>
      </c>
      <c r="B531" t="s">
        <v>11</v>
      </c>
      <c r="C531" t="s">
        <v>864</v>
      </c>
      <c r="D531" t="s">
        <v>8</v>
      </c>
      <c r="E531">
        <v>52</v>
      </c>
      <c r="F531" t="s">
        <v>1358</v>
      </c>
      <c r="G531" t="s">
        <v>29</v>
      </c>
      <c r="H531">
        <v>5938</v>
      </c>
      <c r="I531" t="s">
        <v>4</v>
      </c>
      <c r="J531">
        <v>2</v>
      </c>
    </row>
    <row r="532" spans="1:10" x14ac:dyDescent="0.25">
      <c r="A532" t="s">
        <v>298</v>
      </c>
      <c r="B532" t="s">
        <v>78</v>
      </c>
      <c r="C532" t="s">
        <v>865</v>
      </c>
      <c r="D532" t="s">
        <v>3</v>
      </c>
      <c r="E532">
        <v>38</v>
      </c>
      <c r="F532" t="s">
        <v>1357</v>
      </c>
      <c r="G532" t="s">
        <v>373</v>
      </c>
      <c r="H532">
        <v>2537</v>
      </c>
      <c r="I532" t="s">
        <v>14</v>
      </c>
      <c r="J532">
        <v>5</v>
      </c>
    </row>
    <row r="533" spans="1:10" x14ac:dyDescent="0.25">
      <c r="A533" t="s">
        <v>342</v>
      </c>
      <c r="B533" t="s">
        <v>324</v>
      </c>
      <c r="C533" t="s">
        <v>866</v>
      </c>
      <c r="D533" t="s">
        <v>3</v>
      </c>
      <c r="E533">
        <v>38</v>
      </c>
      <c r="F533" t="s">
        <v>1357</v>
      </c>
      <c r="G533" t="s">
        <v>103</v>
      </c>
      <c r="H533">
        <v>2547</v>
      </c>
      <c r="I533" t="s">
        <v>4</v>
      </c>
      <c r="J533">
        <v>1</v>
      </c>
    </row>
    <row r="534" spans="1:10" x14ac:dyDescent="0.25">
      <c r="A534" t="s">
        <v>484</v>
      </c>
      <c r="B534" t="s">
        <v>264</v>
      </c>
      <c r="C534" t="s">
        <v>867</v>
      </c>
      <c r="D534" t="s">
        <v>3</v>
      </c>
      <c r="E534">
        <v>50</v>
      </c>
      <c r="F534" t="s">
        <v>1357</v>
      </c>
      <c r="G534" t="s">
        <v>160</v>
      </c>
      <c r="H534">
        <v>9443</v>
      </c>
      <c r="I534" t="s">
        <v>4</v>
      </c>
      <c r="J534">
        <v>5</v>
      </c>
    </row>
    <row r="535" spans="1:10" x14ac:dyDescent="0.25">
      <c r="A535" t="s">
        <v>238</v>
      </c>
      <c r="B535" t="s">
        <v>223</v>
      </c>
      <c r="C535" t="s">
        <v>868</v>
      </c>
      <c r="D535" t="s">
        <v>8</v>
      </c>
      <c r="E535">
        <v>53</v>
      </c>
      <c r="F535" t="s">
        <v>1358</v>
      </c>
      <c r="G535" t="s">
        <v>1364</v>
      </c>
      <c r="H535">
        <v>4250</v>
      </c>
      <c r="I535" t="s">
        <v>4</v>
      </c>
      <c r="J535">
        <v>1</v>
      </c>
    </row>
    <row r="536" spans="1:10" x14ac:dyDescent="0.25">
      <c r="A536" t="s">
        <v>254</v>
      </c>
      <c r="B536" t="s">
        <v>78</v>
      </c>
      <c r="C536" t="s">
        <v>869</v>
      </c>
      <c r="D536" t="s">
        <v>3</v>
      </c>
      <c r="E536">
        <v>44</v>
      </c>
      <c r="F536" t="s">
        <v>1357</v>
      </c>
      <c r="G536" t="s">
        <v>227</v>
      </c>
      <c r="H536">
        <v>3001</v>
      </c>
      <c r="I536" t="s">
        <v>14</v>
      </c>
      <c r="J536">
        <v>3</v>
      </c>
    </row>
    <row r="537" spans="1:10" x14ac:dyDescent="0.25">
      <c r="A537" t="s">
        <v>97</v>
      </c>
      <c r="B537" t="s">
        <v>84</v>
      </c>
      <c r="C537" t="s">
        <v>870</v>
      </c>
      <c r="D537" t="s">
        <v>8</v>
      </c>
      <c r="E537">
        <v>56</v>
      </c>
      <c r="F537" t="s">
        <v>1358</v>
      </c>
      <c r="G537" t="s">
        <v>197</v>
      </c>
      <c r="H537">
        <v>1509</v>
      </c>
      <c r="I537" t="s">
        <v>4</v>
      </c>
      <c r="J537">
        <v>4</v>
      </c>
    </row>
    <row r="538" spans="1:10" x14ac:dyDescent="0.25">
      <c r="A538" t="s">
        <v>263</v>
      </c>
      <c r="B538" t="s">
        <v>251</v>
      </c>
      <c r="C538" t="s">
        <v>871</v>
      </c>
      <c r="D538" t="s">
        <v>3</v>
      </c>
      <c r="E538">
        <v>43</v>
      </c>
      <c r="F538" t="s">
        <v>1357</v>
      </c>
      <c r="G538" t="s">
        <v>36</v>
      </c>
      <c r="H538">
        <v>8386</v>
      </c>
      <c r="I538" t="s">
        <v>4</v>
      </c>
      <c r="J538">
        <v>3</v>
      </c>
    </row>
    <row r="539" spans="1:10" x14ac:dyDescent="0.25">
      <c r="A539" t="s">
        <v>97</v>
      </c>
      <c r="B539" t="s">
        <v>136</v>
      </c>
      <c r="C539" t="s">
        <v>872</v>
      </c>
      <c r="D539" t="s">
        <v>8</v>
      </c>
      <c r="E539">
        <v>36</v>
      </c>
      <c r="F539" t="s">
        <v>1357</v>
      </c>
      <c r="G539" t="s">
        <v>1364</v>
      </c>
      <c r="H539">
        <v>8794</v>
      </c>
      <c r="I539" t="s">
        <v>14</v>
      </c>
      <c r="J539">
        <v>2</v>
      </c>
    </row>
    <row r="540" spans="1:10" x14ac:dyDescent="0.25">
      <c r="A540" t="s">
        <v>209</v>
      </c>
      <c r="B540" t="s">
        <v>635</v>
      </c>
      <c r="C540" t="s">
        <v>873</v>
      </c>
      <c r="D540" t="s">
        <v>8</v>
      </c>
      <c r="E540">
        <v>23</v>
      </c>
      <c r="F540" t="s">
        <v>1359</v>
      </c>
      <c r="G540" t="s">
        <v>293</v>
      </c>
      <c r="H540">
        <v>7717</v>
      </c>
      <c r="I540" t="s">
        <v>14</v>
      </c>
      <c r="J540">
        <v>0</v>
      </c>
    </row>
    <row r="541" spans="1:10" x14ac:dyDescent="0.25">
      <c r="A541" t="s">
        <v>403</v>
      </c>
      <c r="B541" t="s">
        <v>368</v>
      </c>
      <c r="C541" t="s">
        <v>874</v>
      </c>
      <c r="D541" t="s">
        <v>8</v>
      </c>
      <c r="E541">
        <v>46</v>
      </c>
      <c r="F541" t="s">
        <v>1357</v>
      </c>
      <c r="G541" t="s">
        <v>227</v>
      </c>
      <c r="H541">
        <v>3436</v>
      </c>
      <c r="I541" t="s">
        <v>4</v>
      </c>
      <c r="J541">
        <v>1</v>
      </c>
    </row>
    <row r="542" spans="1:10" x14ac:dyDescent="0.25">
      <c r="A542" t="s">
        <v>671</v>
      </c>
      <c r="B542" t="s">
        <v>251</v>
      </c>
      <c r="C542" t="s">
        <v>875</v>
      </c>
      <c r="D542" t="s">
        <v>8</v>
      </c>
      <c r="E542">
        <v>47</v>
      </c>
      <c r="F542" t="s">
        <v>1357</v>
      </c>
      <c r="G542" t="s">
        <v>124</v>
      </c>
      <c r="H542">
        <v>5859</v>
      </c>
      <c r="I542" t="s">
        <v>14</v>
      </c>
      <c r="J542">
        <v>3</v>
      </c>
    </row>
    <row r="543" spans="1:10" x14ac:dyDescent="0.25">
      <c r="A543" t="s">
        <v>254</v>
      </c>
      <c r="B543" t="s">
        <v>655</v>
      </c>
      <c r="C543" t="s">
        <v>876</v>
      </c>
      <c r="D543" t="s">
        <v>3</v>
      </c>
      <c r="E543">
        <v>49</v>
      </c>
      <c r="F543" t="s">
        <v>1357</v>
      </c>
      <c r="G543" t="s">
        <v>86</v>
      </c>
      <c r="H543">
        <v>1719</v>
      </c>
      <c r="I543" t="s">
        <v>4</v>
      </c>
      <c r="J543">
        <v>1</v>
      </c>
    </row>
    <row r="544" spans="1:10" x14ac:dyDescent="0.25">
      <c r="A544" t="s">
        <v>423</v>
      </c>
      <c r="B544" t="s">
        <v>308</v>
      </c>
      <c r="C544" t="s">
        <v>877</v>
      </c>
      <c r="D544" t="s">
        <v>8</v>
      </c>
      <c r="E544">
        <v>23</v>
      </c>
      <c r="F544" t="s">
        <v>1359</v>
      </c>
      <c r="G544" t="s">
        <v>160</v>
      </c>
      <c r="H544">
        <v>8766</v>
      </c>
      <c r="I544" t="s">
        <v>4</v>
      </c>
      <c r="J544">
        <v>2</v>
      </c>
    </row>
    <row r="545" spans="1:10" x14ac:dyDescent="0.25">
      <c r="A545" t="s">
        <v>314</v>
      </c>
      <c r="B545" t="s">
        <v>45</v>
      </c>
      <c r="C545" t="s">
        <v>878</v>
      </c>
      <c r="D545" t="s">
        <v>8</v>
      </c>
      <c r="E545">
        <v>46</v>
      </c>
      <c r="F545" t="s">
        <v>1357</v>
      </c>
      <c r="G545" t="s">
        <v>134</v>
      </c>
      <c r="H545">
        <v>3937</v>
      </c>
      <c r="I545" t="s">
        <v>14</v>
      </c>
      <c r="J545">
        <v>4</v>
      </c>
    </row>
    <row r="546" spans="1:10" x14ac:dyDescent="0.25">
      <c r="A546" t="s">
        <v>403</v>
      </c>
      <c r="B546" t="s">
        <v>334</v>
      </c>
      <c r="C546" t="s">
        <v>879</v>
      </c>
      <c r="D546" t="s">
        <v>8</v>
      </c>
      <c r="E546">
        <v>52</v>
      </c>
      <c r="F546" t="s">
        <v>1358</v>
      </c>
      <c r="G546" t="s">
        <v>187</v>
      </c>
      <c r="H546">
        <v>3407</v>
      </c>
      <c r="I546" t="s">
        <v>4</v>
      </c>
      <c r="J546">
        <v>0</v>
      </c>
    </row>
    <row r="547" spans="1:10" x14ac:dyDescent="0.25">
      <c r="A547" t="s">
        <v>222</v>
      </c>
      <c r="B547" t="s">
        <v>61</v>
      </c>
      <c r="C547" t="s">
        <v>880</v>
      </c>
      <c r="D547" t="s">
        <v>3</v>
      </c>
      <c r="E547">
        <v>51</v>
      </c>
      <c r="F547" t="s">
        <v>1358</v>
      </c>
      <c r="G547" t="s">
        <v>63</v>
      </c>
      <c r="H547">
        <v>715</v>
      </c>
      <c r="I547" t="s">
        <v>4</v>
      </c>
      <c r="J547">
        <v>2</v>
      </c>
    </row>
    <row r="548" spans="1:10" x14ac:dyDescent="0.25">
      <c r="A548" t="s">
        <v>671</v>
      </c>
      <c r="B548" t="s">
        <v>366</v>
      </c>
      <c r="C548" t="s">
        <v>881</v>
      </c>
      <c r="D548" t="s">
        <v>8</v>
      </c>
      <c r="E548">
        <v>24</v>
      </c>
      <c r="F548" t="s">
        <v>1359</v>
      </c>
      <c r="G548" t="s">
        <v>1364</v>
      </c>
      <c r="H548">
        <v>1140</v>
      </c>
      <c r="I548" t="s">
        <v>4</v>
      </c>
      <c r="J548">
        <v>3</v>
      </c>
    </row>
    <row r="549" spans="1:10" x14ac:dyDescent="0.25">
      <c r="A549" t="s">
        <v>296</v>
      </c>
      <c r="B549" t="s">
        <v>158</v>
      </c>
      <c r="C549" t="s">
        <v>882</v>
      </c>
      <c r="D549" t="s">
        <v>8</v>
      </c>
      <c r="E549">
        <v>30</v>
      </c>
      <c r="F549" t="s">
        <v>1359</v>
      </c>
      <c r="G549" t="s">
        <v>266</v>
      </c>
      <c r="H549">
        <v>8874</v>
      </c>
      <c r="I549" t="s">
        <v>14</v>
      </c>
      <c r="J549">
        <v>5</v>
      </c>
    </row>
    <row r="550" spans="1:10" x14ac:dyDescent="0.25">
      <c r="A550" t="s">
        <v>356</v>
      </c>
      <c r="B550" t="s">
        <v>114</v>
      </c>
      <c r="C550" t="s">
        <v>883</v>
      </c>
      <c r="D550" t="s">
        <v>8</v>
      </c>
      <c r="E550">
        <v>27</v>
      </c>
      <c r="F550" t="s">
        <v>1359</v>
      </c>
      <c r="G550" t="s">
        <v>63</v>
      </c>
      <c r="H550">
        <v>4334</v>
      </c>
      <c r="I550" t="s">
        <v>4</v>
      </c>
      <c r="J550">
        <v>2</v>
      </c>
    </row>
    <row r="551" spans="1:10" x14ac:dyDescent="0.25">
      <c r="A551" t="s">
        <v>456</v>
      </c>
      <c r="B551" t="s">
        <v>19</v>
      </c>
      <c r="C551" t="s">
        <v>884</v>
      </c>
      <c r="D551" t="s">
        <v>3</v>
      </c>
      <c r="E551">
        <v>39</v>
      </c>
      <c r="F551" t="s">
        <v>1357</v>
      </c>
      <c r="G551" t="s">
        <v>134</v>
      </c>
      <c r="H551">
        <v>6877</v>
      </c>
      <c r="I551" t="s">
        <v>14</v>
      </c>
      <c r="J551">
        <v>0</v>
      </c>
    </row>
    <row r="552" spans="1:10" x14ac:dyDescent="0.25">
      <c r="A552" t="s">
        <v>203</v>
      </c>
      <c r="B552" t="s">
        <v>11</v>
      </c>
      <c r="C552" t="s">
        <v>885</v>
      </c>
      <c r="D552" t="s">
        <v>8</v>
      </c>
      <c r="E552">
        <v>58</v>
      </c>
      <c r="F552" t="s">
        <v>1358</v>
      </c>
      <c r="G552" t="s">
        <v>32</v>
      </c>
      <c r="H552">
        <v>6203</v>
      </c>
      <c r="I552" t="s">
        <v>4</v>
      </c>
      <c r="J552">
        <v>4</v>
      </c>
    </row>
    <row r="553" spans="1:10" x14ac:dyDescent="0.25">
      <c r="A553" t="s">
        <v>170</v>
      </c>
      <c r="B553" t="s">
        <v>284</v>
      </c>
      <c r="C553" t="s">
        <v>886</v>
      </c>
      <c r="D553" t="s">
        <v>8</v>
      </c>
      <c r="E553">
        <v>54</v>
      </c>
      <c r="F553" t="s">
        <v>1358</v>
      </c>
      <c r="G553" t="s">
        <v>169</v>
      </c>
      <c r="H553">
        <v>7440</v>
      </c>
      <c r="I553" t="s">
        <v>14</v>
      </c>
      <c r="J553">
        <v>5</v>
      </c>
    </row>
    <row r="554" spans="1:10" x14ac:dyDescent="0.25">
      <c r="A554" t="s">
        <v>48</v>
      </c>
      <c r="B554" t="s">
        <v>112</v>
      </c>
      <c r="C554" t="s">
        <v>887</v>
      </c>
      <c r="D554" t="s">
        <v>8</v>
      </c>
      <c r="E554">
        <v>21</v>
      </c>
      <c r="F554" t="s">
        <v>1359</v>
      </c>
      <c r="G554" t="s">
        <v>51</v>
      </c>
      <c r="H554">
        <v>8010</v>
      </c>
      <c r="I554" t="s">
        <v>14</v>
      </c>
      <c r="J554">
        <v>1</v>
      </c>
    </row>
    <row r="555" spans="1:10" x14ac:dyDescent="0.25">
      <c r="A555" t="s">
        <v>515</v>
      </c>
      <c r="B555" t="s">
        <v>371</v>
      </c>
      <c r="C555" t="s">
        <v>888</v>
      </c>
      <c r="D555" t="s">
        <v>3</v>
      </c>
      <c r="E555">
        <v>60</v>
      </c>
      <c r="F555" t="s">
        <v>1358</v>
      </c>
      <c r="G555" t="s">
        <v>248</v>
      </c>
      <c r="H555">
        <v>4981</v>
      </c>
      <c r="I555" t="s">
        <v>4</v>
      </c>
      <c r="J555">
        <v>1</v>
      </c>
    </row>
    <row r="556" spans="1:10" x14ac:dyDescent="0.25">
      <c r="A556" t="s">
        <v>374</v>
      </c>
      <c r="B556" t="s">
        <v>112</v>
      </c>
      <c r="C556" t="s">
        <v>889</v>
      </c>
      <c r="D556" t="s">
        <v>8</v>
      </c>
      <c r="E556">
        <v>21</v>
      </c>
      <c r="F556" t="s">
        <v>1359</v>
      </c>
      <c r="G556" t="s">
        <v>134</v>
      </c>
      <c r="H556">
        <v>5362</v>
      </c>
      <c r="I556" t="s">
        <v>4</v>
      </c>
      <c r="J556">
        <v>1</v>
      </c>
    </row>
    <row r="557" spans="1:10" x14ac:dyDescent="0.25">
      <c r="A557" t="s">
        <v>155</v>
      </c>
      <c r="B557" t="s">
        <v>340</v>
      </c>
      <c r="C557" t="s">
        <v>890</v>
      </c>
      <c r="D557" t="s">
        <v>3</v>
      </c>
      <c r="E557">
        <v>44</v>
      </c>
      <c r="F557" t="s">
        <v>1357</v>
      </c>
      <c r="G557" t="s">
        <v>9</v>
      </c>
      <c r="H557">
        <v>599</v>
      </c>
      <c r="I557" t="s">
        <v>14</v>
      </c>
      <c r="J557">
        <v>2</v>
      </c>
    </row>
    <row r="558" spans="1:10" x14ac:dyDescent="0.25">
      <c r="A558" t="s">
        <v>493</v>
      </c>
      <c r="B558" t="s">
        <v>504</v>
      </c>
      <c r="C558" t="s">
        <v>891</v>
      </c>
      <c r="D558" t="s">
        <v>3</v>
      </c>
      <c r="E558">
        <v>51</v>
      </c>
      <c r="F558" t="s">
        <v>1358</v>
      </c>
      <c r="G558" t="s">
        <v>217</v>
      </c>
      <c r="H558">
        <v>9792</v>
      </c>
      <c r="I558" t="s">
        <v>4</v>
      </c>
      <c r="J558">
        <v>4</v>
      </c>
    </row>
    <row r="559" spans="1:10" x14ac:dyDescent="0.25">
      <c r="A559" t="s">
        <v>625</v>
      </c>
      <c r="B559" t="s">
        <v>71</v>
      </c>
      <c r="C559" t="s">
        <v>892</v>
      </c>
      <c r="D559" t="s">
        <v>3</v>
      </c>
      <c r="E559">
        <v>26</v>
      </c>
      <c r="F559" t="s">
        <v>1359</v>
      </c>
      <c r="G559" t="s">
        <v>47</v>
      </c>
      <c r="H559">
        <v>5807</v>
      </c>
      <c r="I559" t="s">
        <v>14</v>
      </c>
      <c r="J559">
        <v>5</v>
      </c>
    </row>
    <row r="560" spans="1:10" x14ac:dyDescent="0.25">
      <c r="A560" t="s">
        <v>238</v>
      </c>
      <c r="B560" t="s">
        <v>61</v>
      </c>
      <c r="C560" t="s">
        <v>893</v>
      </c>
      <c r="D560" t="s">
        <v>8</v>
      </c>
      <c r="E560">
        <v>28</v>
      </c>
      <c r="F560" t="s">
        <v>1359</v>
      </c>
      <c r="G560" t="s">
        <v>280</v>
      </c>
      <c r="H560">
        <v>3017</v>
      </c>
      <c r="I560" t="s">
        <v>4</v>
      </c>
      <c r="J560">
        <v>2</v>
      </c>
    </row>
    <row r="561" spans="1:10" x14ac:dyDescent="0.25">
      <c r="A561" t="s">
        <v>894</v>
      </c>
      <c r="B561" t="s">
        <v>6</v>
      </c>
      <c r="C561" t="s">
        <v>895</v>
      </c>
      <c r="D561" t="s">
        <v>8</v>
      </c>
      <c r="E561">
        <v>30</v>
      </c>
      <c r="F561" t="s">
        <v>1359</v>
      </c>
      <c r="G561" t="s">
        <v>382</v>
      </c>
      <c r="H561">
        <v>7240</v>
      </c>
      <c r="I561" t="s">
        <v>14</v>
      </c>
      <c r="J561">
        <v>3</v>
      </c>
    </row>
    <row r="562" spans="1:10" x14ac:dyDescent="0.25">
      <c r="A562" t="s">
        <v>155</v>
      </c>
      <c r="B562" t="s">
        <v>420</v>
      </c>
      <c r="C562" t="s">
        <v>896</v>
      </c>
      <c r="D562" t="s">
        <v>3</v>
      </c>
      <c r="E562">
        <v>55</v>
      </c>
      <c r="F562" t="s">
        <v>1358</v>
      </c>
      <c r="G562" t="s">
        <v>194</v>
      </c>
      <c r="H562">
        <v>721</v>
      </c>
      <c r="I562" t="s">
        <v>4</v>
      </c>
      <c r="J562">
        <v>0</v>
      </c>
    </row>
    <row r="563" spans="1:10" x14ac:dyDescent="0.25">
      <c r="A563" t="s">
        <v>183</v>
      </c>
      <c r="B563" t="s">
        <v>513</v>
      </c>
      <c r="C563" t="s">
        <v>897</v>
      </c>
      <c r="D563" t="s">
        <v>3</v>
      </c>
      <c r="E563">
        <v>27</v>
      </c>
      <c r="F563" t="s">
        <v>1359</v>
      </c>
      <c r="G563" t="s">
        <v>63</v>
      </c>
      <c r="H563">
        <v>7431</v>
      </c>
      <c r="I563" t="s">
        <v>14</v>
      </c>
      <c r="J563">
        <v>2</v>
      </c>
    </row>
    <row r="564" spans="1:10" x14ac:dyDescent="0.25">
      <c r="A564" t="s">
        <v>360</v>
      </c>
      <c r="B564" t="s">
        <v>136</v>
      </c>
      <c r="C564" t="s">
        <v>898</v>
      </c>
      <c r="D564" t="s">
        <v>3</v>
      </c>
      <c r="E564">
        <v>54</v>
      </c>
      <c r="F564" t="s">
        <v>1358</v>
      </c>
      <c r="G564" t="s">
        <v>256</v>
      </c>
      <c r="H564">
        <v>2988</v>
      </c>
      <c r="I564" t="s">
        <v>14</v>
      </c>
      <c r="J564">
        <v>0</v>
      </c>
    </row>
    <row r="565" spans="1:10" x14ac:dyDescent="0.25">
      <c r="A565" t="s">
        <v>166</v>
      </c>
      <c r="B565" t="s">
        <v>34</v>
      </c>
      <c r="C565" t="s">
        <v>899</v>
      </c>
      <c r="D565" t="s">
        <v>3</v>
      </c>
      <c r="E565">
        <v>27</v>
      </c>
      <c r="F565" t="s">
        <v>1359</v>
      </c>
      <c r="G565" t="s">
        <v>248</v>
      </c>
      <c r="H565">
        <v>5177</v>
      </c>
      <c r="I565" t="s">
        <v>4</v>
      </c>
      <c r="J565">
        <v>3</v>
      </c>
    </row>
    <row r="566" spans="1:10" x14ac:dyDescent="0.25">
      <c r="A566" t="s">
        <v>188</v>
      </c>
      <c r="B566" t="s">
        <v>361</v>
      </c>
      <c r="C566" t="s">
        <v>900</v>
      </c>
      <c r="D566" t="s">
        <v>8</v>
      </c>
      <c r="E566">
        <v>53</v>
      </c>
      <c r="F566" t="s">
        <v>1358</v>
      </c>
      <c r="G566" t="s">
        <v>103</v>
      </c>
      <c r="H566">
        <v>7303</v>
      </c>
      <c r="I566" t="s">
        <v>4</v>
      </c>
      <c r="J566">
        <v>2</v>
      </c>
    </row>
    <row r="567" spans="1:10" x14ac:dyDescent="0.25">
      <c r="A567" t="s">
        <v>229</v>
      </c>
      <c r="B567" t="s">
        <v>650</v>
      </c>
      <c r="C567" t="s">
        <v>901</v>
      </c>
      <c r="D567" t="s">
        <v>3</v>
      </c>
      <c r="E567">
        <v>27</v>
      </c>
      <c r="F567" t="s">
        <v>1359</v>
      </c>
      <c r="G567" t="s">
        <v>69</v>
      </c>
      <c r="H567">
        <v>5272</v>
      </c>
      <c r="I567" t="s">
        <v>14</v>
      </c>
      <c r="J567">
        <v>3</v>
      </c>
    </row>
    <row r="568" spans="1:10" x14ac:dyDescent="0.25">
      <c r="A568" t="s">
        <v>200</v>
      </c>
      <c r="B568" t="s">
        <v>261</v>
      </c>
      <c r="C568" t="s">
        <v>902</v>
      </c>
      <c r="D568" t="s">
        <v>3</v>
      </c>
      <c r="E568">
        <v>45</v>
      </c>
      <c r="F568" t="s">
        <v>1357</v>
      </c>
      <c r="G568" t="s">
        <v>373</v>
      </c>
      <c r="H568">
        <v>675</v>
      </c>
      <c r="I568" t="s">
        <v>4</v>
      </c>
      <c r="J568">
        <v>4</v>
      </c>
    </row>
    <row r="569" spans="1:10" x14ac:dyDescent="0.25">
      <c r="A569" t="s">
        <v>119</v>
      </c>
      <c r="B569" t="s">
        <v>249</v>
      </c>
      <c r="C569" t="s">
        <v>903</v>
      </c>
      <c r="D569" t="s">
        <v>8</v>
      </c>
      <c r="E569">
        <v>57</v>
      </c>
      <c r="F569" t="s">
        <v>1358</v>
      </c>
      <c r="G569" t="s">
        <v>199</v>
      </c>
      <c r="H569">
        <v>8379</v>
      </c>
      <c r="I569" t="s">
        <v>4</v>
      </c>
      <c r="J569">
        <v>5</v>
      </c>
    </row>
    <row r="570" spans="1:10" x14ac:dyDescent="0.25">
      <c r="A570" t="s">
        <v>423</v>
      </c>
      <c r="B570" t="s">
        <v>220</v>
      </c>
      <c r="C570" t="s">
        <v>904</v>
      </c>
      <c r="D570" t="s">
        <v>8</v>
      </c>
      <c r="E570">
        <v>36</v>
      </c>
      <c r="F570" t="s">
        <v>1357</v>
      </c>
      <c r="G570" t="s">
        <v>266</v>
      </c>
      <c r="H570">
        <v>899</v>
      </c>
      <c r="I570" t="s">
        <v>4</v>
      </c>
      <c r="J570">
        <v>4</v>
      </c>
    </row>
    <row r="571" spans="1:10" x14ac:dyDescent="0.25">
      <c r="A571" t="s">
        <v>77</v>
      </c>
      <c r="B571" t="s">
        <v>67</v>
      </c>
      <c r="C571" t="s">
        <v>905</v>
      </c>
      <c r="D571" t="s">
        <v>3</v>
      </c>
      <c r="E571">
        <v>50</v>
      </c>
      <c r="F571" t="s">
        <v>1357</v>
      </c>
      <c r="G571" t="s">
        <v>86</v>
      </c>
      <c r="H571">
        <v>4774</v>
      </c>
      <c r="I571" t="s">
        <v>14</v>
      </c>
      <c r="J571">
        <v>4</v>
      </c>
    </row>
    <row r="572" spans="1:10" x14ac:dyDescent="0.25">
      <c r="A572" t="s">
        <v>537</v>
      </c>
      <c r="B572" t="s">
        <v>504</v>
      </c>
      <c r="C572" t="s">
        <v>906</v>
      </c>
      <c r="D572" t="s">
        <v>3</v>
      </c>
      <c r="E572">
        <v>46</v>
      </c>
      <c r="F572" t="s">
        <v>1357</v>
      </c>
      <c r="G572" t="s">
        <v>69</v>
      </c>
      <c r="H572">
        <v>3647</v>
      </c>
      <c r="I572" t="s">
        <v>14</v>
      </c>
      <c r="J572">
        <v>3</v>
      </c>
    </row>
    <row r="573" spans="1:10" x14ac:dyDescent="0.25">
      <c r="A573" t="s">
        <v>507</v>
      </c>
      <c r="B573" t="s">
        <v>334</v>
      </c>
      <c r="C573" t="s">
        <v>907</v>
      </c>
      <c r="D573" t="s">
        <v>8</v>
      </c>
      <c r="E573">
        <v>47</v>
      </c>
      <c r="F573" t="s">
        <v>1357</v>
      </c>
      <c r="G573" t="s">
        <v>211</v>
      </c>
      <c r="H573">
        <v>1644</v>
      </c>
      <c r="I573" t="s">
        <v>4</v>
      </c>
      <c r="J573">
        <v>2</v>
      </c>
    </row>
    <row r="574" spans="1:10" x14ac:dyDescent="0.25">
      <c r="A574" t="s">
        <v>484</v>
      </c>
      <c r="B574" t="s">
        <v>561</v>
      </c>
      <c r="C574" t="s">
        <v>908</v>
      </c>
      <c r="D574" t="s">
        <v>3</v>
      </c>
      <c r="E574">
        <v>37</v>
      </c>
      <c r="F574" t="s">
        <v>1357</v>
      </c>
      <c r="G574" t="s">
        <v>82</v>
      </c>
      <c r="H574">
        <v>3381</v>
      </c>
      <c r="I574" t="s">
        <v>14</v>
      </c>
      <c r="J574">
        <v>5</v>
      </c>
    </row>
    <row r="575" spans="1:10" x14ac:dyDescent="0.25">
      <c r="A575" t="s">
        <v>312</v>
      </c>
      <c r="B575" t="s">
        <v>162</v>
      </c>
      <c r="C575" t="s">
        <v>909</v>
      </c>
      <c r="D575" t="s">
        <v>3</v>
      </c>
      <c r="E575">
        <v>37</v>
      </c>
      <c r="F575" t="s">
        <v>1357</v>
      </c>
      <c r="G575" t="s">
        <v>134</v>
      </c>
      <c r="H575">
        <v>7376</v>
      </c>
      <c r="I575" t="s">
        <v>14</v>
      </c>
      <c r="J575">
        <v>0</v>
      </c>
    </row>
    <row r="576" spans="1:10" x14ac:dyDescent="0.25">
      <c r="A576" t="s">
        <v>493</v>
      </c>
      <c r="B576" t="s">
        <v>167</v>
      </c>
      <c r="C576" t="s">
        <v>910</v>
      </c>
      <c r="D576" t="s">
        <v>3</v>
      </c>
      <c r="E576">
        <v>23</v>
      </c>
      <c r="F576" t="s">
        <v>1359</v>
      </c>
      <c r="G576" t="s">
        <v>103</v>
      </c>
      <c r="H576">
        <v>1441</v>
      </c>
      <c r="I576" t="s">
        <v>14</v>
      </c>
      <c r="J576">
        <v>3</v>
      </c>
    </row>
    <row r="577" spans="1:10" x14ac:dyDescent="0.25">
      <c r="A577" t="s">
        <v>473</v>
      </c>
      <c r="B577" t="s">
        <v>552</v>
      </c>
      <c r="C577" t="s">
        <v>911</v>
      </c>
      <c r="D577" t="s">
        <v>8</v>
      </c>
      <c r="E577">
        <v>55</v>
      </c>
      <c r="F577" t="s">
        <v>1358</v>
      </c>
      <c r="G577" t="s">
        <v>197</v>
      </c>
      <c r="H577">
        <v>1738</v>
      </c>
      <c r="I577" t="s">
        <v>14</v>
      </c>
      <c r="J577">
        <v>1</v>
      </c>
    </row>
    <row r="578" spans="1:10" x14ac:dyDescent="0.25">
      <c r="A578" t="s">
        <v>166</v>
      </c>
      <c r="B578" t="s">
        <v>57</v>
      </c>
      <c r="C578" t="s">
        <v>912</v>
      </c>
      <c r="D578" t="s">
        <v>3</v>
      </c>
      <c r="E578">
        <v>42</v>
      </c>
      <c r="F578" t="s">
        <v>1357</v>
      </c>
      <c r="G578" t="s">
        <v>199</v>
      </c>
      <c r="H578">
        <v>2770</v>
      </c>
      <c r="I578" t="s">
        <v>4</v>
      </c>
      <c r="J578">
        <v>4</v>
      </c>
    </row>
    <row r="579" spans="1:10" x14ac:dyDescent="0.25">
      <c r="A579" t="s">
        <v>330</v>
      </c>
      <c r="B579" t="s">
        <v>498</v>
      </c>
      <c r="C579" t="s">
        <v>913</v>
      </c>
      <c r="D579" t="s">
        <v>8</v>
      </c>
      <c r="E579">
        <v>44</v>
      </c>
      <c r="F579" t="s">
        <v>1357</v>
      </c>
      <c r="G579" t="s">
        <v>124</v>
      </c>
      <c r="H579">
        <v>5345</v>
      </c>
      <c r="I579" t="s">
        <v>14</v>
      </c>
      <c r="J579">
        <v>2</v>
      </c>
    </row>
    <row r="580" spans="1:10" x14ac:dyDescent="0.25">
      <c r="A580" t="s">
        <v>111</v>
      </c>
      <c r="B580" t="s">
        <v>91</v>
      </c>
      <c r="C580" t="s">
        <v>914</v>
      </c>
      <c r="D580" t="s">
        <v>8</v>
      </c>
      <c r="E580">
        <v>26</v>
      </c>
      <c r="F580" t="s">
        <v>1359</v>
      </c>
      <c r="G580" t="s">
        <v>280</v>
      </c>
      <c r="H580">
        <v>6240</v>
      </c>
      <c r="I580" t="s">
        <v>14</v>
      </c>
      <c r="J580">
        <v>1</v>
      </c>
    </row>
    <row r="581" spans="1:10" x14ac:dyDescent="0.25">
      <c r="A581" t="s">
        <v>725</v>
      </c>
      <c r="B581" t="s">
        <v>148</v>
      </c>
      <c r="C581" t="s">
        <v>915</v>
      </c>
      <c r="D581" t="s">
        <v>8</v>
      </c>
      <c r="E581">
        <v>49</v>
      </c>
      <c r="F581" t="s">
        <v>1357</v>
      </c>
      <c r="G581" t="s">
        <v>103</v>
      </c>
      <c r="H581">
        <v>1028</v>
      </c>
      <c r="I581" t="s">
        <v>14</v>
      </c>
      <c r="J581">
        <v>4</v>
      </c>
    </row>
    <row r="582" spans="1:10" x14ac:dyDescent="0.25">
      <c r="A582" t="s">
        <v>108</v>
      </c>
      <c r="B582" t="s">
        <v>11</v>
      </c>
      <c r="C582" t="s">
        <v>916</v>
      </c>
      <c r="D582" t="s">
        <v>3</v>
      </c>
      <c r="E582">
        <v>59</v>
      </c>
      <c r="F582" t="s">
        <v>1358</v>
      </c>
      <c r="G582" t="s">
        <v>134</v>
      </c>
      <c r="H582">
        <v>4035</v>
      </c>
      <c r="I582" t="s">
        <v>14</v>
      </c>
      <c r="J582">
        <v>2</v>
      </c>
    </row>
    <row r="583" spans="1:10" x14ac:dyDescent="0.25">
      <c r="A583" t="s">
        <v>190</v>
      </c>
      <c r="B583" t="s">
        <v>358</v>
      </c>
      <c r="C583" t="s">
        <v>917</v>
      </c>
      <c r="D583" t="s">
        <v>8</v>
      </c>
      <c r="E583">
        <v>45</v>
      </c>
      <c r="F583" t="s">
        <v>1357</v>
      </c>
      <c r="G583" t="s">
        <v>266</v>
      </c>
      <c r="H583">
        <v>2561</v>
      </c>
      <c r="I583" t="s">
        <v>4</v>
      </c>
      <c r="J583">
        <v>4</v>
      </c>
    </row>
    <row r="584" spans="1:10" x14ac:dyDescent="0.25">
      <c r="A584" t="s">
        <v>356</v>
      </c>
      <c r="B584" t="s">
        <v>655</v>
      </c>
      <c r="C584" t="s">
        <v>918</v>
      </c>
      <c r="D584" t="s">
        <v>8</v>
      </c>
      <c r="E584">
        <v>55</v>
      </c>
      <c r="F584" t="s">
        <v>1358</v>
      </c>
      <c r="G584" t="s">
        <v>124</v>
      </c>
      <c r="H584">
        <v>1195</v>
      </c>
      <c r="I584" t="s">
        <v>14</v>
      </c>
      <c r="J584">
        <v>5</v>
      </c>
    </row>
    <row r="585" spans="1:10" x14ac:dyDescent="0.25">
      <c r="A585" t="s">
        <v>203</v>
      </c>
      <c r="B585" t="s">
        <v>49</v>
      </c>
      <c r="C585" t="s">
        <v>919</v>
      </c>
      <c r="D585" t="s">
        <v>8</v>
      </c>
      <c r="E585">
        <v>47</v>
      </c>
      <c r="F585" t="s">
        <v>1357</v>
      </c>
      <c r="G585" t="s">
        <v>172</v>
      </c>
      <c r="H585">
        <v>557</v>
      </c>
      <c r="I585" t="s">
        <v>14</v>
      </c>
      <c r="J585">
        <v>4</v>
      </c>
    </row>
    <row r="586" spans="1:10" x14ac:dyDescent="0.25">
      <c r="A586" t="s">
        <v>664</v>
      </c>
      <c r="B586" t="s">
        <v>650</v>
      </c>
      <c r="C586" t="s">
        <v>920</v>
      </c>
      <c r="D586" t="s">
        <v>8</v>
      </c>
      <c r="E586">
        <v>20</v>
      </c>
      <c r="F586" t="s">
        <v>1359</v>
      </c>
      <c r="G586" t="s">
        <v>59</v>
      </c>
      <c r="H586">
        <v>1961</v>
      </c>
      <c r="I586" t="s">
        <v>14</v>
      </c>
      <c r="J586">
        <v>0</v>
      </c>
    </row>
    <row r="587" spans="1:10" x14ac:dyDescent="0.25">
      <c r="A587" t="s">
        <v>48</v>
      </c>
      <c r="B587" t="s">
        <v>420</v>
      </c>
      <c r="C587" t="s">
        <v>921</v>
      </c>
      <c r="D587" t="s">
        <v>8</v>
      </c>
      <c r="E587">
        <v>34</v>
      </c>
      <c r="F587" t="s">
        <v>1357</v>
      </c>
      <c r="G587" t="s">
        <v>290</v>
      </c>
      <c r="H587">
        <v>3131</v>
      </c>
      <c r="I587" t="s">
        <v>14</v>
      </c>
      <c r="J587">
        <v>3</v>
      </c>
    </row>
    <row r="588" spans="1:10" x14ac:dyDescent="0.25">
      <c r="A588" t="s">
        <v>922</v>
      </c>
      <c r="B588" t="s">
        <v>604</v>
      </c>
      <c r="C588" t="s">
        <v>923</v>
      </c>
      <c r="D588" t="s">
        <v>3</v>
      </c>
      <c r="E588">
        <v>23</v>
      </c>
      <c r="F588" t="s">
        <v>1359</v>
      </c>
      <c r="G588" t="s">
        <v>134</v>
      </c>
      <c r="H588">
        <v>7336</v>
      </c>
      <c r="I588" t="s">
        <v>14</v>
      </c>
      <c r="J588">
        <v>3</v>
      </c>
    </row>
    <row r="589" spans="1:10" x14ac:dyDescent="0.25">
      <c r="A589" t="s">
        <v>323</v>
      </c>
      <c r="B589" t="s">
        <v>530</v>
      </c>
      <c r="C589" t="s">
        <v>924</v>
      </c>
      <c r="D589" t="s">
        <v>8</v>
      </c>
      <c r="E589">
        <v>27</v>
      </c>
      <c r="F589" t="s">
        <v>1359</v>
      </c>
      <c r="G589" t="s">
        <v>80</v>
      </c>
      <c r="H589">
        <v>1721</v>
      </c>
      <c r="I589" t="s">
        <v>4</v>
      </c>
      <c r="J589">
        <v>3</v>
      </c>
    </row>
    <row r="590" spans="1:10" x14ac:dyDescent="0.25">
      <c r="A590" t="s">
        <v>419</v>
      </c>
      <c r="B590" t="s">
        <v>122</v>
      </c>
      <c r="C590" t="s">
        <v>925</v>
      </c>
      <c r="D590" t="s">
        <v>8</v>
      </c>
      <c r="E590">
        <v>57</v>
      </c>
      <c r="F590" t="s">
        <v>1358</v>
      </c>
      <c r="G590" t="s">
        <v>373</v>
      </c>
      <c r="H590">
        <v>8474</v>
      </c>
      <c r="I590" t="s">
        <v>4</v>
      </c>
      <c r="J590">
        <v>2</v>
      </c>
    </row>
    <row r="591" spans="1:10" x14ac:dyDescent="0.25">
      <c r="A591" t="s">
        <v>591</v>
      </c>
      <c r="B591" t="s">
        <v>114</v>
      </c>
      <c r="C591" t="s">
        <v>926</v>
      </c>
      <c r="D591" t="s">
        <v>8</v>
      </c>
      <c r="E591">
        <v>23</v>
      </c>
      <c r="F591" t="s">
        <v>1359</v>
      </c>
      <c r="G591" t="s">
        <v>266</v>
      </c>
      <c r="H591">
        <v>844</v>
      </c>
      <c r="I591" t="s">
        <v>14</v>
      </c>
      <c r="J591">
        <v>3</v>
      </c>
    </row>
    <row r="592" spans="1:10" x14ac:dyDescent="0.25">
      <c r="A592" t="s">
        <v>419</v>
      </c>
      <c r="B592" t="s">
        <v>301</v>
      </c>
      <c r="C592" t="s">
        <v>927</v>
      </c>
      <c r="D592" t="s">
        <v>8</v>
      </c>
      <c r="E592">
        <v>22</v>
      </c>
      <c r="F592" t="s">
        <v>1359</v>
      </c>
      <c r="G592" t="s">
        <v>225</v>
      </c>
      <c r="H592">
        <v>7558</v>
      </c>
      <c r="I592" t="s">
        <v>14</v>
      </c>
      <c r="J592">
        <v>3</v>
      </c>
    </row>
    <row r="593" spans="1:10" x14ac:dyDescent="0.25">
      <c r="A593" t="s">
        <v>928</v>
      </c>
      <c r="B593" t="s">
        <v>305</v>
      </c>
      <c r="C593" t="s">
        <v>929</v>
      </c>
      <c r="D593" t="s">
        <v>8</v>
      </c>
      <c r="E593">
        <v>57</v>
      </c>
      <c r="F593" t="s">
        <v>1358</v>
      </c>
      <c r="G593" t="s">
        <v>225</v>
      </c>
      <c r="H593">
        <v>6601</v>
      </c>
      <c r="I593" t="s">
        <v>4</v>
      </c>
      <c r="J593">
        <v>2</v>
      </c>
    </row>
    <row r="594" spans="1:10" x14ac:dyDescent="0.25">
      <c r="A594" t="s">
        <v>637</v>
      </c>
      <c r="B594" t="s">
        <v>415</v>
      </c>
      <c r="C594" t="s">
        <v>930</v>
      </c>
      <c r="D594" t="s">
        <v>3</v>
      </c>
      <c r="E594">
        <v>35</v>
      </c>
      <c r="F594" t="s">
        <v>1357</v>
      </c>
      <c r="G594" t="s">
        <v>13</v>
      </c>
      <c r="H594">
        <v>586</v>
      </c>
      <c r="I594" t="s">
        <v>4</v>
      </c>
      <c r="J594">
        <v>5</v>
      </c>
    </row>
    <row r="595" spans="1:10" x14ac:dyDescent="0.25">
      <c r="A595" t="s">
        <v>614</v>
      </c>
      <c r="B595" t="s">
        <v>88</v>
      </c>
      <c r="C595" t="s">
        <v>931</v>
      </c>
      <c r="D595" t="s">
        <v>8</v>
      </c>
      <c r="E595">
        <v>28</v>
      </c>
      <c r="F595" t="s">
        <v>1359</v>
      </c>
      <c r="G595" t="s">
        <v>303</v>
      </c>
      <c r="H595">
        <v>2993</v>
      </c>
      <c r="I595" t="s">
        <v>14</v>
      </c>
      <c r="J595">
        <v>5</v>
      </c>
    </row>
    <row r="596" spans="1:10" x14ac:dyDescent="0.25">
      <c r="A596" t="s">
        <v>932</v>
      </c>
      <c r="B596" t="s">
        <v>223</v>
      </c>
      <c r="C596" t="s">
        <v>933</v>
      </c>
      <c r="D596" t="s">
        <v>8</v>
      </c>
      <c r="E596">
        <v>42</v>
      </c>
      <c r="F596" t="s">
        <v>1357</v>
      </c>
      <c r="G596" t="s">
        <v>51</v>
      </c>
      <c r="H596">
        <v>1782</v>
      </c>
      <c r="I596" t="s">
        <v>14</v>
      </c>
      <c r="J596">
        <v>5</v>
      </c>
    </row>
    <row r="597" spans="1:10" x14ac:dyDescent="0.25">
      <c r="A597" t="s">
        <v>129</v>
      </c>
      <c r="B597" t="s">
        <v>294</v>
      </c>
      <c r="C597" t="s">
        <v>934</v>
      </c>
      <c r="D597" t="s">
        <v>3</v>
      </c>
      <c r="E597">
        <v>41</v>
      </c>
      <c r="F597" t="s">
        <v>1357</v>
      </c>
      <c r="G597" t="s">
        <v>43</v>
      </c>
      <c r="H597">
        <v>9431</v>
      </c>
      <c r="I597" t="s">
        <v>4</v>
      </c>
      <c r="J597">
        <v>1</v>
      </c>
    </row>
    <row r="598" spans="1:10" x14ac:dyDescent="0.25">
      <c r="A598" t="s">
        <v>342</v>
      </c>
      <c r="B598" t="s">
        <v>122</v>
      </c>
      <c r="C598" t="s">
        <v>935</v>
      </c>
      <c r="D598" t="s">
        <v>3</v>
      </c>
      <c r="E598">
        <v>28</v>
      </c>
      <c r="F598" t="s">
        <v>1359</v>
      </c>
      <c r="G598" t="s">
        <v>25</v>
      </c>
      <c r="H598">
        <v>2305</v>
      </c>
      <c r="I598" t="s">
        <v>14</v>
      </c>
      <c r="J598">
        <v>3</v>
      </c>
    </row>
    <row r="599" spans="1:10" x14ac:dyDescent="0.25">
      <c r="A599" t="s">
        <v>500</v>
      </c>
      <c r="B599" t="s">
        <v>84</v>
      </c>
      <c r="C599" t="s">
        <v>936</v>
      </c>
      <c r="D599" t="s">
        <v>8</v>
      </c>
      <c r="E599">
        <v>29</v>
      </c>
      <c r="F599" t="s">
        <v>1359</v>
      </c>
      <c r="G599" t="s">
        <v>373</v>
      </c>
      <c r="H599">
        <v>8059</v>
      </c>
      <c r="I599" t="s">
        <v>4</v>
      </c>
      <c r="J599">
        <v>2</v>
      </c>
    </row>
    <row r="600" spans="1:10" x14ac:dyDescent="0.25">
      <c r="A600" t="s">
        <v>489</v>
      </c>
      <c r="B600" t="s">
        <v>155</v>
      </c>
      <c r="C600" t="s">
        <v>937</v>
      </c>
      <c r="D600" t="s">
        <v>3</v>
      </c>
      <c r="E600">
        <v>29</v>
      </c>
      <c r="F600" t="s">
        <v>1359</v>
      </c>
      <c r="G600" t="s">
        <v>80</v>
      </c>
      <c r="H600">
        <v>8338</v>
      </c>
      <c r="I600" t="s">
        <v>14</v>
      </c>
      <c r="J600">
        <v>1</v>
      </c>
    </row>
    <row r="601" spans="1:10" x14ac:dyDescent="0.25">
      <c r="A601" t="s">
        <v>731</v>
      </c>
      <c r="B601" t="s">
        <v>158</v>
      </c>
      <c r="C601" t="s">
        <v>938</v>
      </c>
      <c r="D601" t="s">
        <v>8</v>
      </c>
      <c r="E601">
        <v>33</v>
      </c>
      <c r="F601" t="s">
        <v>1357</v>
      </c>
      <c r="G601" t="s">
        <v>55</v>
      </c>
      <c r="H601">
        <v>3709</v>
      </c>
      <c r="I601" t="s">
        <v>14</v>
      </c>
      <c r="J601">
        <v>3</v>
      </c>
    </row>
    <row r="602" spans="1:10" x14ac:dyDescent="0.25">
      <c r="A602" t="s">
        <v>480</v>
      </c>
      <c r="B602" t="s">
        <v>274</v>
      </c>
      <c r="C602" t="s">
        <v>939</v>
      </c>
      <c r="D602" t="s">
        <v>8</v>
      </c>
      <c r="E602">
        <v>22</v>
      </c>
      <c r="F602" t="s">
        <v>1359</v>
      </c>
      <c r="G602" t="s">
        <v>187</v>
      </c>
      <c r="H602">
        <v>3733</v>
      </c>
      <c r="I602" t="s">
        <v>14</v>
      </c>
      <c r="J602">
        <v>4</v>
      </c>
    </row>
    <row r="603" spans="1:10" x14ac:dyDescent="0.25">
      <c r="A603" t="s">
        <v>482</v>
      </c>
      <c r="B603" t="s">
        <v>41</v>
      </c>
      <c r="C603" t="s">
        <v>940</v>
      </c>
      <c r="D603" t="s">
        <v>8</v>
      </c>
      <c r="E603">
        <v>39</v>
      </c>
      <c r="F603" t="s">
        <v>1357</v>
      </c>
      <c r="G603" t="s">
        <v>47</v>
      </c>
      <c r="H603">
        <v>2443</v>
      </c>
      <c r="I603" t="s">
        <v>4</v>
      </c>
      <c r="J603">
        <v>2</v>
      </c>
    </row>
    <row r="604" spans="1:10" x14ac:dyDescent="0.25">
      <c r="A604" t="s">
        <v>190</v>
      </c>
      <c r="B604" t="s">
        <v>185</v>
      </c>
      <c r="C604" t="s">
        <v>941</v>
      </c>
      <c r="D604" t="s">
        <v>8</v>
      </c>
      <c r="E604">
        <v>33</v>
      </c>
      <c r="F604" t="s">
        <v>1357</v>
      </c>
      <c r="G604" t="s">
        <v>76</v>
      </c>
      <c r="H604">
        <v>6670</v>
      </c>
      <c r="I604" t="s">
        <v>4</v>
      </c>
      <c r="J604">
        <v>0</v>
      </c>
    </row>
    <row r="605" spans="1:10" x14ac:dyDescent="0.25">
      <c r="A605" t="s">
        <v>507</v>
      </c>
      <c r="B605" t="s">
        <v>655</v>
      </c>
      <c r="C605" t="s">
        <v>942</v>
      </c>
      <c r="D605" t="s">
        <v>8</v>
      </c>
      <c r="E605">
        <v>33</v>
      </c>
      <c r="F605" t="s">
        <v>1357</v>
      </c>
      <c r="G605" t="s">
        <v>290</v>
      </c>
      <c r="H605">
        <v>5114</v>
      </c>
      <c r="I605" t="s">
        <v>4</v>
      </c>
      <c r="J605">
        <v>4</v>
      </c>
    </row>
    <row r="606" spans="1:10" x14ac:dyDescent="0.25">
      <c r="A606" t="s">
        <v>40</v>
      </c>
      <c r="B606" t="s">
        <v>261</v>
      </c>
      <c r="C606" t="s">
        <v>943</v>
      </c>
      <c r="D606" t="s">
        <v>8</v>
      </c>
      <c r="E606">
        <v>60</v>
      </c>
      <c r="F606" t="s">
        <v>1358</v>
      </c>
      <c r="G606" t="s">
        <v>1364</v>
      </c>
      <c r="H606">
        <v>7447</v>
      </c>
      <c r="I606" t="s">
        <v>4</v>
      </c>
      <c r="J606">
        <v>0</v>
      </c>
    </row>
    <row r="607" spans="1:10" x14ac:dyDescent="0.25">
      <c r="A607" t="s">
        <v>286</v>
      </c>
      <c r="B607" t="s">
        <v>67</v>
      </c>
      <c r="C607" t="s">
        <v>944</v>
      </c>
      <c r="D607" t="s">
        <v>8</v>
      </c>
      <c r="E607">
        <v>44</v>
      </c>
      <c r="F607" t="s">
        <v>1357</v>
      </c>
      <c r="G607" t="s">
        <v>124</v>
      </c>
      <c r="H607">
        <v>9544</v>
      </c>
      <c r="I607" t="s">
        <v>4</v>
      </c>
      <c r="J607">
        <v>5</v>
      </c>
    </row>
    <row r="608" spans="1:10" x14ac:dyDescent="0.25">
      <c r="A608" t="s">
        <v>354</v>
      </c>
      <c r="B608" t="s">
        <v>185</v>
      </c>
      <c r="C608" t="s">
        <v>945</v>
      </c>
      <c r="D608" t="s">
        <v>8</v>
      </c>
      <c r="E608">
        <v>47</v>
      </c>
      <c r="F608" t="s">
        <v>1357</v>
      </c>
      <c r="G608" t="s">
        <v>103</v>
      </c>
      <c r="H608">
        <v>7719</v>
      </c>
      <c r="I608" t="s">
        <v>14</v>
      </c>
      <c r="J608">
        <v>4</v>
      </c>
    </row>
    <row r="609" spans="1:10" x14ac:dyDescent="0.25">
      <c r="A609" t="s">
        <v>346</v>
      </c>
      <c r="B609" t="s">
        <v>84</v>
      </c>
      <c r="C609" t="s">
        <v>946</v>
      </c>
      <c r="D609" t="s">
        <v>3</v>
      </c>
      <c r="E609">
        <v>37</v>
      </c>
      <c r="F609" t="s">
        <v>1357</v>
      </c>
      <c r="G609" t="s">
        <v>234</v>
      </c>
      <c r="H609">
        <v>3844</v>
      </c>
      <c r="I609" t="s">
        <v>4</v>
      </c>
      <c r="J609">
        <v>0</v>
      </c>
    </row>
    <row r="610" spans="1:10" x14ac:dyDescent="0.25">
      <c r="A610" t="s">
        <v>704</v>
      </c>
      <c r="B610" t="s">
        <v>116</v>
      </c>
      <c r="C610" t="s">
        <v>947</v>
      </c>
      <c r="D610" t="s">
        <v>8</v>
      </c>
      <c r="E610">
        <v>18</v>
      </c>
      <c r="F610" t="s">
        <v>1359</v>
      </c>
      <c r="G610" t="s">
        <v>280</v>
      </c>
      <c r="H610">
        <v>4185</v>
      </c>
      <c r="I610" t="s">
        <v>4</v>
      </c>
      <c r="J610">
        <v>2</v>
      </c>
    </row>
    <row r="611" spans="1:10" x14ac:dyDescent="0.25">
      <c r="A611" t="s">
        <v>568</v>
      </c>
      <c r="B611" t="s">
        <v>142</v>
      </c>
      <c r="C611" t="s">
        <v>948</v>
      </c>
      <c r="D611" t="s">
        <v>3</v>
      </c>
      <c r="E611">
        <v>30</v>
      </c>
      <c r="F611" t="s">
        <v>1359</v>
      </c>
      <c r="G611" t="s">
        <v>76</v>
      </c>
      <c r="H611">
        <v>9225</v>
      </c>
      <c r="I611" t="s">
        <v>14</v>
      </c>
      <c r="J611">
        <v>4</v>
      </c>
    </row>
    <row r="612" spans="1:10" x14ac:dyDescent="0.25">
      <c r="A612" t="s">
        <v>664</v>
      </c>
      <c r="B612" t="s">
        <v>142</v>
      </c>
      <c r="C612" t="s">
        <v>949</v>
      </c>
      <c r="D612" t="s">
        <v>8</v>
      </c>
      <c r="E612">
        <v>21</v>
      </c>
      <c r="F612" t="s">
        <v>1359</v>
      </c>
      <c r="G612" t="s">
        <v>182</v>
      </c>
      <c r="H612">
        <v>9643</v>
      </c>
      <c r="I612" t="s">
        <v>4</v>
      </c>
      <c r="J612">
        <v>3</v>
      </c>
    </row>
    <row r="613" spans="1:10" x14ac:dyDescent="0.25">
      <c r="A613" t="s">
        <v>60</v>
      </c>
      <c r="B613" t="s">
        <v>78</v>
      </c>
      <c r="C613" t="s">
        <v>950</v>
      </c>
      <c r="D613" t="s">
        <v>3</v>
      </c>
      <c r="E613">
        <v>44</v>
      </c>
      <c r="F613" t="s">
        <v>1357</v>
      </c>
      <c r="G613" t="s">
        <v>82</v>
      </c>
      <c r="H613">
        <v>5623</v>
      </c>
      <c r="I613" t="s">
        <v>14</v>
      </c>
      <c r="J613">
        <v>4</v>
      </c>
    </row>
    <row r="614" spans="1:10" x14ac:dyDescent="0.25">
      <c r="A614" t="s">
        <v>951</v>
      </c>
      <c r="B614" t="s">
        <v>142</v>
      </c>
      <c r="C614" t="s">
        <v>952</v>
      </c>
      <c r="D614" t="s">
        <v>3</v>
      </c>
      <c r="E614">
        <v>40</v>
      </c>
      <c r="F614" t="s">
        <v>1357</v>
      </c>
      <c r="G614" t="s">
        <v>373</v>
      </c>
      <c r="H614">
        <v>6540</v>
      </c>
      <c r="I614" t="s">
        <v>4</v>
      </c>
      <c r="J614">
        <v>3</v>
      </c>
    </row>
    <row r="615" spans="1:10" x14ac:dyDescent="0.25">
      <c r="A615" t="s">
        <v>11</v>
      </c>
      <c r="B615" t="s">
        <v>478</v>
      </c>
      <c r="C615" t="s">
        <v>953</v>
      </c>
      <c r="D615" t="s">
        <v>3</v>
      </c>
      <c r="E615">
        <v>42</v>
      </c>
      <c r="F615" t="s">
        <v>1357</v>
      </c>
      <c r="G615" t="s">
        <v>32</v>
      </c>
      <c r="H615">
        <v>4006</v>
      </c>
      <c r="I615" t="s">
        <v>4</v>
      </c>
      <c r="J615">
        <v>3</v>
      </c>
    </row>
    <row r="616" spans="1:10" x14ac:dyDescent="0.25">
      <c r="A616" t="s">
        <v>141</v>
      </c>
      <c r="B616" t="s">
        <v>324</v>
      </c>
      <c r="C616" t="s">
        <v>954</v>
      </c>
      <c r="D616" t="s">
        <v>8</v>
      </c>
      <c r="E616">
        <v>49</v>
      </c>
      <c r="F616" t="s">
        <v>1357</v>
      </c>
      <c r="G616" t="s">
        <v>172</v>
      </c>
      <c r="H616">
        <v>1029</v>
      </c>
      <c r="I616" t="s">
        <v>4</v>
      </c>
      <c r="J616">
        <v>0</v>
      </c>
    </row>
    <row r="617" spans="1:10" x14ac:dyDescent="0.25">
      <c r="A617" t="s">
        <v>257</v>
      </c>
      <c r="B617" t="s">
        <v>251</v>
      </c>
      <c r="C617" t="s">
        <v>955</v>
      </c>
      <c r="D617" t="s">
        <v>3</v>
      </c>
      <c r="E617">
        <v>58</v>
      </c>
      <c r="F617" t="s">
        <v>1358</v>
      </c>
      <c r="G617" t="s">
        <v>373</v>
      </c>
      <c r="H617">
        <v>8863</v>
      </c>
      <c r="I617" t="s">
        <v>4</v>
      </c>
      <c r="J617">
        <v>2</v>
      </c>
    </row>
    <row r="618" spans="1:10" x14ac:dyDescent="0.25">
      <c r="A618" t="s">
        <v>195</v>
      </c>
      <c r="B618" t="s">
        <v>67</v>
      </c>
      <c r="C618" t="s">
        <v>956</v>
      </c>
      <c r="D618" t="s">
        <v>3</v>
      </c>
      <c r="E618">
        <v>58</v>
      </c>
      <c r="F618" t="s">
        <v>1358</v>
      </c>
      <c r="G618" t="s">
        <v>103</v>
      </c>
      <c r="H618">
        <v>8625</v>
      </c>
      <c r="I618" t="s">
        <v>14</v>
      </c>
      <c r="J618">
        <v>3</v>
      </c>
    </row>
    <row r="619" spans="1:10" x14ac:dyDescent="0.25">
      <c r="A619" t="s">
        <v>125</v>
      </c>
      <c r="B619" t="s">
        <v>67</v>
      </c>
      <c r="C619" t="s">
        <v>957</v>
      </c>
      <c r="D619" t="s">
        <v>8</v>
      </c>
      <c r="E619">
        <v>30</v>
      </c>
      <c r="F619" t="s">
        <v>1359</v>
      </c>
      <c r="G619" t="s">
        <v>266</v>
      </c>
      <c r="H619">
        <v>651</v>
      </c>
      <c r="I619" t="s">
        <v>4</v>
      </c>
      <c r="J619">
        <v>1</v>
      </c>
    </row>
    <row r="620" spans="1:10" x14ac:dyDescent="0.25">
      <c r="A620" t="s">
        <v>537</v>
      </c>
      <c r="B620" t="s">
        <v>368</v>
      </c>
      <c r="C620" t="s">
        <v>958</v>
      </c>
      <c r="D620" t="s">
        <v>3</v>
      </c>
      <c r="E620">
        <v>40</v>
      </c>
      <c r="F620" t="s">
        <v>1357</v>
      </c>
      <c r="G620" t="s">
        <v>382</v>
      </c>
      <c r="H620">
        <v>6422</v>
      </c>
      <c r="I620" t="s">
        <v>14</v>
      </c>
      <c r="J620">
        <v>5</v>
      </c>
    </row>
    <row r="621" spans="1:10" x14ac:dyDescent="0.25">
      <c r="A621" t="s">
        <v>310</v>
      </c>
      <c r="B621" t="s">
        <v>324</v>
      </c>
      <c r="C621" t="s">
        <v>959</v>
      </c>
      <c r="D621" t="s">
        <v>8</v>
      </c>
      <c r="E621">
        <v>26</v>
      </c>
      <c r="F621" t="s">
        <v>1359</v>
      </c>
      <c r="G621" t="s">
        <v>165</v>
      </c>
      <c r="H621">
        <v>560</v>
      </c>
      <c r="I621" t="s">
        <v>14</v>
      </c>
      <c r="J621">
        <v>1</v>
      </c>
    </row>
    <row r="622" spans="1:10" x14ac:dyDescent="0.25">
      <c r="A622" t="s">
        <v>960</v>
      </c>
      <c r="B622" t="s">
        <v>122</v>
      </c>
      <c r="C622" t="s">
        <v>961</v>
      </c>
      <c r="D622" t="s">
        <v>8</v>
      </c>
      <c r="E622">
        <v>32</v>
      </c>
      <c r="F622" t="s">
        <v>1357</v>
      </c>
      <c r="G622" t="s">
        <v>29</v>
      </c>
      <c r="H622">
        <v>9474</v>
      </c>
      <c r="I622" t="s">
        <v>4</v>
      </c>
      <c r="J622">
        <v>3</v>
      </c>
    </row>
    <row r="623" spans="1:10" x14ac:dyDescent="0.25">
      <c r="A623" t="s">
        <v>11</v>
      </c>
      <c r="B623" t="s">
        <v>105</v>
      </c>
      <c r="C623" t="s">
        <v>962</v>
      </c>
      <c r="D623" t="s">
        <v>3</v>
      </c>
      <c r="E623">
        <v>50</v>
      </c>
      <c r="F623" t="s">
        <v>1357</v>
      </c>
      <c r="G623" t="s">
        <v>234</v>
      </c>
      <c r="H623">
        <v>7680</v>
      </c>
      <c r="I623" t="s">
        <v>14</v>
      </c>
      <c r="J623">
        <v>1</v>
      </c>
    </row>
    <row r="624" spans="1:10" x14ac:dyDescent="0.25">
      <c r="A624" t="s">
        <v>963</v>
      </c>
      <c r="B624" t="s">
        <v>268</v>
      </c>
      <c r="C624" t="s">
        <v>964</v>
      </c>
      <c r="D624" t="s">
        <v>3</v>
      </c>
      <c r="E624">
        <v>43</v>
      </c>
      <c r="F624" t="s">
        <v>1357</v>
      </c>
      <c r="G624" t="s">
        <v>131</v>
      </c>
      <c r="H624">
        <v>3582</v>
      </c>
      <c r="I624" t="s">
        <v>14</v>
      </c>
      <c r="J624">
        <v>2</v>
      </c>
    </row>
    <row r="625" spans="1:10" x14ac:dyDescent="0.25">
      <c r="A625" t="s">
        <v>739</v>
      </c>
      <c r="B625" t="s">
        <v>139</v>
      </c>
      <c r="C625" t="s">
        <v>965</v>
      </c>
      <c r="D625" t="s">
        <v>8</v>
      </c>
      <c r="E625">
        <v>31</v>
      </c>
      <c r="F625" t="s">
        <v>1357</v>
      </c>
      <c r="G625" t="s">
        <v>234</v>
      </c>
      <c r="H625">
        <v>3263</v>
      </c>
      <c r="I625" t="s">
        <v>4</v>
      </c>
      <c r="J625">
        <v>5</v>
      </c>
    </row>
    <row r="626" spans="1:10" x14ac:dyDescent="0.25">
      <c r="A626" t="s">
        <v>296</v>
      </c>
      <c r="B626" t="s">
        <v>294</v>
      </c>
      <c r="C626" t="s">
        <v>966</v>
      </c>
      <c r="D626" t="s">
        <v>8</v>
      </c>
      <c r="E626">
        <v>40</v>
      </c>
      <c r="F626" t="s">
        <v>1357</v>
      </c>
      <c r="G626" t="s">
        <v>290</v>
      </c>
      <c r="H626">
        <v>7059</v>
      </c>
      <c r="I626" t="s">
        <v>14</v>
      </c>
      <c r="J626">
        <v>3</v>
      </c>
    </row>
    <row r="627" spans="1:10" x14ac:dyDescent="0.25">
      <c r="A627" t="s">
        <v>473</v>
      </c>
      <c r="B627" t="s">
        <v>78</v>
      </c>
      <c r="C627" t="s">
        <v>967</v>
      </c>
      <c r="D627" t="s">
        <v>8</v>
      </c>
      <c r="E627">
        <v>26</v>
      </c>
      <c r="F627" t="s">
        <v>1359</v>
      </c>
      <c r="G627" t="s">
        <v>197</v>
      </c>
      <c r="H627">
        <v>7247</v>
      </c>
      <c r="I627" t="s">
        <v>4</v>
      </c>
      <c r="J627">
        <v>1</v>
      </c>
    </row>
    <row r="628" spans="1:10" x14ac:dyDescent="0.25">
      <c r="A628" t="s">
        <v>87</v>
      </c>
      <c r="B628" t="s">
        <v>556</v>
      </c>
      <c r="C628" t="s">
        <v>968</v>
      </c>
      <c r="D628" t="s">
        <v>3</v>
      </c>
      <c r="E628">
        <v>19</v>
      </c>
      <c r="F628" t="s">
        <v>1359</v>
      </c>
      <c r="G628" t="s">
        <v>63</v>
      </c>
      <c r="H628">
        <v>9027</v>
      </c>
      <c r="I628" t="s">
        <v>14</v>
      </c>
      <c r="J628">
        <v>4</v>
      </c>
    </row>
    <row r="629" spans="1:10" x14ac:dyDescent="0.25">
      <c r="A629" t="s">
        <v>671</v>
      </c>
      <c r="B629" t="s">
        <v>368</v>
      </c>
      <c r="C629" t="s">
        <v>969</v>
      </c>
      <c r="D629" t="s">
        <v>8</v>
      </c>
      <c r="E629">
        <v>18</v>
      </c>
      <c r="F629" t="s">
        <v>1359</v>
      </c>
      <c r="G629" t="s">
        <v>107</v>
      </c>
      <c r="H629">
        <v>1244</v>
      </c>
      <c r="I629" t="s">
        <v>4</v>
      </c>
      <c r="J629">
        <v>1</v>
      </c>
    </row>
    <row r="630" spans="1:10" x14ac:dyDescent="0.25">
      <c r="A630" t="s">
        <v>77</v>
      </c>
      <c r="B630" t="s">
        <v>41</v>
      </c>
      <c r="C630" t="s">
        <v>970</v>
      </c>
      <c r="D630" t="s">
        <v>3</v>
      </c>
      <c r="E630">
        <v>38</v>
      </c>
      <c r="F630" t="s">
        <v>1357</v>
      </c>
      <c r="G630" t="s">
        <v>165</v>
      </c>
      <c r="H630">
        <v>6459</v>
      </c>
      <c r="I630" t="s">
        <v>14</v>
      </c>
      <c r="J630">
        <v>4</v>
      </c>
    </row>
    <row r="631" spans="1:10" x14ac:dyDescent="0.25">
      <c r="A631" t="s">
        <v>11</v>
      </c>
      <c r="B631" t="s">
        <v>23</v>
      </c>
      <c r="C631" t="s">
        <v>971</v>
      </c>
      <c r="D631" t="s">
        <v>3</v>
      </c>
      <c r="E631">
        <v>55</v>
      </c>
      <c r="F631" t="s">
        <v>1358</v>
      </c>
      <c r="G631" t="s">
        <v>290</v>
      </c>
      <c r="H631">
        <v>3270</v>
      </c>
      <c r="I631" t="s">
        <v>14</v>
      </c>
      <c r="J631">
        <v>0</v>
      </c>
    </row>
    <row r="632" spans="1:10" x14ac:dyDescent="0.25">
      <c r="A632" t="s">
        <v>83</v>
      </c>
      <c r="B632" t="s">
        <v>45</v>
      </c>
      <c r="C632" t="s">
        <v>670</v>
      </c>
      <c r="D632" t="s">
        <v>3</v>
      </c>
      <c r="E632">
        <v>51</v>
      </c>
      <c r="F632" t="s">
        <v>1358</v>
      </c>
      <c r="G632" t="s">
        <v>69</v>
      </c>
      <c r="H632">
        <v>2671</v>
      </c>
      <c r="I632" t="s">
        <v>14</v>
      </c>
      <c r="J632">
        <v>4</v>
      </c>
    </row>
    <row r="633" spans="1:10" x14ac:dyDescent="0.25">
      <c r="A633" t="s">
        <v>432</v>
      </c>
      <c r="B633" t="s">
        <v>433</v>
      </c>
      <c r="C633" t="s">
        <v>434</v>
      </c>
      <c r="D633" t="s">
        <v>3</v>
      </c>
      <c r="E633">
        <v>50</v>
      </c>
      <c r="F633" t="s">
        <v>1357</v>
      </c>
      <c r="G633" t="s">
        <v>47</v>
      </c>
      <c r="H633">
        <v>7468</v>
      </c>
      <c r="I633" t="s">
        <v>14</v>
      </c>
      <c r="J633">
        <v>2</v>
      </c>
    </row>
    <row r="634" spans="1:10" x14ac:dyDescent="0.25">
      <c r="A634" t="s">
        <v>83</v>
      </c>
      <c r="B634" t="s">
        <v>229</v>
      </c>
      <c r="C634" t="s">
        <v>972</v>
      </c>
      <c r="D634" t="s">
        <v>3</v>
      </c>
      <c r="E634">
        <v>25</v>
      </c>
      <c r="F634" t="s">
        <v>1359</v>
      </c>
      <c r="G634" t="s">
        <v>86</v>
      </c>
      <c r="H634">
        <v>6459</v>
      </c>
      <c r="I634" t="s">
        <v>14</v>
      </c>
      <c r="J634">
        <v>5</v>
      </c>
    </row>
    <row r="635" spans="1:10" x14ac:dyDescent="0.25">
      <c r="A635" t="s">
        <v>692</v>
      </c>
      <c r="B635" t="s">
        <v>317</v>
      </c>
      <c r="C635" t="s">
        <v>973</v>
      </c>
      <c r="D635" t="s">
        <v>3</v>
      </c>
      <c r="E635">
        <v>59</v>
      </c>
      <c r="F635" t="s">
        <v>1358</v>
      </c>
      <c r="G635" t="s">
        <v>160</v>
      </c>
      <c r="H635">
        <v>8541</v>
      </c>
      <c r="I635" t="s">
        <v>14</v>
      </c>
      <c r="J635">
        <v>0</v>
      </c>
    </row>
    <row r="636" spans="1:10" x14ac:dyDescent="0.25">
      <c r="A636" t="s">
        <v>11</v>
      </c>
      <c r="B636" t="s">
        <v>38</v>
      </c>
      <c r="C636" t="s">
        <v>974</v>
      </c>
      <c r="D636" t="s">
        <v>3</v>
      </c>
      <c r="E636">
        <v>47</v>
      </c>
      <c r="F636" t="s">
        <v>1357</v>
      </c>
      <c r="G636" t="s">
        <v>36</v>
      </c>
      <c r="H636">
        <v>9297</v>
      </c>
      <c r="I636" t="s">
        <v>4</v>
      </c>
      <c r="J636">
        <v>2</v>
      </c>
    </row>
    <row r="637" spans="1:10" x14ac:dyDescent="0.25">
      <c r="A637" t="s">
        <v>419</v>
      </c>
      <c r="B637" t="s">
        <v>425</v>
      </c>
      <c r="C637" t="s">
        <v>975</v>
      </c>
      <c r="D637" t="s">
        <v>8</v>
      </c>
      <c r="E637">
        <v>50</v>
      </c>
      <c r="F637" t="s">
        <v>1357</v>
      </c>
      <c r="G637" t="s">
        <v>9</v>
      </c>
      <c r="H637">
        <v>1418</v>
      </c>
      <c r="I637" t="s">
        <v>4</v>
      </c>
      <c r="J637">
        <v>0</v>
      </c>
    </row>
    <row r="638" spans="1:10" x14ac:dyDescent="0.25">
      <c r="A638" t="s">
        <v>157</v>
      </c>
      <c r="B638" t="s">
        <v>53</v>
      </c>
      <c r="C638" t="s">
        <v>976</v>
      </c>
      <c r="D638" t="s">
        <v>3</v>
      </c>
      <c r="E638">
        <v>33</v>
      </c>
      <c r="F638" t="s">
        <v>1357</v>
      </c>
      <c r="G638" t="s">
        <v>248</v>
      </c>
      <c r="H638">
        <v>9717</v>
      </c>
      <c r="I638" t="s">
        <v>14</v>
      </c>
      <c r="J638">
        <v>2</v>
      </c>
    </row>
    <row r="639" spans="1:10" x14ac:dyDescent="0.25">
      <c r="A639" t="s">
        <v>480</v>
      </c>
      <c r="B639" t="s">
        <v>41</v>
      </c>
      <c r="C639" t="s">
        <v>977</v>
      </c>
      <c r="D639" t="s">
        <v>8</v>
      </c>
      <c r="E639">
        <v>23</v>
      </c>
      <c r="F639" t="s">
        <v>1359</v>
      </c>
      <c r="G639" t="s">
        <v>128</v>
      </c>
      <c r="H639">
        <v>1858</v>
      </c>
      <c r="I639" t="s">
        <v>4</v>
      </c>
      <c r="J639">
        <v>1</v>
      </c>
    </row>
    <row r="640" spans="1:10" x14ac:dyDescent="0.25">
      <c r="A640" t="s">
        <v>642</v>
      </c>
      <c r="B640" t="s">
        <v>744</v>
      </c>
      <c r="C640" t="s">
        <v>978</v>
      </c>
      <c r="D640" t="s">
        <v>3</v>
      </c>
      <c r="E640">
        <v>40</v>
      </c>
      <c r="F640" t="s">
        <v>1357</v>
      </c>
      <c r="G640" t="s">
        <v>131</v>
      </c>
      <c r="H640">
        <v>7298</v>
      </c>
      <c r="I640" t="s">
        <v>4</v>
      </c>
      <c r="J640">
        <v>1</v>
      </c>
    </row>
    <row r="641" spans="1:10" x14ac:dyDescent="0.25">
      <c r="A641" t="s">
        <v>26</v>
      </c>
      <c r="B641" t="s">
        <v>301</v>
      </c>
      <c r="C641" t="s">
        <v>979</v>
      </c>
      <c r="D641" t="s">
        <v>8</v>
      </c>
      <c r="E641">
        <v>24</v>
      </c>
      <c r="F641" t="s">
        <v>1359</v>
      </c>
      <c r="G641" t="s">
        <v>165</v>
      </c>
      <c r="H641">
        <v>9925</v>
      </c>
      <c r="I641" t="s">
        <v>14</v>
      </c>
      <c r="J641">
        <v>1</v>
      </c>
    </row>
    <row r="642" spans="1:10" x14ac:dyDescent="0.25">
      <c r="A642" t="s">
        <v>70</v>
      </c>
      <c r="B642" t="s">
        <v>78</v>
      </c>
      <c r="C642" t="s">
        <v>980</v>
      </c>
      <c r="D642" t="s">
        <v>3</v>
      </c>
      <c r="E642">
        <v>58</v>
      </c>
      <c r="F642" t="s">
        <v>1358</v>
      </c>
      <c r="G642" t="s">
        <v>197</v>
      </c>
      <c r="H642">
        <v>1844</v>
      </c>
      <c r="I642" t="s">
        <v>14</v>
      </c>
      <c r="J642">
        <v>3</v>
      </c>
    </row>
    <row r="643" spans="1:10" x14ac:dyDescent="0.25">
      <c r="A643" t="s">
        <v>495</v>
      </c>
      <c r="B643" t="s">
        <v>600</v>
      </c>
      <c r="C643" t="s">
        <v>981</v>
      </c>
      <c r="D643" t="s">
        <v>3</v>
      </c>
      <c r="E643">
        <v>43</v>
      </c>
      <c r="F643" t="s">
        <v>1357</v>
      </c>
      <c r="G643" t="s">
        <v>29</v>
      </c>
      <c r="H643">
        <v>8271</v>
      </c>
      <c r="I643" t="s">
        <v>4</v>
      </c>
      <c r="J643">
        <v>3</v>
      </c>
    </row>
    <row r="644" spans="1:10" x14ac:dyDescent="0.25">
      <c r="A644" t="s">
        <v>894</v>
      </c>
      <c r="B644" t="s">
        <v>580</v>
      </c>
      <c r="C644" t="s">
        <v>982</v>
      </c>
      <c r="D644" t="s">
        <v>8</v>
      </c>
      <c r="E644">
        <v>40</v>
      </c>
      <c r="F644" t="s">
        <v>1357</v>
      </c>
      <c r="G644" t="s">
        <v>118</v>
      </c>
      <c r="H644">
        <v>8053</v>
      </c>
      <c r="I644" t="s">
        <v>14</v>
      </c>
      <c r="J644">
        <v>1</v>
      </c>
    </row>
    <row r="645" spans="1:10" x14ac:dyDescent="0.25">
      <c r="A645" t="s">
        <v>18</v>
      </c>
      <c r="B645" t="s">
        <v>34</v>
      </c>
      <c r="C645" t="s">
        <v>983</v>
      </c>
      <c r="D645" t="s">
        <v>3</v>
      </c>
      <c r="E645">
        <v>47</v>
      </c>
      <c r="F645" t="s">
        <v>1357</v>
      </c>
      <c r="G645" t="s">
        <v>303</v>
      </c>
      <c r="H645">
        <v>5949</v>
      </c>
      <c r="I645" t="s">
        <v>14</v>
      </c>
      <c r="J645">
        <v>0</v>
      </c>
    </row>
    <row r="646" spans="1:10" x14ac:dyDescent="0.25">
      <c r="A646" t="s">
        <v>642</v>
      </c>
      <c r="B646" t="s">
        <v>268</v>
      </c>
      <c r="C646" t="s">
        <v>984</v>
      </c>
      <c r="D646" t="s">
        <v>3</v>
      </c>
      <c r="E646">
        <v>46</v>
      </c>
      <c r="F646" t="s">
        <v>1357</v>
      </c>
      <c r="G646" t="s">
        <v>169</v>
      </c>
      <c r="H646">
        <v>1822</v>
      </c>
      <c r="I646" t="s">
        <v>4</v>
      </c>
      <c r="J646">
        <v>2</v>
      </c>
    </row>
    <row r="647" spans="1:10" x14ac:dyDescent="0.25">
      <c r="A647" t="s">
        <v>932</v>
      </c>
      <c r="B647" t="s">
        <v>61</v>
      </c>
      <c r="C647" t="s">
        <v>985</v>
      </c>
      <c r="D647" t="s">
        <v>8</v>
      </c>
      <c r="E647">
        <v>49</v>
      </c>
      <c r="F647" t="s">
        <v>1357</v>
      </c>
      <c r="G647" t="s">
        <v>118</v>
      </c>
      <c r="H647">
        <v>729</v>
      </c>
      <c r="I647" t="s">
        <v>14</v>
      </c>
      <c r="J647">
        <v>2</v>
      </c>
    </row>
    <row r="648" spans="1:10" x14ac:dyDescent="0.25">
      <c r="A648" t="s">
        <v>229</v>
      </c>
      <c r="B648" t="s">
        <v>478</v>
      </c>
      <c r="C648" t="s">
        <v>986</v>
      </c>
      <c r="D648" t="s">
        <v>3</v>
      </c>
      <c r="E648">
        <v>50</v>
      </c>
      <c r="F648" t="s">
        <v>1357</v>
      </c>
      <c r="G648" t="s">
        <v>303</v>
      </c>
      <c r="H648">
        <v>4124</v>
      </c>
      <c r="I648" t="s">
        <v>4</v>
      </c>
      <c r="J648">
        <v>3</v>
      </c>
    </row>
    <row r="649" spans="1:10" x14ac:dyDescent="0.25">
      <c r="A649" t="s">
        <v>473</v>
      </c>
      <c r="B649" t="s">
        <v>126</v>
      </c>
      <c r="C649" t="s">
        <v>987</v>
      </c>
      <c r="D649" t="s">
        <v>8</v>
      </c>
      <c r="E649">
        <v>49</v>
      </c>
      <c r="F649" t="s">
        <v>1357</v>
      </c>
      <c r="G649" t="s">
        <v>290</v>
      </c>
      <c r="H649">
        <v>1458</v>
      </c>
      <c r="I649" t="s">
        <v>14</v>
      </c>
      <c r="J649">
        <v>1</v>
      </c>
    </row>
    <row r="650" spans="1:10" x14ac:dyDescent="0.25">
      <c r="A650" t="s">
        <v>465</v>
      </c>
      <c r="B650" t="s">
        <v>34</v>
      </c>
      <c r="C650" t="s">
        <v>988</v>
      </c>
      <c r="D650" t="s">
        <v>3</v>
      </c>
      <c r="E650">
        <v>31</v>
      </c>
      <c r="F650" t="s">
        <v>1357</v>
      </c>
      <c r="G650" t="s">
        <v>32</v>
      </c>
      <c r="H650">
        <v>1114</v>
      </c>
      <c r="I650" t="s">
        <v>14</v>
      </c>
      <c r="J650">
        <v>0</v>
      </c>
    </row>
    <row r="651" spans="1:10" x14ac:dyDescent="0.25">
      <c r="A651" t="s">
        <v>206</v>
      </c>
      <c r="B651" t="s">
        <v>277</v>
      </c>
      <c r="C651" t="s">
        <v>989</v>
      </c>
      <c r="D651" t="s">
        <v>3</v>
      </c>
      <c r="E651">
        <v>46</v>
      </c>
      <c r="F651" t="s">
        <v>1357</v>
      </c>
      <c r="G651" t="s">
        <v>165</v>
      </c>
      <c r="H651">
        <v>5984</v>
      </c>
      <c r="I651" t="s">
        <v>14</v>
      </c>
      <c r="J651">
        <v>0</v>
      </c>
    </row>
    <row r="652" spans="1:10" x14ac:dyDescent="0.25">
      <c r="A652" t="s">
        <v>482</v>
      </c>
      <c r="B652" t="s">
        <v>132</v>
      </c>
      <c r="C652" t="s">
        <v>990</v>
      </c>
      <c r="D652" t="s">
        <v>8</v>
      </c>
      <c r="E652">
        <v>36</v>
      </c>
      <c r="F652" t="s">
        <v>1357</v>
      </c>
      <c r="G652" t="s">
        <v>76</v>
      </c>
      <c r="H652">
        <v>3746</v>
      </c>
      <c r="I652" t="s">
        <v>4</v>
      </c>
      <c r="J652">
        <v>5</v>
      </c>
    </row>
    <row r="653" spans="1:10" x14ac:dyDescent="0.25">
      <c r="A653" t="s">
        <v>154</v>
      </c>
      <c r="B653" t="s">
        <v>294</v>
      </c>
      <c r="C653" t="s">
        <v>991</v>
      </c>
      <c r="D653" t="s">
        <v>8</v>
      </c>
      <c r="E653">
        <v>60</v>
      </c>
      <c r="F653" t="s">
        <v>1358</v>
      </c>
      <c r="G653" t="s">
        <v>187</v>
      </c>
      <c r="H653">
        <v>1926</v>
      </c>
      <c r="I653" t="s">
        <v>14</v>
      </c>
      <c r="J653">
        <v>0</v>
      </c>
    </row>
    <row r="654" spans="1:10" x14ac:dyDescent="0.25">
      <c r="A654" t="s">
        <v>992</v>
      </c>
      <c r="B654" t="s">
        <v>556</v>
      </c>
      <c r="C654" t="s">
        <v>993</v>
      </c>
      <c r="D654" t="s">
        <v>8</v>
      </c>
      <c r="E654">
        <v>47</v>
      </c>
      <c r="F654" t="s">
        <v>1357</v>
      </c>
      <c r="G654" t="s">
        <v>217</v>
      </c>
      <c r="H654">
        <v>6219</v>
      </c>
      <c r="I654" t="s">
        <v>14</v>
      </c>
      <c r="J654">
        <v>4</v>
      </c>
    </row>
    <row r="655" spans="1:10" x14ac:dyDescent="0.25">
      <c r="A655" t="s">
        <v>560</v>
      </c>
      <c r="B655" t="s">
        <v>95</v>
      </c>
      <c r="C655" t="s">
        <v>994</v>
      </c>
      <c r="D655" t="s">
        <v>8</v>
      </c>
      <c r="E655">
        <v>56</v>
      </c>
      <c r="F655" t="s">
        <v>1358</v>
      </c>
      <c r="G655" t="s">
        <v>134</v>
      </c>
      <c r="H655">
        <v>9502</v>
      </c>
      <c r="I655" t="s">
        <v>4</v>
      </c>
      <c r="J655">
        <v>0</v>
      </c>
    </row>
    <row r="656" spans="1:10" x14ac:dyDescent="0.25">
      <c r="A656" t="s">
        <v>138</v>
      </c>
      <c r="B656" t="s">
        <v>305</v>
      </c>
      <c r="C656" t="s">
        <v>995</v>
      </c>
      <c r="D656" t="s">
        <v>3</v>
      </c>
      <c r="E656">
        <v>29</v>
      </c>
      <c r="F656" t="s">
        <v>1359</v>
      </c>
      <c r="G656" t="s">
        <v>124</v>
      </c>
      <c r="H656">
        <v>7812</v>
      </c>
      <c r="I656" t="s">
        <v>14</v>
      </c>
      <c r="J656">
        <v>3</v>
      </c>
    </row>
    <row r="657" spans="1:10" x14ac:dyDescent="0.25">
      <c r="A657" t="s">
        <v>93</v>
      </c>
      <c r="B657" t="s">
        <v>155</v>
      </c>
      <c r="C657" t="s">
        <v>996</v>
      </c>
      <c r="D657" t="s">
        <v>3</v>
      </c>
      <c r="E657">
        <v>36</v>
      </c>
      <c r="F657" t="s">
        <v>1357</v>
      </c>
      <c r="G657" t="s">
        <v>43</v>
      </c>
      <c r="H657">
        <v>6355</v>
      </c>
      <c r="I657" t="s">
        <v>14</v>
      </c>
      <c r="J657">
        <v>1</v>
      </c>
    </row>
    <row r="658" spans="1:10" x14ac:dyDescent="0.25">
      <c r="A658" t="s">
        <v>997</v>
      </c>
      <c r="B658" t="s">
        <v>45</v>
      </c>
      <c r="C658" t="s">
        <v>998</v>
      </c>
      <c r="D658" t="s">
        <v>8</v>
      </c>
      <c r="E658">
        <v>47</v>
      </c>
      <c r="F658" t="s">
        <v>1357</v>
      </c>
      <c r="G658" t="s">
        <v>80</v>
      </c>
      <c r="H658">
        <v>6624</v>
      </c>
      <c r="I658" t="s">
        <v>14</v>
      </c>
      <c r="J658">
        <v>4</v>
      </c>
    </row>
    <row r="659" spans="1:10" x14ac:dyDescent="0.25">
      <c r="A659" t="s">
        <v>170</v>
      </c>
      <c r="B659" t="s">
        <v>71</v>
      </c>
      <c r="C659" t="s">
        <v>999</v>
      </c>
      <c r="D659" t="s">
        <v>8</v>
      </c>
      <c r="E659">
        <v>55</v>
      </c>
      <c r="F659" t="s">
        <v>1358</v>
      </c>
      <c r="G659" t="s">
        <v>199</v>
      </c>
      <c r="H659">
        <v>3401</v>
      </c>
      <c r="I659" t="s">
        <v>4</v>
      </c>
      <c r="J659">
        <v>2</v>
      </c>
    </row>
    <row r="660" spans="1:10" x14ac:dyDescent="0.25">
      <c r="A660" t="s">
        <v>1000</v>
      </c>
      <c r="B660" t="s">
        <v>249</v>
      </c>
      <c r="C660" t="s">
        <v>1001</v>
      </c>
      <c r="D660" t="s">
        <v>8</v>
      </c>
      <c r="E660">
        <v>56</v>
      </c>
      <c r="F660" t="s">
        <v>1358</v>
      </c>
      <c r="G660" t="s">
        <v>293</v>
      </c>
      <c r="H660">
        <v>5869</v>
      </c>
      <c r="I660" t="s">
        <v>4</v>
      </c>
      <c r="J660">
        <v>1</v>
      </c>
    </row>
    <row r="661" spans="1:10" x14ac:dyDescent="0.25">
      <c r="A661" t="s">
        <v>138</v>
      </c>
      <c r="B661" t="s">
        <v>16</v>
      </c>
      <c r="C661" t="s">
        <v>1002</v>
      </c>
      <c r="D661" t="s">
        <v>3</v>
      </c>
      <c r="E661">
        <v>39</v>
      </c>
      <c r="F661" t="s">
        <v>1357</v>
      </c>
      <c r="G661" t="s">
        <v>21</v>
      </c>
      <c r="H661">
        <v>7506</v>
      </c>
      <c r="I661" t="s">
        <v>14</v>
      </c>
      <c r="J661">
        <v>1</v>
      </c>
    </row>
    <row r="662" spans="1:10" x14ac:dyDescent="0.25">
      <c r="A662" t="s">
        <v>166</v>
      </c>
      <c r="B662" t="s">
        <v>368</v>
      </c>
      <c r="C662" t="s">
        <v>1003</v>
      </c>
      <c r="D662" t="s">
        <v>3</v>
      </c>
      <c r="E662">
        <v>53</v>
      </c>
      <c r="F662" t="s">
        <v>1358</v>
      </c>
      <c r="G662" t="s">
        <v>59</v>
      </c>
      <c r="H662">
        <v>3217</v>
      </c>
      <c r="I662" t="s">
        <v>4</v>
      </c>
      <c r="J662">
        <v>0</v>
      </c>
    </row>
    <row r="663" spans="1:10" x14ac:dyDescent="0.25">
      <c r="A663" t="s">
        <v>161</v>
      </c>
      <c r="B663" t="s">
        <v>351</v>
      </c>
      <c r="C663" t="s">
        <v>1004</v>
      </c>
      <c r="D663" t="s">
        <v>8</v>
      </c>
      <c r="E663">
        <v>23</v>
      </c>
      <c r="F663" t="s">
        <v>1359</v>
      </c>
      <c r="G663" t="s">
        <v>76</v>
      </c>
      <c r="H663">
        <v>8111</v>
      </c>
      <c r="I663" t="s">
        <v>4</v>
      </c>
      <c r="J663">
        <v>1</v>
      </c>
    </row>
    <row r="664" spans="1:10" x14ac:dyDescent="0.25">
      <c r="A664" t="s">
        <v>288</v>
      </c>
      <c r="B664" t="s">
        <v>371</v>
      </c>
      <c r="C664" t="s">
        <v>1005</v>
      </c>
      <c r="D664" t="s">
        <v>8</v>
      </c>
      <c r="E664">
        <v>31</v>
      </c>
      <c r="F664" t="s">
        <v>1357</v>
      </c>
      <c r="G664" t="s">
        <v>234</v>
      </c>
      <c r="H664">
        <v>8921</v>
      </c>
      <c r="I664" t="s">
        <v>14</v>
      </c>
      <c r="J664">
        <v>5</v>
      </c>
    </row>
    <row r="665" spans="1:10" x14ac:dyDescent="0.25">
      <c r="A665" t="s">
        <v>73</v>
      </c>
      <c r="B665" t="s">
        <v>392</v>
      </c>
      <c r="C665" t="s">
        <v>1006</v>
      </c>
      <c r="D665" t="s">
        <v>3</v>
      </c>
      <c r="E665">
        <v>23</v>
      </c>
      <c r="F665" t="s">
        <v>1359</v>
      </c>
      <c r="G665" t="s">
        <v>182</v>
      </c>
      <c r="H665">
        <v>9620</v>
      </c>
      <c r="I665" t="s">
        <v>14</v>
      </c>
      <c r="J665">
        <v>4</v>
      </c>
    </row>
    <row r="666" spans="1:10" x14ac:dyDescent="0.25">
      <c r="A666" t="s">
        <v>170</v>
      </c>
      <c r="B666" t="s">
        <v>112</v>
      </c>
      <c r="C666" t="s">
        <v>1007</v>
      </c>
      <c r="D666" t="s">
        <v>8</v>
      </c>
      <c r="E666">
        <v>36</v>
      </c>
      <c r="F666" t="s">
        <v>1357</v>
      </c>
      <c r="G666" t="s">
        <v>150</v>
      </c>
      <c r="H666">
        <v>9027</v>
      </c>
      <c r="I666" t="s">
        <v>4</v>
      </c>
      <c r="J666">
        <v>2</v>
      </c>
    </row>
    <row r="667" spans="1:10" x14ac:dyDescent="0.25">
      <c r="A667" t="s">
        <v>439</v>
      </c>
      <c r="B667" t="s">
        <v>101</v>
      </c>
      <c r="C667" t="s">
        <v>1008</v>
      </c>
      <c r="D667" t="s">
        <v>3</v>
      </c>
      <c r="E667">
        <v>27</v>
      </c>
      <c r="F667" t="s">
        <v>1359</v>
      </c>
      <c r="G667" t="s">
        <v>182</v>
      </c>
      <c r="H667">
        <v>9409</v>
      </c>
      <c r="I667" t="s">
        <v>14</v>
      </c>
      <c r="J667">
        <v>4</v>
      </c>
    </row>
    <row r="668" spans="1:10" x14ac:dyDescent="0.25">
      <c r="A668" t="s">
        <v>330</v>
      </c>
      <c r="B668" t="s">
        <v>223</v>
      </c>
      <c r="C668" t="s">
        <v>1009</v>
      </c>
      <c r="D668" t="s">
        <v>8</v>
      </c>
      <c r="E668">
        <v>19</v>
      </c>
      <c r="F668" t="s">
        <v>1359</v>
      </c>
      <c r="G668" t="s">
        <v>55</v>
      </c>
      <c r="H668">
        <v>3144</v>
      </c>
      <c r="I668" t="s">
        <v>4</v>
      </c>
      <c r="J668">
        <v>4</v>
      </c>
    </row>
    <row r="669" spans="1:10" x14ac:dyDescent="0.25">
      <c r="A669" t="s">
        <v>500</v>
      </c>
      <c r="B669" t="s">
        <v>49</v>
      </c>
      <c r="C669" t="s">
        <v>1010</v>
      </c>
      <c r="D669" t="s">
        <v>8</v>
      </c>
      <c r="E669">
        <v>21</v>
      </c>
      <c r="F669" t="s">
        <v>1359</v>
      </c>
      <c r="G669" t="s">
        <v>36</v>
      </c>
      <c r="H669">
        <v>4624</v>
      </c>
      <c r="I669" t="s">
        <v>4</v>
      </c>
      <c r="J669">
        <v>3</v>
      </c>
    </row>
    <row r="670" spans="1:10" x14ac:dyDescent="0.25">
      <c r="A670" t="s">
        <v>512</v>
      </c>
      <c r="B670" t="s">
        <v>61</v>
      </c>
      <c r="C670" t="s">
        <v>1011</v>
      </c>
      <c r="D670" t="s">
        <v>3</v>
      </c>
      <c r="E670">
        <v>45</v>
      </c>
      <c r="F670" t="s">
        <v>1357</v>
      </c>
      <c r="G670" t="s">
        <v>303</v>
      </c>
      <c r="H670">
        <v>8088</v>
      </c>
      <c r="I670" t="s">
        <v>14</v>
      </c>
      <c r="J670">
        <v>4</v>
      </c>
    </row>
    <row r="671" spans="1:10" x14ac:dyDescent="0.25">
      <c r="A671" t="s">
        <v>60</v>
      </c>
      <c r="B671" t="s">
        <v>249</v>
      </c>
      <c r="C671" t="s">
        <v>1012</v>
      </c>
      <c r="D671" t="s">
        <v>3</v>
      </c>
      <c r="E671">
        <v>25</v>
      </c>
      <c r="F671" t="s">
        <v>1359</v>
      </c>
      <c r="G671" t="s">
        <v>131</v>
      </c>
      <c r="H671">
        <v>6699</v>
      </c>
      <c r="I671" t="s">
        <v>4</v>
      </c>
      <c r="J671">
        <v>2</v>
      </c>
    </row>
    <row r="672" spans="1:10" x14ac:dyDescent="0.25">
      <c r="A672" t="s">
        <v>1013</v>
      </c>
      <c r="B672" t="s">
        <v>57</v>
      </c>
      <c r="C672" t="s">
        <v>1014</v>
      </c>
      <c r="D672" t="s">
        <v>8</v>
      </c>
      <c r="E672">
        <v>31</v>
      </c>
      <c r="F672" t="s">
        <v>1357</v>
      </c>
      <c r="G672" t="s">
        <v>182</v>
      </c>
      <c r="H672">
        <v>7918</v>
      </c>
      <c r="I672" t="s">
        <v>4</v>
      </c>
      <c r="J672">
        <v>2</v>
      </c>
    </row>
    <row r="673" spans="1:10" x14ac:dyDescent="0.25">
      <c r="A673" t="s">
        <v>125</v>
      </c>
      <c r="B673" t="s">
        <v>366</v>
      </c>
      <c r="C673" t="s">
        <v>1015</v>
      </c>
      <c r="D673" t="s">
        <v>8</v>
      </c>
      <c r="E673">
        <v>23</v>
      </c>
      <c r="F673" t="s">
        <v>1359</v>
      </c>
      <c r="G673" t="s">
        <v>51</v>
      </c>
      <c r="H673">
        <v>2080</v>
      </c>
      <c r="I673" t="s">
        <v>4</v>
      </c>
      <c r="J673">
        <v>0</v>
      </c>
    </row>
    <row r="674" spans="1:10" x14ac:dyDescent="0.25">
      <c r="A674" t="s">
        <v>482</v>
      </c>
      <c r="B674" t="s">
        <v>552</v>
      </c>
      <c r="C674" t="s">
        <v>1016</v>
      </c>
      <c r="D674" t="s">
        <v>8</v>
      </c>
      <c r="E674">
        <v>29</v>
      </c>
      <c r="F674" t="s">
        <v>1359</v>
      </c>
      <c r="G674" t="s">
        <v>59</v>
      </c>
      <c r="H674">
        <v>9741</v>
      </c>
      <c r="I674" t="s">
        <v>4</v>
      </c>
      <c r="J674">
        <v>3</v>
      </c>
    </row>
    <row r="675" spans="1:10" x14ac:dyDescent="0.25">
      <c r="A675" t="s">
        <v>992</v>
      </c>
      <c r="B675" t="s">
        <v>200</v>
      </c>
      <c r="C675" t="s">
        <v>1017</v>
      </c>
      <c r="D675" t="s">
        <v>8</v>
      </c>
      <c r="E675">
        <v>22</v>
      </c>
      <c r="F675" t="s">
        <v>1359</v>
      </c>
      <c r="G675" t="s">
        <v>234</v>
      </c>
      <c r="H675">
        <v>6125</v>
      </c>
      <c r="I675" t="s">
        <v>14</v>
      </c>
      <c r="J675">
        <v>2</v>
      </c>
    </row>
    <row r="676" spans="1:10" x14ac:dyDescent="0.25">
      <c r="A676" t="s">
        <v>608</v>
      </c>
      <c r="B676" t="s">
        <v>409</v>
      </c>
      <c r="C676" t="s">
        <v>1018</v>
      </c>
      <c r="D676" t="s">
        <v>3</v>
      </c>
      <c r="E676">
        <v>48</v>
      </c>
      <c r="F676" t="s">
        <v>1357</v>
      </c>
      <c r="G676" t="s">
        <v>234</v>
      </c>
      <c r="H676">
        <v>5530</v>
      </c>
      <c r="I676" t="s">
        <v>4</v>
      </c>
      <c r="J676">
        <v>5</v>
      </c>
    </row>
    <row r="677" spans="1:10" x14ac:dyDescent="0.25">
      <c r="A677" t="s">
        <v>286</v>
      </c>
      <c r="B677" t="s">
        <v>635</v>
      </c>
      <c r="C677" t="s">
        <v>1019</v>
      </c>
      <c r="D677" t="s">
        <v>8</v>
      </c>
      <c r="E677">
        <v>40</v>
      </c>
      <c r="F677" t="s">
        <v>1357</v>
      </c>
      <c r="G677" t="s">
        <v>373</v>
      </c>
      <c r="H677">
        <v>8613</v>
      </c>
      <c r="I677" t="s">
        <v>14</v>
      </c>
      <c r="J677">
        <v>1</v>
      </c>
    </row>
    <row r="678" spans="1:10" x14ac:dyDescent="0.25">
      <c r="A678" t="s">
        <v>356</v>
      </c>
      <c r="B678" t="s">
        <v>152</v>
      </c>
      <c r="C678" t="s">
        <v>1020</v>
      </c>
      <c r="D678" t="s">
        <v>8</v>
      </c>
      <c r="E678">
        <v>41</v>
      </c>
      <c r="F678" t="s">
        <v>1357</v>
      </c>
      <c r="G678" t="s">
        <v>124</v>
      </c>
      <c r="H678">
        <v>5842</v>
      </c>
      <c r="I678" t="s">
        <v>14</v>
      </c>
      <c r="J678">
        <v>0</v>
      </c>
    </row>
    <row r="679" spans="1:10" x14ac:dyDescent="0.25">
      <c r="A679" t="s">
        <v>263</v>
      </c>
      <c r="B679" t="s">
        <v>420</v>
      </c>
      <c r="C679" t="s">
        <v>1021</v>
      </c>
      <c r="D679" t="s">
        <v>3</v>
      </c>
      <c r="E679">
        <v>56</v>
      </c>
      <c r="F679" t="s">
        <v>1358</v>
      </c>
      <c r="G679" t="s">
        <v>194</v>
      </c>
      <c r="H679">
        <v>1955</v>
      </c>
      <c r="I679" t="s">
        <v>4</v>
      </c>
      <c r="J679">
        <v>3</v>
      </c>
    </row>
    <row r="680" spans="1:10" x14ac:dyDescent="0.25">
      <c r="A680" t="s">
        <v>625</v>
      </c>
      <c r="B680" t="s">
        <v>604</v>
      </c>
      <c r="C680" t="s">
        <v>1022</v>
      </c>
      <c r="D680" t="s">
        <v>3</v>
      </c>
      <c r="E680">
        <v>51</v>
      </c>
      <c r="F680" t="s">
        <v>1358</v>
      </c>
      <c r="G680" t="s">
        <v>118</v>
      </c>
      <c r="H680">
        <v>834</v>
      </c>
      <c r="I680" t="s">
        <v>14</v>
      </c>
      <c r="J680">
        <v>3</v>
      </c>
    </row>
    <row r="681" spans="1:10" x14ac:dyDescent="0.25">
      <c r="A681" t="s">
        <v>757</v>
      </c>
      <c r="B681" t="s">
        <v>6</v>
      </c>
      <c r="C681" t="s">
        <v>1023</v>
      </c>
      <c r="D681" t="s">
        <v>3</v>
      </c>
      <c r="E681">
        <v>41</v>
      </c>
      <c r="F681" t="s">
        <v>1357</v>
      </c>
      <c r="G681" t="s">
        <v>234</v>
      </c>
      <c r="H681">
        <v>695</v>
      </c>
      <c r="I681" t="s">
        <v>14</v>
      </c>
      <c r="J681">
        <v>1</v>
      </c>
    </row>
    <row r="682" spans="1:10" x14ac:dyDescent="0.25">
      <c r="A682" t="s">
        <v>243</v>
      </c>
      <c r="B682" t="s">
        <v>635</v>
      </c>
      <c r="C682" t="s">
        <v>1024</v>
      </c>
      <c r="D682" t="s">
        <v>3</v>
      </c>
      <c r="E682">
        <v>55</v>
      </c>
      <c r="F682" t="s">
        <v>1358</v>
      </c>
      <c r="G682" t="s">
        <v>234</v>
      </c>
      <c r="H682">
        <v>2322</v>
      </c>
      <c r="I682" t="s">
        <v>4</v>
      </c>
      <c r="J682">
        <v>1</v>
      </c>
    </row>
    <row r="683" spans="1:10" x14ac:dyDescent="0.25">
      <c r="A683" t="s">
        <v>458</v>
      </c>
      <c r="B683" t="s">
        <v>34</v>
      </c>
      <c r="C683" t="s">
        <v>1025</v>
      </c>
      <c r="D683" t="s">
        <v>8</v>
      </c>
      <c r="E683">
        <v>22</v>
      </c>
      <c r="F683" t="s">
        <v>1359</v>
      </c>
      <c r="G683" t="s">
        <v>80</v>
      </c>
      <c r="H683">
        <v>6667</v>
      </c>
      <c r="I683" t="s">
        <v>4</v>
      </c>
      <c r="J683">
        <v>0</v>
      </c>
    </row>
    <row r="684" spans="1:10" x14ac:dyDescent="0.25">
      <c r="A684" t="s">
        <v>803</v>
      </c>
      <c r="B684" t="s">
        <v>41</v>
      </c>
      <c r="C684" t="s">
        <v>1026</v>
      </c>
      <c r="D684" t="s">
        <v>8</v>
      </c>
      <c r="E684">
        <v>50</v>
      </c>
      <c r="F684" t="s">
        <v>1357</v>
      </c>
      <c r="G684" t="s">
        <v>150</v>
      </c>
      <c r="H684">
        <v>9507</v>
      </c>
      <c r="I684" t="s">
        <v>14</v>
      </c>
      <c r="J684">
        <v>1</v>
      </c>
    </row>
    <row r="685" spans="1:10" x14ac:dyDescent="0.25">
      <c r="A685" t="s">
        <v>257</v>
      </c>
      <c r="B685" t="s">
        <v>223</v>
      </c>
      <c r="C685" t="s">
        <v>1027</v>
      </c>
      <c r="D685" t="s">
        <v>3</v>
      </c>
      <c r="E685">
        <v>23</v>
      </c>
      <c r="F685" t="s">
        <v>1359</v>
      </c>
      <c r="G685" t="s">
        <v>86</v>
      </c>
      <c r="H685">
        <v>7929</v>
      </c>
      <c r="I685" t="s">
        <v>14</v>
      </c>
      <c r="J685">
        <v>4</v>
      </c>
    </row>
    <row r="686" spans="1:10" x14ac:dyDescent="0.25">
      <c r="A686" t="s">
        <v>203</v>
      </c>
      <c r="B686" t="s">
        <v>78</v>
      </c>
      <c r="C686" t="s">
        <v>1028</v>
      </c>
      <c r="D686" t="s">
        <v>8</v>
      </c>
      <c r="E686">
        <v>32</v>
      </c>
      <c r="F686" t="s">
        <v>1357</v>
      </c>
      <c r="G686" t="s">
        <v>217</v>
      </c>
      <c r="H686">
        <v>4898</v>
      </c>
      <c r="I686" t="s">
        <v>14</v>
      </c>
      <c r="J686">
        <v>2</v>
      </c>
    </row>
    <row r="687" spans="1:10" x14ac:dyDescent="0.25">
      <c r="A687" t="s">
        <v>432</v>
      </c>
      <c r="B687" t="s">
        <v>334</v>
      </c>
      <c r="C687" t="s">
        <v>1029</v>
      </c>
      <c r="D687" t="s">
        <v>3</v>
      </c>
      <c r="E687">
        <v>59</v>
      </c>
      <c r="F687" t="s">
        <v>1358</v>
      </c>
      <c r="G687" t="s">
        <v>118</v>
      </c>
      <c r="H687">
        <v>1739</v>
      </c>
      <c r="I687" t="s">
        <v>4</v>
      </c>
      <c r="J687">
        <v>1</v>
      </c>
    </row>
    <row r="688" spans="1:10" x14ac:dyDescent="0.25">
      <c r="A688" t="s">
        <v>125</v>
      </c>
      <c r="B688" t="s">
        <v>261</v>
      </c>
      <c r="C688" t="s">
        <v>1030</v>
      </c>
      <c r="D688" t="s">
        <v>8</v>
      </c>
      <c r="E688">
        <v>55</v>
      </c>
      <c r="F688" t="s">
        <v>1358</v>
      </c>
      <c r="G688" t="s">
        <v>160</v>
      </c>
      <c r="H688">
        <v>1528</v>
      </c>
      <c r="I688" t="s">
        <v>4</v>
      </c>
      <c r="J688">
        <v>3</v>
      </c>
    </row>
    <row r="689" spans="1:10" x14ac:dyDescent="0.25">
      <c r="A689" t="s">
        <v>584</v>
      </c>
      <c r="B689" t="s">
        <v>16</v>
      </c>
      <c r="C689" t="s">
        <v>1031</v>
      </c>
      <c r="D689" t="s">
        <v>3</v>
      </c>
      <c r="E689">
        <v>52</v>
      </c>
      <c r="F689" t="s">
        <v>1358</v>
      </c>
      <c r="G689" t="s">
        <v>217</v>
      </c>
      <c r="H689">
        <v>2828</v>
      </c>
      <c r="I689" t="s">
        <v>4</v>
      </c>
      <c r="J689">
        <v>0</v>
      </c>
    </row>
    <row r="690" spans="1:10" x14ac:dyDescent="0.25">
      <c r="A690" t="s">
        <v>757</v>
      </c>
      <c r="B690" t="s">
        <v>463</v>
      </c>
      <c r="C690" t="s">
        <v>1032</v>
      </c>
      <c r="D690" t="s">
        <v>3</v>
      </c>
      <c r="E690">
        <v>57</v>
      </c>
      <c r="F690" t="s">
        <v>1358</v>
      </c>
      <c r="G690" t="s">
        <v>43</v>
      </c>
      <c r="H690">
        <v>2065</v>
      </c>
      <c r="I690" t="s">
        <v>14</v>
      </c>
      <c r="J690">
        <v>0</v>
      </c>
    </row>
    <row r="691" spans="1:10" x14ac:dyDescent="0.25">
      <c r="A691" t="s">
        <v>603</v>
      </c>
      <c r="B691" t="s">
        <v>152</v>
      </c>
      <c r="C691" t="s">
        <v>1033</v>
      </c>
      <c r="D691" t="s">
        <v>8</v>
      </c>
      <c r="E691">
        <v>32</v>
      </c>
      <c r="F691" t="s">
        <v>1357</v>
      </c>
      <c r="G691" t="s">
        <v>51</v>
      </c>
      <c r="H691">
        <v>3752</v>
      </c>
      <c r="I691" t="s">
        <v>14</v>
      </c>
      <c r="J691">
        <v>1</v>
      </c>
    </row>
    <row r="692" spans="1:10" x14ac:dyDescent="0.25">
      <c r="A692" t="s">
        <v>545</v>
      </c>
      <c r="B692" t="s">
        <v>251</v>
      </c>
      <c r="C692" t="s">
        <v>1034</v>
      </c>
      <c r="D692" t="s">
        <v>8</v>
      </c>
      <c r="E692">
        <v>55</v>
      </c>
      <c r="F692" t="s">
        <v>1358</v>
      </c>
      <c r="G692" t="s">
        <v>63</v>
      </c>
      <c r="H692">
        <v>4449</v>
      </c>
      <c r="I692" t="s">
        <v>14</v>
      </c>
      <c r="J692">
        <v>5</v>
      </c>
    </row>
    <row r="693" spans="1:10" x14ac:dyDescent="0.25">
      <c r="A693" t="s">
        <v>390</v>
      </c>
      <c r="B693" t="s">
        <v>317</v>
      </c>
      <c r="C693" t="s">
        <v>1035</v>
      </c>
      <c r="D693" t="s">
        <v>8</v>
      </c>
      <c r="E693">
        <v>43</v>
      </c>
      <c r="F693" t="s">
        <v>1357</v>
      </c>
      <c r="G693" t="s">
        <v>63</v>
      </c>
      <c r="H693">
        <v>9624</v>
      </c>
      <c r="I693" t="s">
        <v>14</v>
      </c>
      <c r="J693">
        <v>2</v>
      </c>
    </row>
    <row r="694" spans="1:10" x14ac:dyDescent="0.25">
      <c r="A694" t="s">
        <v>229</v>
      </c>
      <c r="B694" t="s">
        <v>277</v>
      </c>
      <c r="C694" t="s">
        <v>1036</v>
      </c>
      <c r="D694" t="s">
        <v>3</v>
      </c>
      <c r="E694">
        <v>53</v>
      </c>
      <c r="F694" t="s">
        <v>1358</v>
      </c>
      <c r="G694" t="s">
        <v>21</v>
      </c>
      <c r="H694">
        <v>2915</v>
      </c>
      <c r="I694" t="s">
        <v>4</v>
      </c>
      <c r="J694">
        <v>2</v>
      </c>
    </row>
    <row r="695" spans="1:10" x14ac:dyDescent="0.25">
      <c r="A695" t="s">
        <v>812</v>
      </c>
      <c r="B695" t="s">
        <v>177</v>
      </c>
      <c r="C695" t="s">
        <v>1037</v>
      </c>
      <c r="D695" t="s">
        <v>3</v>
      </c>
      <c r="E695">
        <v>48</v>
      </c>
      <c r="F695" t="s">
        <v>1357</v>
      </c>
      <c r="G695" t="s">
        <v>256</v>
      </c>
      <c r="H695">
        <v>4434</v>
      </c>
      <c r="I695" t="s">
        <v>4</v>
      </c>
      <c r="J695">
        <v>2</v>
      </c>
    </row>
    <row r="696" spans="1:10" x14ac:dyDescent="0.25">
      <c r="A696" t="s">
        <v>465</v>
      </c>
      <c r="B696" t="s">
        <v>361</v>
      </c>
      <c r="C696" t="s">
        <v>774</v>
      </c>
      <c r="D696" t="s">
        <v>3</v>
      </c>
      <c r="E696">
        <v>32</v>
      </c>
      <c r="F696" t="s">
        <v>1357</v>
      </c>
      <c r="G696" t="s">
        <v>47</v>
      </c>
      <c r="H696">
        <v>8239</v>
      </c>
      <c r="I696" t="s">
        <v>4</v>
      </c>
      <c r="J696">
        <v>4</v>
      </c>
    </row>
    <row r="697" spans="1:10" x14ac:dyDescent="0.25">
      <c r="A697" t="s">
        <v>90</v>
      </c>
      <c r="B697" t="s">
        <v>580</v>
      </c>
      <c r="C697" t="s">
        <v>1038</v>
      </c>
      <c r="D697" t="s">
        <v>8</v>
      </c>
      <c r="E697">
        <v>58</v>
      </c>
      <c r="F697" t="s">
        <v>1358</v>
      </c>
      <c r="G697" t="s">
        <v>69</v>
      </c>
      <c r="H697">
        <v>5725</v>
      </c>
      <c r="I697" t="s">
        <v>14</v>
      </c>
      <c r="J697">
        <v>1</v>
      </c>
    </row>
    <row r="698" spans="1:10" x14ac:dyDescent="0.25">
      <c r="A698" t="s">
        <v>77</v>
      </c>
      <c r="B698" t="s">
        <v>215</v>
      </c>
      <c r="C698" t="s">
        <v>1039</v>
      </c>
      <c r="D698" t="s">
        <v>3</v>
      </c>
      <c r="E698">
        <v>28</v>
      </c>
      <c r="F698" t="s">
        <v>1359</v>
      </c>
      <c r="G698" t="s">
        <v>169</v>
      </c>
      <c r="H698">
        <v>8089</v>
      </c>
      <c r="I698" t="s">
        <v>4</v>
      </c>
      <c r="J698">
        <v>2</v>
      </c>
    </row>
    <row r="699" spans="1:10" x14ac:dyDescent="0.25">
      <c r="A699" t="s">
        <v>232</v>
      </c>
      <c r="B699" t="s">
        <v>340</v>
      </c>
      <c r="C699" t="s">
        <v>1040</v>
      </c>
      <c r="D699" t="s">
        <v>8</v>
      </c>
      <c r="E699">
        <v>35</v>
      </c>
      <c r="F699" t="s">
        <v>1357</v>
      </c>
      <c r="G699" t="s">
        <v>63</v>
      </c>
      <c r="H699">
        <v>6127</v>
      </c>
      <c r="I699" t="s">
        <v>14</v>
      </c>
      <c r="J699">
        <v>4</v>
      </c>
    </row>
    <row r="700" spans="1:10" x14ac:dyDescent="0.25">
      <c r="A700" t="s">
        <v>238</v>
      </c>
      <c r="B700" t="s">
        <v>38</v>
      </c>
      <c r="C700" t="s">
        <v>1041</v>
      </c>
      <c r="D700" t="s">
        <v>8</v>
      </c>
      <c r="E700">
        <v>19</v>
      </c>
      <c r="F700" t="s">
        <v>1359</v>
      </c>
      <c r="G700" t="s">
        <v>107</v>
      </c>
      <c r="H700">
        <v>6729</v>
      </c>
      <c r="I700" t="s">
        <v>14</v>
      </c>
      <c r="J700">
        <v>3</v>
      </c>
    </row>
    <row r="701" spans="1:10" x14ac:dyDescent="0.25">
      <c r="A701" t="s">
        <v>271</v>
      </c>
      <c r="B701" t="s">
        <v>561</v>
      </c>
      <c r="C701" t="s">
        <v>1042</v>
      </c>
      <c r="D701" t="s">
        <v>3</v>
      </c>
      <c r="E701">
        <v>40</v>
      </c>
      <c r="F701" t="s">
        <v>1357</v>
      </c>
      <c r="G701" t="s">
        <v>51</v>
      </c>
      <c r="H701">
        <v>1173</v>
      </c>
      <c r="I701" t="s">
        <v>4</v>
      </c>
      <c r="J701">
        <v>5</v>
      </c>
    </row>
    <row r="702" spans="1:10" x14ac:dyDescent="0.25">
      <c r="A702" t="s">
        <v>390</v>
      </c>
      <c r="B702" t="s">
        <v>148</v>
      </c>
      <c r="C702" t="s">
        <v>1043</v>
      </c>
      <c r="D702" t="s">
        <v>8</v>
      </c>
      <c r="E702">
        <v>27</v>
      </c>
      <c r="F702" t="s">
        <v>1359</v>
      </c>
      <c r="G702" t="s">
        <v>231</v>
      </c>
      <c r="H702">
        <v>8563</v>
      </c>
      <c r="I702" t="s">
        <v>4</v>
      </c>
      <c r="J702">
        <v>3</v>
      </c>
    </row>
    <row r="703" spans="1:10" x14ac:dyDescent="0.25">
      <c r="A703" t="s">
        <v>1044</v>
      </c>
      <c r="B703" t="s">
        <v>65</v>
      </c>
      <c r="C703" t="s">
        <v>1045</v>
      </c>
      <c r="D703" t="s">
        <v>8</v>
      </c>
      <c r="E703">
        <v>31</v>
      </c>
      <c r="F703" t="s">
        <v>1357</v>
      </c>
      <c r="G703" t="s">
        <v>114</v>
      </c>
      <c r="H703">
        <v>6850</v>
      </c>
      <c r="I703" t="s">
        <v>14</v>
      </c>
      <c r="J703">
        <v>5</v>
      </c>
    </row>
    <row r="704" spans="1:10" x14ac:dyDescent="0.25">
      <c r="A704" t="s">
        <v>323</v>
      </c>
      <c r="B704" t="s">
        <v>284</v>
      </c>
      <c r="C704" t="s">
        <v>1046</v>
      </c>
      <c r="D704" t="s">
        <v>8</v>
      </c>
      <c r="E704">
        <v>54</v>
      </c>
      <c r="F704" t="s">
        <v>1358</v>
      </c>
      <c r="G704" t="s">
        <v>382</v>
      </c>
      <c r="H704">
        <v>2187</v>
      </c>
      <c r="I704" t="s">
        <v>14</v>
      </c>
      <c r="J704">
        <v>0</v>
      </c>
    </row>
    <row r="705" spans="1:10" x14ac:dyDescent="0.25">
      <c r="A705" t="s">
        <v>963</v>
      </c>
      <c r="B705" t="s">
        <v>478</v>
      </c>
      <c r="C705" t="s">
        <v>1047</v>
      </c>
      <c r="D705" t="s">
        <v>3</v>
      </c>
      <c r="E705">
        <v>53</v>
      </c>
      <c r="F705" t="s">
        <v>1358</v>
      </c>
      <c r="G705" t="s">
        <v>165</v>
      </c>
      <c r="H705">
        <v>2492</v>
      </c>
      <c r="I705" t="s">
        <v>4</v>
      </c>
      <c r="J705">
        <v>1</v>
      </c>
    </row>
    <row r="706" spans="1:10" x14ac:dyDescent="0.25">
      <c r="A706" t="s">
        <v>354</v>
      </c>
      <c r="B706" t="s">
        <v>229</v>
      </c>
      <c r="C706" t="s">
        <v>1048</v>
      </c>
      <c r="D706" t="s">
        <v>8</v>
      </c>
      <c r="E706">
        <v>57</v>
      </c>
      <c r="F706" t="s">
        <v>1358</v>
      </c>
      <c r="G706" t="s">
        <v>270</v>
      </c>
      <c r="H706">
        <v>7687</v>
      </c>
      <c r="I706" t="s">
        <v>4</v>
      </c>
      <c r="J706">
        <v>2</v>
      </c>
    </row>
    <row r="707" spans="1:10" x14ac:dyDescent="0.25">
      <c r="A707" t="s">
        <v>762</v>
      </c>
      <c r="B707" t="s">
        <v>67</v>
      </c>
      <c r="C707" t="s">
        <v>1049</v>
      </c>
      <c r="D707" t="s">
        <v>3</v>
      </c>
      <c r="E707">
        <v>58</v>
      </c>
      <c r="F707" t="s">
        <v>1358</v>
      </c>
      <c r="G707" t="s">
        <v>150</v>
      </c>
      <c r="H707">
        <v>5176</v>
      </c>
      <c r="I707" t="s">
        <v>4</v>
      </c>
      <c r="J707">
        <v>1</v>
      </c>
    </row>
    <row r="708" spans="1:10" x14ac:dyDescent="0.25">
      <c r="A708" t="s">
        <v>44</v>
      </c>
      <c r="B708" t="s">
        <v>78</v>
      </c>
      <c r="C708" t="s">
        <v>1050</v>
      </c>
      <c r="D708" t="s">
        <v>8</v>
      </c>
      <c r="E708">
        <v>60</v>
      </c>
      <c r="F708" t="s">
        <v>1358</v>
      </c>
      <c r="G708" t="s">
        <v>1364</v>
      </c>
      <c r="H708">
        <v>1496</v>
      </c>
      <c r="I708" t="s">
        <v>14</v>
      </c>
      <c r="J708">
        <v>1</v>
      </c>
    </row>
    <row r="709" spans="1:10" x14ac:dyDescent="0.25">
      <c r="A709" t="s">
        <v>419</v>
      </c>
      <c r="B709" t="s">
        <v>294</v>
      </c>
      <c r="C709" t="s">
        <v>1051</v>
      </c>
      <c r="D709" t="s">
        <v>8</v>
      </c>
      <c r="E709">
        <v>30</v>
      </c>
      <c r="F709" t="s">
        <v>1359</v>
      </c>
      <c r="G709" t="s">
        <v>225</v>
      </c>
      <c r="H709">
        <v>3443</v>
      </c>
      <c r="I709" t="s">
        <v>4</v>
      </c>
      <c r="J709">
        <v>4</v>
      </c>
    </row>
    <row r="710" spans="1:10" x14ac:dyDescent="0.25">
      <c r="A710" t="s">
        <v>1013</v>
      </c>
      <c r="B710" t="s">
        <v>530</v>
      </c>
      <c r="C710" t="s">
        <v>1052</v>
      </c>
      <c r="D710" t="s">
        <v>8</v>
      </c>
      <c r="E710">
        <v>54</v>
      </c>
      <c r="F710" t="s">
        <v>1358</v>
      </c>
      <c r="G710" t="s">
        <v>25</v>
      </c>
      <c r="H710">
        <v>8879</v>
      </c>
      <c r="I710" t="s">
        <v>14</v>
      </c>
      <c r="J710">
        <v>2</v>
      </c>
    </row>
    <row r="711" spans="1:10" x14ac:dyDescent="0.25">
      <c r="A711" t="s">
        <v>603</v>
      </c>
      <c r="B711" t="s">
        <v>180</v>
      </c>
      <c r="C711" t="s">
        <v>1053</v>
      </c>
      <c r="D711" t="s">
        <v>8</v>
      </c>
      <c r="E711">
        <v>44</v>
      </c>
      <c r="F711" t="s">
        <v>1357</v>
      </c>
      <c r="G711" t="s">
        <v>32</v>
      </c>
      <c r="H711">
        <v>4973</v>
      </c>
      <c r="I711" t="s">
        <v>4</v>
      </c>
      <c r="J711">
        <v>3</v>
      </c>
    </row>
    <row r="712" spans="1:10" x14ac:dyDescent="0.25">
      <c r="A712" t="s">
        <v>179</v>
      </c>
      <c r="B712" t="s">
        <v>308</v>
      </c>
      <c r="C712" t="s">
        <v>1054</v>
      </c>
      <c r="D712" t="s">
        <v>3</v>
      </c>
      <c r="E712">
        <v>19</v>
      </c>
      <c r="F712" t="s">
        <v>1359</v>
      </c>
      <c r="G712" t="s">
        <v>25</v>
      </c>
      <c r="H712">
        <v>6610</v>
      </c>
      <c r="I712" t="s">
        <v>4</v>
      </c>
      <c r="J712">
        <v>2</v>
      </c>
    </row>
    <row r="713" spans="1:10" x14ac:dyDescent="0.25">
      <c r="A713" t="s">
        <v>111</v>
      </c>
      <c r="B713" t="s">
        <v>105</v>
      </c>
      <c r="C713" t="s">
        <v>1055</v>
      </c>
      <c r="D713" t="s">
        <v>8</v>
      </c>
      <c r="E713">
        <v>38</v>
      </c>
      <c r="F713" t="s">
        <v>1357</v>
      </c>
      <c r="G713" t="s">
        <v>160</v>
      </c>
      <c r="H713">
        <v>6347</v>
      </c>
      <c r="I713" t="s">
        <v>14</v>
      </c>
      <c r="J713">
        <v>2</v>
      </c>
    </row>
    <row r="714" spans="1:10" x14ac:dyDescent="0.25">
      <c r="A714" t="s">
        <v>348</v>
      </c>
      <c r="B714" t="s">
        <v>136</v>
      </c>
      <c r="C714" t="s">
        <v>1056</v>
      </c>
      <c r="D714" t="s">
        <v>3</v>
      </c>
      <c r="E714">
        <v>24</v>
      </c>
      <c r="F714" t="s">
        <v>1359</v>
      </c>
      <c r="G714" t="s">
        <v>234</v>
      </c>
      <c r="H714">
        <v>8002</v>
      </c>
      <c r="I714" t="s">
        <v>14</v>
      </c>
      <c r="J714">
        <v>0</v>
      </c>
    </row>
    <row r="715" spans="1:10" x14ac:dyDescent="0.25">
      <c r="A715" t="s">
        <v>477</v>
      </c>
      <c r="B715" t="s">
        <v>650</v>
      </c>
      <c r="C715" t="s">
        <v>1057</v>
      </c>
      <c r="D715" t="s">
        <v>8</v>
      </c>
      <c r="E715">
        <v>19</v>
      </c>
      <c r="F715" t="s">
        <v>1359</v>
      </c>
      <c r="G715" t="s">
        <v>114</v>
      </c>
      <c r="H715">
        <v>6123</v>
      </c>
      <c r="I715" t="s">
        <v>14</v>
      </c>
      <c r="J715">
        <v>4</v>
      </c>
    </row>
    <row r="716" spans="1:10" x14ac:dyDescent="0.25">
      <c r="A716" t="s">
        <v>22</v>
      </c>
      <c r="B716" t="s">
        <v>61</v>
      </c>
      <c r="C716" t="s">
        <v>1058</v>
      </c>
      <c r="D716" t="s">
        <v>3</v>
      </c>
      <c r="E716">
        <v>18</v>
      </c>
      <c r="F716" t="s">
        <v>1359</v>
      </c>
      <c r="G716" t="s">
        <v>182</v>
      </c>
      <c r="H716">
        <v>6577</v>
      </c>
      <c r="I716" t="s">
        <v>4</v>
      </c>
      <c r="J716">
        <v>1</v>
      </c>
    </row>
    <row r="717" spans="1:10" x14ac:dyDescent="0.25">
      <c r="A717" t="s">
        <v>192</v>
      </c>
      <c r="B717" t="s">
        <v>162</v>
      </c>
      <c r="C717" t="s">
        <v>1059</v>
      </c>
      <c r="D717" t="s">
        <v>8</v>
      </c>
      <c r="E717">
        <v>35</v>
      </c>
      <c r="F717" t="s">
        <v>1357</v>
      </c>
      <c r="G717" t="s">
        <v>69</v>
      </c>
      <c r="H717">
        <v>9970</v>
      </c>
      <c r="I717" t="s">
        <v>14</v>
      </c>
      <c r="J717">
        <v>2</v>
      </c>
    </row>
    <row r="718" spans="1:10" x14ac:dyDescent="0.25">
      <c r="A718" t="s">
        <v>222</v>
      </c>
      <c r="B718" t="s">
        <v>561</v>
      </c>
      <c r="C718" t="s">
        <v>1060</v>
      </c>
      <c r="D718" t="s">
        <v>3</v>
      </c>
      <c r="E718">
        <v>19</v>
      </c>
      <c r="F718" t="s">
        <v>1359</v>
      </c>
      <c r="G718" t="s">
        <v>82</v>
      </c>
      <c r="H718">
        <v>6050</v>
      </c>
      <c r="I718" t="s">
        <v>14</v>
      </c>
      <c r="J718">
        <v>5</v>
      </c>
    </row>
    <row r="719" spans="1:10" x14ac:dyDescent="0.25">
      <c r="A719" t="s">
        <v>657</v>
      </c>
      <c r="B719" t="s">
        <v>215</v>
      </c>
      <c r="C719" t="s">
        <v>1061</v>
      </c>
      <c r="D719" t="s">
        <v>3</v>
      </c>
      <c r="E719">
        <v>18</v>
      </c>
      <c r="F719" t="s">
        <v>1359</v>
      </c>
      <c r="G719" t="s">
        <v>382</v>
      </c>
      <c r="H719">
        <v>7494</v>
      </c>
      <c r="I719" t="s">
        <v>4</v>
      </c>
      <c r="J719">
        <v>2</v>
      </c>
    </row>
    <row r="720" spans="1:10" x14ac:dyDescent="0.25">
      <c r="A720" t="s">
        <v>510</v>
      </c>
      <c r="B720" t="s">
        <v>277</v>
      </c>
      <c r="C720" t="s">
        <v>1062</v>
      </c>
      <c r="D720" t="s">
        <v>8</v>
      </c>
      <c r="E720">
        <v>47</v>
      </c>
      <c r="F720" t="s">
        <v>1357</v>
      </c>
      <c r="G720" t="s">
        <v>234</v>
      </c>
      <c r="H720">
        <v>869</v>
      </c>
      <c r="I720" t="s">
        <v>4</v>
      </c>
      <c r="J720">
        <v>5</v>
      </c>
    </row>
    <row r="721" spans="1:10" x14ac:dyDescent="0.25">
      <c r="A721" t="s">
        <v>458</v>
      </c>
      <c r="B721" t="s">
        <v>45</v>
      </c>
      <c r="C721" t="s">
        <v>1063</v>
      </c>
      <c r="D721" t="s">
        <v>8</v>
      </c>
      <c r="E721">
        <v>20</v>
      </c>
      <c r="F721" t="s">
        <v>1359</v>
      </c>
      <c r="G721" t="s">
        <v>248</v>
      </c>
      <c r="H721">
        <v>9034</v>
      </c>
      <c r="I721" t="s">
        <v>14</v>
      </c>
      <c r="J721">
        <v>1</v>
      </c>
    </row>
    <row r="722" spans="1:10" x14ac:dyDescent="0.25">
      <c r="A722" t="s">
        <v>77</v>
      </c>
      <c r="B722" t="s">
        <v>552</v>
      </c>
      <c r="C722" t="s">
        <v>1064</v>
      </c>
      <c r="D722" t="s">
        <v>3</v>
      </c>
      <c r="E722">
        <v>54</v>
      </c>
      <c r="F722" t="s">
        <v>1358</v>
      </c>
      <c r="G722" t="s">
        <v>114</v>
      </c>
      <c r="H722">
        <v>1488</v>
      </c>
      <c r="I722" t="s">
        <v>14</v>
      </c>
      <c r="J722">
        <v>5</v>
      </c>
    </row>
    <row r="723" spans="1:10" x14ac:dyDescent="0.25">
      <c r="A723" t="s">
        <v>379</v>
      </c>
      <c r="B723" t="s">
        <v>415</v>
      </c>
      <c r="C723" t="s">
        <v>1065</v>
      </c>
      <c r="D723" t="s">
        <v>8</v>
      </c>
      <c r="E723">
        <v>60</v>
      </c>
      <c r="F723" t="s">
        <v>1358</v>
      </c>
      <c r="G723" t="s">
        <v>182</v>
      </c>
      <c r="H723">
        <v>8332</v>
      </c>
      <c r="I723" t="s">
        <v>14</v>
      </c>
      <c r="J723">
        <v>4</v>
      </c>
    </row>
    <row r="724" spans="1:10" x14ac:dyDescent="0.25">
      <c r="A724" t="s">
        <v>379</v>
      </c>
      <c r="B724" t="s">
        <v>122</v>
      </c>
      <c r="C724" t="s">
        <v>1066</v>
      </c>
      <c r="D724" t="s">
        <v>8</v>
      </c>
      <c r="E724">
        <v>26</v>
      </c>
      <c r="F724" t="s">
        <v>1359</v>
      </c>
      <c r="G724" t="s">
        <v>182</v>
      </c>
      <c r="H724">
        <v>6135</v>
      </c>
      <c r="I724" t="s">
        <v>4</v>
      </c>
      <c r="J724">
        <v>5</v>
      </c>
    </row>
    <row r="725" spans="1:10" x14ac:dyDescent="0.25">
      <c r="A725" t="s">
        <v>1067</v>
      </c>
      <c r="B725" t="s">
        <v>371</v>
      </c>
      <c r="C725" t="s">
        <v>1068</v>
      </c>
      <c r="D725" t="s">
        <v>3</v>
      </c>
      <c r="E725">
        <v>42</v>
      </c>
      <c r="F725" t="s">
        <v>1357</v>
      </c>
      <c r="G725" t="s">
        <v>82</v>
      </c>
      <c r="H725">
        <v>6569</v>
      </c>
      <c r="I725" t="s">
        <v>4</v>
      </c>
      <c r="J725">
        <v>5</v>
      </c>
    </row>
    <row r="726" spans="1:10" x14ac:dyDescent="0.25">
      <c r="A726" t="s">
        <v>792</v>
      </c>
      <c r="B726" t="s">
        <v>162</v>
      </c>
      <c r="C726" t="s">
        <v>1069</v>
      </c>
      <c r="D726" t="s">
        <v>8</v>
      </c>
      <c r="E726">
        <v>50</v>
      </c>
      <c r="F726" t="s">
        <v>1357</v>
      </c>
      <c r="G726" t="s">
        <v>293</v>
      </c>
      <c r="H726">
        <v>985</v>
      </c>
      <c r="I726" t="s">
        <v>14</v>
      </c>
      <c r="J726">
        <v>3</v>
      </c>
    </row>
    <row r="727" spans="1:10" x14ac:dyDescent="0.25">
      <c r="A727" t="s">
        <v>812</v>
      </c>
      <c r="B727" t="s">
        <v>459</v>
      </c>
      <c r="C727" t="s">
        <v>1070</v>
      </c>
      <c r="D727" t="s">
        <v>3</v>
      </c>
      <c r="E727">
        <v>47</v>
      </c>
      <c r="F727" t="s">
        <v>1357</v>
      </c>
      <c r="G727" t="s">
        <v>160</v>
      </c>
      <c r="H727">
        <v>3925</v>
      </c>
      <c r="I727" t="s">
        <v>14</v>
      </c>
      <c r="J727">
        <v>0</v>
      </c>
    </row>
    <row r="728" spans="1:10" x14ac:dyDescent="0.25">
      <c r="A728" t="s">
        <v>423</v>
      </c>
      <c r="B728" t="s">
        <v>552</v>
      </c>
      <c r="C728" t="s">
        <v>1071</v>
      </c>
      <c r="D728" t="s">
        <v>8</v>
      </c>
      <c r="E728">
        <v>49</v>
      </c>
      <c r="F728" t="s">
        <v>1357</v>
      </c>
      <c r="G728" t="s">
        <v>303</v>
      </c>
      <c r="H728">
        <v>1081</v>
      </c>
      <c r="I728" t="s">
        <v>14</v>
      </c>
      <c r="J728">
        <v>5</v>
      </c>
    </row>
    <row r="729" spans="1:10" x14ac:dyDescent="0.25">
      <c r="A729" t="s">
        <v>155</v>
      </c>
      <c r="B729" t="s">
        <v>375</v>
      </c>
      <c r="C729" t="s">
        <v>1072</v>
      </c>
      <c r="D729" t="s">
        <v>3</v>
      </c>
      <c r="E729">
        <v>32</v>
      </c>
      <c r="F729" t="s">
        <v>1357</v>
      </c>
      <c r="G729" t="s">
        <v>227</v>
      </c>
      <c r="H729">
        <v>5172</v>
      </c>
      <c r="I729" t="s">
        <v>4</v>
      </c>
      <c r="J729">
        <v>5</v>
      </c>
    </row>
    <row r="730" spans="1:10" x14ac:dyDescent="0.25">
      <c r="A730" t="s">
        <v>625</v>
      </c>
      <c r="B730" t="s">
        <v>204</v>
      </c>
      <c r="C730" t="s">
        <v>1073</v>
      </c>
      <c r="D730" t="s">
        <v>3</v>
      </c>
      <c r="E730">
        <v>42</v>
      </c>
      <c r="F730" t="s">
        <v>1357</v>
      </c>
      <c r="G730" t="s">
        <v>69</v>
      </c>
      <c r="H730">
        <v>8359</v>
      </c>
      <c r="I730" t="s">
        <v>14</v>
      </c>
      <c r="J730">
        <v>5</v>
      </c>
    </row>
    <row r="731" spans="1:10" x14ac:dyDescent="0.25">
      <c r="A731" t="s">
        <v>473</v>
      </c>
      <c r="B731" t="s">
        <v>433</v>
      </c>
      <c r="C731" t="s">
        <v>1074</v>
      </c>
      <c r="D731" t="s">
        <v>8</v>
      </c>
      <c r="E731">
        <v>59</v>
      </c>
      <c r="F731" t="s">
        <v>1358</v>
      </c>
      <c r="G731" t="s">
        <v>82</v>
      </c>
      <c r="H731">
        <v>659</v>
      </c>
      <c r="I731" t="s">
        <v>14</v>
      </c>
      <c r="J731">
        <v>4</v>
      </c>
    </row>
    <row r="732" spans="1:10" x14ac:dyDescent="0.25">
      <c r="A732" t="s">
        <v>698</v>
      </c>
      <c r="B732" t="s">
        <v>415</v>
      </c>
      <c r="C732" t="s">
        <v>1075</v>
      </c>
      <c r="D732" t="s">
        <v>8</v>
      </c>
      <c r="E732">
        <v>49</v>
      </c>
      <c r="F732" t="s">
        <v>1357</v>
      </c>
      <c r="G732" t="s">
        <v>25</v>
      </c>
      <c r="H732">
        <v>9527</v>
      </c>
      <c r="I732" t="s">
        <v>14</v>
      </c>
      <c r="J732">
        <v>5</v>
      </c>
    </row>
    <row r="733" spans="1:10" x14ac:dyDescent="0.25">
      <c r="A733" t="s">
        <v>323</v>
      </c>
      <c r="B733" t="s">
        <v>249</v>
      </c>
      <c r="C733" t="s">
        <v>1076</v>
      </c>
      <c r="D733" t="s">
        <v>8</v>
      </c>
      <c r="E733">
        <v>21</v>
      </c>
      <c r="F733" t="s">
        <v>1359</v>
      </c>
      <c r="G733" t="s">
        <v>290</v>
      </c>
      <c r="H733">
        <v>983</v>
      </c>
      <c r="I733" t="s">
        <v>14</v>
      </c>
      <c r="J733">
        <v>5</v>
      </c>
    </row>
    <row r="734" spans="1:10" x14ac:dyDescent="0.25">
      <c r="A734" t="s">
        <v>238</v>
      </c>
      <c r="B734" t="s">
        <v>277</v>
      </c>
      <c r="C734" t="s">
        <v>1077</v>
      </c>
      <c r="D734" t="s">
        <v>8</v>
      </c>
      <c r="E734">
        <v>21</v>
      </c>
      <c r="F734" t="s">
        <v>1359</v>
      </c>
      <c r="G734" t="s">
        <v>1364</v>
      </c>
      <c r="H734">
        <v>5883</v>
      </c>
      <c r="I734" t="s">
        <v>4</v>
      </c>
      <c r="J734">
        <v>3</v>
      </c>
    </row>
    <row r="735" spans="1:10" x14ac:dyDescent="0.25">
      <c r="A735" t="s">
        <v>762</v>
      </c>
      <c r="B735" t="s">
        <v>504</v>
      </c>
      <c r="C735" t="s">
        <v>1078</v>
      </c>
      <c r="D735" t="s">
        <v>3</v>
      </c>
      <c r="E735">
        <v>57</v>
      </c>
      <c r="F735" t="s">
        <v>1358</v>
      </c>
      <c r="G735" t="s">
        <v>25</v>
      </c>
      <c r="H735">
        <v>1181</v>
      </c>
      <c r="I735" t="s">
        <v>4</v>
      </c>
      <c r="J735">
        <v>0</v>
      </c>
    </row>
    <row r="736" spans="1:10" x14ac:dyDescent="0.25">
      <c r="A736" t="s">
        <v>637</v>
      </c>
      <c r="B736" t="s">
        <v>463</v>
      </c>
      <c r="C736" t="s">
        <v>1079</v>
      </c>
      <c r="D736" t="s">
        <v>3</v>
      </c>
      <c r="E736">
        <v>38</v>
      </c>
      <c r="F736" t="s">
        <v>1357</v>
      </c>
      <c r="G736" t="s">
        <v>160</v>
      </c>
      <c r="H736">
        <v>4817</v>
      </c>
      <c r="I736" t="s">
        <v>4</v>
      </c>
      <c r="J736">
        <v>0</v>
      </c>
    </row>
    <row r="737" spans="1:10" x14ac:dyDescent="0.25">
      <c r="A737" t="s">
        <v>200</v>
      </c>
      <c r="B737" t="s">
        <v>74</v>
      </c>
      <c r="C737" t="s">
        <v>1080</v>
      </c>
      <c r="D737" t="s">
        <v>3</v>
      </c>
      <c r="E737">
        <v>47</v>
      </c>
      <c r="F737" t="s">
        <v>1357</v>
      </c>
      <c r="G737" t="s">
        <v>231</v>
      </c>
      <c r="H737">
        <v>4877</v>
      </c>
      <c r="I737" t="s">
        <v>14</v>
      </c>
      <c r="J737">
        <v>3</v>
      </c>
    </row>
    <row r="738" spans="1:10" x14ac:dyDescent="0.25">
      <c r="A738" t="s">
        <v>100</v>
      </c>
      <c r="B738" t="s">
        <v>261</v>
      </c>
      <c r="C738" t="s">
        <v>1081</v>
      </c>
      <c r="D738" t="s">
        <v>8</v>
      </c>
      <c r="E738">
        <v>49</v>
      </c>
      <c r="F738" t="s">
        <v>1357</v>
      </c>
      <c r="G738" t="s">
        <v>290</v>
      </c>
      <c r="H738">
        <v>3892</v>
      </c>
      <c r="I738" t="s">
        <v>4</v>
      </c>
      <c r="J738">
        <v>2</v>
      </c>
    </row>
    <row r="739" spans="1:10" x14ac:dyDescent="0.25">
      <c r="A739" t="s">
        <v>56</v>
      </c>
      <c r="B739" t="s">
        <v>67</v>
      </c>
      <c r="C739" t="s">
        <v>1082</v>
      </c>
      <c r="D739" t="s">
        <v>8</v>
      </c>
      <c r="E739">
        <v>30</v>
      </c>
      <c r="F739" t="s">
        <v>1359</v>
      </c>
      <c r="G739" t="s">
        <v>256</v>
      </c>
      <c r="H739">
        <v>5428</v>
      </c>
      <c r="I739" t="s">
        <v>14</v>
      </c>
      <c r="J739">
        <v>4</v>
      </c>
    </row>
    <row r="740" spans="1:10" x14ac:dyDescent="0.25">
      <c r="A740" t="s">
        <v>495</v>
      </c>
      <c r="B740" t="s">
        <v>478</v>
      </c>
      <c r="C740" t="s">
        <v>1083</v>
      </c>
      <c r="D740" t="s">
        <v>3</v>
      </c>
      <c r="E740">
        <v>43</v>
      </c>
      <c r="F740" t="s">
        <v>1357</v>
      </c>
      <c r="G740" t="s">
        <v>134</v>
      </c>
      <c r="H740">
        <v>6052</v>
      </c>
      <c r="I740" t="s">
        <v>4</v>
      </c>
      <c r="J740">
        <v>5</v>
      </c>
    </row>
    <row r="741" spans="1:10" x14ac:dyDescent="0.25">
      <c r="A741" t="s">
        <v>390</v>
      </c>
      <c r="B741" t="s">
        <v>88</v>
      </c>
      <c r="C741" t="s">
        <v>1084</v>
      </c>
      <c r="D741" t="s">
        <v>8</v>
      </c>
      <c r="E741">
        <v>41</v>
      </c>
      <c r="F741" t="s">
        <v>1357</v>
      </c>
      <c r="G741" t="s">
        <v>270</v>
      </c>
      <c r="H741">
        <v>8601</v>
      </c>
      <c r="I741" t="s">
        <v>14</v>
      </c>
      <c r="J741">
        <v>2</v>
      </c>
    </row>
    <row r="742" spans="1:10" x14ac:dyDescent="0.25">
      <c r="A742" t="s">
        <v>328</v>
      </c>
      <c r="B742" t="s">
        <v>268</v>
      </c>
      <c r="C742" t="s">
        <v>1085</v>
      </c>
      <c r="D742" t="s">
        <v>3</v>
      </c>
      <c r="E742">
        <v>35</v>
      </c>
      <c r="F742" t="s">
        <v>1357</v>
      </c>
      <c r="G742" t="s">
        <v>211</v>
      </c>
      <c r="H742">
        <v>9621</v>
      </c>
      <c r="I742" t="s">
        <v>4</v>
      </c>
      <c r="J742">
        <v>0</v>
      </c>
    </row>
    <row r="743" spans="1:10" x14ac:dyDescent="0.25">
      <c r="A743" t="s">
        <v>60</v>
      </c>
      <c r="B743" t="s">
        <v>84</v>
      </c>
      <c r="C743" t="s">
        <v>1086</v>
      </c>
      <c r="D743" t="s">
        <v>3</v>
      </c>
      <c r="E743">
        <v>49</v>
      </c>
      <c r="F743" t="s">
        <v>1357</v>
      </c>
      <c r="G743" t="s">
        <v>169</v>
      </c>
      <c r="H743">
        <v>6984</v>
      </c>
      <c r="I743" t="s">
        <v>14</v>
      </c>
      <c r="J743">
        <v>3</v>
      </c>
    </row>
    <row r="744" spans="1:10" x14ac:dyDescent="0.25">
      <c r="A744" t="s">
        <v>319</v>
      </c>
      <c r="B744" t="s">
        <v>249</v>
      </c>
      <c r="C744" t="s">
        <v>1087</v>
      </c>
      <c r="D744" t="s">
        <v>3</v>
      </c>
      <c r="E744">
        <v>33</v>
      </c>
      <c r="F744" t="s">
        <v>1357</v>
      </c>
      <c r="G744" t="s">
        <v>63</v>
      </c>
      <c r="H744">
        <v>1012</v>
      </c>
      <c r="I744" t="s">
        <v>14</v>
      </c>
      <c r="J744">
        <v>3</v>
      </c>
    </row>
    <row r="745" spans="1:10" x14ac:dyDescent="0.25">
      <c r="A745" t="s">
        <v>484</v>
      </c>
      <c r="B745" t="s">
        <v>274</v>
      </c>
      <c r="C745" t="s">
        <v>1088</v>
      </c>
      <c r="D745" t="s">
        <v>3</v>
      </c>
      <c r="E745">
        <v>41</v>
      </c>
      <c r="F745" t="s">
        <v>1357</v>
      </c>
      <c r="G745" t="s">
        <v>266</v>
      </c>
      <c r="H745">
        <v>9971</v>
      </c>
      <c r="I745" t="s">
        <v>4</v>
      </c>
      <c r="J745">
        <v>4</v>
      </c>
    </row>
    <row r="746" spans="1:10" x14ac:dyDescent="0.25">
      <c r="A746" t="s">
        <v>489</v>
      </c>
      <c r="B746" t="s">
        <v>105</v>
      </c>
      <c r="C746" t="s">
        <v>1089</v>
      </c>
      <c r="D746" t="s">
        <v>3</v>
      </c>
      <c r="E746">
        <v>29</v>
      </c>
      <c r="F746" t="s">
        <v>1359</v>
      </c>
      <c r="G746" t="s">
        <v>280</v>
      </c>
      <c r="H746">
        <v>4864</v>
      </c>
      <c r="I746" t="s">
        <v>4</v>
      </c>
      <c r="J746">
        <v>2</v>
      </c>
    </row>
    <row r="747" spans="1:10" x14ac:dyDescent="0.25">
      <c r="A747" t="s">
        <v>512</v>
      </c>
      <c r="B747" t="s">
        <v>604</v>
      </c>
      <c r="C747" t="s">
        <v>1090</v>
      </c>
      <c r="D747" t="s">
        <v>3</v>
      </c>
      <c r="E747">
        <v>51</v>
      </c>
      <c r="F747" t="s">
        <v>1358</v>
      </c>
      <c r="G747" t="s">
        <v>131</v>
      </c>
      <c r="H747">
        <v>8075</v>
      </c>
      <c r="I747" t="s">
        <v>14</v>
      </c>
      <c r="J747">
        <v>0</v>
      </c>
    </row>
    <row r="748" spans="1:10" x14ac:dyDescent="0.25">
      <c r="A748" t="s">
        <v>203</v>
      </c>
      <c r="B748" t="s">
        <v>415</v>
      </c>
      <c r="C748" t="s">
        <v>1091</v>
      </c>
      <c r="D748" t="s">
        <v>8</v>
      </c>
      <c r="E748">
        <v>24</v>
      </c>
      <c r="F748" t="s">
        <v>1359</v>
      </c>
      <c r="G748" t="s">
        <v>231</v>
      </c>
      <c r="H748">
        <v>9012</v>
      </c>
      <c r="I748" t="s">
        <v>4</v>
      </c>
      <c r="J748">
        <v>1</v>
      </c>
    </row>
    <row r="749" spans="1:10" x14ac:dyDescent="0.25">
      <c r="A749" t="s">
        <v>145</v>
      </c>
      <c r="B749" t="s">
        <v>88</v>
      </c>
      <c r="C749" t="s">
        <v>1092</v>
      </c>
      <c r="D749" t="s">
        <v>8</v>
      </c>
      <c r="E749">
        <v>55</v>
      </c>
      <c r="F749" t="s">
        <v>1358</v>
      </c>
      <c r="G749" t="s">
        <v>128</v>
      </c>
      <c r="H749">
        <v>4060</v>
      </c>
      <c r="I749" t="s">
        <v>4</v>
      </c>
      <c r="J749">
        <v>1</v>
      </c>
    </row>
    <row r="750" spans="1:10" x14ac:dyDescent="0.25">
      <c r="A750" t="s">
        <v>333</v>
      </c>
      <c r="B750" t="s">
        <v>340</v>
      </c>
      <c r="C750" t="s">
        <v>1093</v>
      </c>
      <c r="D750" t="s">
        <v>3</v>
      </c>
      <c r="E750">
        <v>50</v>
      </c>
      <c r="F750" t="s">
        <v>1357</v>
      </c>
      <c r="G750" t="s">
        <v>131</v>
      </c>
      <c r="H750">
        <v>4120</v>
      </c>
      <c r="I750" t="s">
        <v>4</v>
      </c>
      <c r="J750">
        <v>4</v>
      </c>
    </row>
    <row r="751" spans="1:10" x14ac:dyDescent="0.25">
      <c r="A751" t="s">
        <v>155</v>
      </c>
      <c r="B751" t="s">
        <v>19</v>
      </c>
      <c r="C751" t="s">
        <v>1094</v>
      </c>
      <c r="D751" t="s">
        <v>3</v>
      </c>
      <c r="E751">
        <v>50</v>
      </c>
      <c r="F751" t="s">
        <v>1357</v>
      </c>
      <c r="G751" t="s">
        <v>199</v>
      </c>
      <c r="H751">
        <v>2287</v>
      </c>
      <c r="I751" t="s">
        <v>4</v>
      </c>
      <c r="J751">
        <v>1</v>
      </c>
    </row>
    <row r="752" spans="1:10" x14ac:dyDescent="0.25">
      <c r="A752" t="s">
        <v>176</v>
      </c>
      <c r="B752" t="s">
        <v>459</v>
      </c>
      <c r="C752" t="s">
        <v>1095</v>
      </c>
      <c r="D752" t="s">
        <v>3</v>
      </c>
      <c r="E752">
        <v>58</v>
      </c>
      <c r="F752" t="s">
        <v>1358</v>
      </c>
      <c r="G752" t="s">
        <v>55</v>
      </c>
      <c r="H752">
        <v>7987</v>
      </c>
      <c r="I752" t="s">
        <v>4</v>
      </c>
      <c r="J752">
        <v>3</v>
      </c>
    </row>
    <row r="753" spans="1:10" x14ac:dyDescent="0.25">
      <c r="A753" t="s">
        <v>1096</v>
      </c>
      <c r="B753" t="s">
        <v>88</v>
      </c>
      <c r="C753" t="s">
        <v>1097</v>
      </c>
      <c r="D753" t="s">
        <v>3</v>
      </c>
      <c r="E753">
        <v>30</v>
      </c>
      <c r="F753" t="s">
        <v>1359</v>
      </c>
      <c r="G753" t="s">
        <v>9</v>
      </c>
      <c r="H753">
        <v>9137</v>
      </c>
      <c r="I753" t="s">
        <v>14</v>
      </c>
      <c r="J753">
        <v>2</v>
      </c>
    </row>
    <row r="754" spans="1:10" x14ac:dyDescent="0.25">
      <c r="A754" t="s">
        <v>523</v>
      </c>
      <c r="B754" t="s">
        <v>324</v>
      </c>
      <c r="C754" t="s">
        <v>1098</v>
      </c>
      <c r="D754" t="s">
        <v>3</v>
      </c>
      <c r="E754">
        <v>51</v>
      </c>
      <c r="F754" t="s">
        <v>1358</v>
      </c>
      <c r="G754" t="s">
        <v>280</v>
      </c>
      <c r="H754">
        <v>3364</v>
      </c>
      <c r="I754" t="s">
        <v>4</v>
      </c>
      <c r="J754">
        <v>0</v>
      </c>
    </row>
    <row r="755" spans="1:10" x14ac:dyDescent="0.25">
      <c r="A755" t="s">
        <v>307</v>
      </c>
      <c r="B755" t="s">
        <v>177</v>
      </c>
      <c r="C755" t="s">
        <v>1099</v>
      </c>
      <c r="D755" t="s">
        <v>3</v>
      </c>
      <c r="E755">
        <v>50</v>
      </c>
      <c r="F755" t="s">
        <v>1357</v>
      </c>
      <c r="G755" t="s">
        <v>1364</v>
      </c>
      <c r="H755">
        <v>5999</v>
      </c>
      <c r="I755" t="s">
        <v>4</v>
      </c>
      <c r="J755">
        <v>5</v>
      </c>
    </row>
    <row r="756" spans="1:10" x14ac:dyDescent="0.25">
      <c r="A756" t="s">
        <v>157</v>
      </c>
      <c r="B756" t="s">
        <v>261</v>
      </c>
      <c r="C756" t="s">
        <v>1100</v>
      </c>
      <c r="D756" t="s">
        <v>3</v>
      </c>
      <c r="E756">
        <v>45</v>
      </c>
      <c r="F756" t="s">
        <v>1357</v>
      </c>
      <c r="G756" t="s">
        <v>293</v>
      </c>
      <c r="H756">
        <v>3334</v>
      </c>
      <c r="I756" t="s">
        <v>4</v>
      </c>
      <c r="J756">
        <v>2</v>
      </c>
    </row>
    <row r="757" spans="1:10" x14ac:dyDescent="0.25">
      <c r="A757" t="s">
        <v>894</v>
      </c>
      <c r="B757" t="s">
        <v>61</v>
      </c>
      <c r="C757" t="s">
        <v>1101</v>
      </c>
      <c r="D757" t="s">
        <v>8</v>
      </c>
      <c r="E757">
        <v>30</v>
      </c>
      <c r="F757" t="s">
        <v>1359</v>
      </c>
      <c r="G757" t="s">
        <v>197</v>
      </c>
      <c r="H757">
        <v>2894</v>
      </c>
      <c r="I757" t="s">
        <v>14</v>
      </c>
      <c r="J757">
        <v>2</v>
      </c>
    </row>
    <row r="758" spans="1:10" x14ac:dyDescent="0.25">
      <c r="A758" t="s">
        <v>465</v>
      </c>
      <c r="B758" t="s">
        <v>185</v>
      </c>
      <c r="C758" t="s">
        <v>1102</v>
      </c>
      <c r="D758" t="s">
        <v>3</v>
      </c>
      <c r="E758">
        <v>24</v>
      </c>
      <c r="F758" t="s">
        <v>1359</v>
      </c>
      <c r="G758" t="s">
        <v>187</v>
      </c>
      <c r="H758">
        <v>9109</v>
      </c>
      <c r="I758" t="s">
        <v>4</v>
      </c>
      <c r="J758">
        <v>2</v>
      </c>
    </row>
    <row r="759" spans="1:10" x14ac:dyDescent="0.25">
      <c r="A759" t="s">
        <v>370</v>
      </c>
      <c r="B759" t="s">
        <v>415</v>
      </c>
      <c r="C759" t="s">
        <v>1103</v>
      </c>
      <c r="D759" t="s">
        <v>8</v>
      </c>
      <c r="E759">
        <v>39</v>
      </c>
      <c r="F759" t="s">
        <v>1357</v>
      </c>
      <c r="G759" t="s">
        <v>150</v>
      </c>
      <c r="H759">
        <v>9103</v>
      </c>
      <c r="I759" t="s">
        <v>4</v>
      </c>
      <c r="J759">
        <v>1</v>
      </c>
    </row>
    <row r="760" spans="1:10" x14ac:dyDescent="0.25">
      <c r="A760" t="s">
        <v>512</v>
      </c>
      <c r="B760" t="s">
        <v>556</v>
      </c>
      <c r="C760" t="s">
        <v>1104</v>
      </c>
      <c r="D760" t="s">
        <v>3</v>
      </c>
      <c r="E760">
        <v>57</v>
      </c>
      <c r="F760" t="s">
        <v>1358</v>
      </c>
      <c r="G760" t="s">
        <v>234</v>
      </c>
      <c r="H760">
        <v>2218</v>
      </c>
      <c r="I760" t="s">
        <v>4</v>
      </c>
      <c r="J760">
        <v>5</v>
      </c>
    </row>
    <row r="761" spans="1:10" x14ac:dyDescent="0.25">
      <c r="A761" t="s">
        <v>129</v>
      </c>
      <c r="B761" t="s">
        <v>409</v>
      </c>
      <c r="C761" t="s">
        <v>1105</v>
      </c>
      <c r="D761" t="s">
        <v>3</v>
      </c>
      <c r="E761">
        <v>59</v>
      </c>
      <c r="F761" t="s">
        <v>1358</v>
      </c>
      <c r="G761" t="s">
        <v>107</v>
      </c>
      <c r="H761">
        <v>6699</v>
      </c>
      <c r="I761" t="s">
        <v>4</v>
      </c>
      <c r="J761">
        <v>1</v>
      </c>
    </row>
    <row r="762" spans="1:10" x14ac:dyDescent="0.25">
      <c r="A762" t="s">
        <v>922</v>
      </c>
      <c r="B762" t="s">
        <v>392</v>
      </c>
      <c r="C762" t="s">
        <v>1106</v>
      </c>
      <c r="D762" t="s">
        <v>3</v>
      </c>
      <c r="E762">
        <v>59</v>
      </c>
      <c r="F762" t="s">
        <v>1358</v>
      </c>
      <c r="G762" t="s">
        <v>227</v>
      </c>
      <c r="H762">
        <v>5102</v>
      </c>
      <c r="I762" t="s">
        <v>14</v>
      </c>
      <c r="J762">
        <v>0</v>
      </c>
    </row>
    <row r="763" spans="1:10" x14ac:dyDescent="0.25">
      <c r="A763" t="s">
        <v>188</v>
      </c>
      <c r="B763" t="s">
        <v>358</v>
      </c>
      <c r="C763" t="s">
        <v>1107</v>
      </c>
      <c r="D763" t="s">
        <v>8</v>
      </c>
      <c r="E763">
        <v>23</v>
      </c>
      <c r="F763" t="s">
        <v>1359</v>
      </c>
      <c r="G763" t="s">
        <v>13</v>
      </c>
      <c r="H763">
        <v>6186</v>
      </c>
      <c r="I763" t="s">
        <v>4</v>
      </c>
      <c r="J763">
        <v>3</v>
      </c>
    </row>
    <row r="764" spans="1:10" x14ac:dyDescent="0.25">
      <c r="A764" t="s">
        <v>119</v>
      </c>
      <c r="B764" t="s">
        <v>88</v>
      </c>
      <c r="C764" t="s">
        <v>1108</v>
      </c>
      <c r="D764" t="s">
        <v>8</v>
      </c>
      <c r="E764">
        <v>27</v>
      </c>
      <c r="F764" t="s">
        <v>1359</v>
      </c>
      <c r="G764" t="s">
        <v>69</v>
      </c>
      <c r="H764">
        <v>794</v>
      </c>
      <c r="I764" t="s">
        <v>4</v>
      </c>
      <c r="J764">
        <v>1</v>
      </c>
    </row>
    <row r="765" spans="1:10" x14ac:dyDescent="0.25">
      <c r="A765" t="s">
        <v>240</v>
      </c>
      <c r="B765" t="s">
        <v>317</v>
      </c>
      <c r="C765" t="s">
        <v>1109</v>
      </c>
      <c r="D765" t="s">
        <v>3</v>
      </c>
      <c r="E765">
        <v>30</v>
      </c>
      <c r="F765" t="s">
        <v>1359</v>
      </c>
      <c r="G765" t="s">
        <v>118</v>
      </c>
      <c r="H765">
        <v>1951</v>
      </c>
      <c r="I765" t="s">
        <v>14</v>
      </c>
      <c r="J765">
        <v>4</v>
      </c>
    </row>
    <row r="766" spans="1:10" x14ac:dyDescent="0.25">
      <c r="A766" t="s">
        <v>928</v>
      </c>
      <c r="B766" t="s">
        <v>301</v>
      </c>
      <c r="C766" t="s">
        <v>1110</v>
      </c>
      <c r="D766" t="s">
        <v>8</v>
      </c>
      <c r="E766">
        <v>19</v>
      </c>
      <c r="F766" t="s">
        <v>1359</v>
      </c>
      <c r="G766" t="s">
        <v>197</v>
      </c>
      <c r="H766">
        <v>9549</v>
      </c>
      <c r="I766" t="s">
        <v>14</v>
      </c>
      <c r="J766">
        <v>4</v>
      </c>
    </row>
    <row r="767" spans="1:10" x14ac:dyDescent="0.25">
      <c r="A767" t="s">
        <v>257</v>
      </c>
      <c r="B767" t="s">
        <v>65</v>
      </c>
      <c r="C767" t="s">
        <v>1111</v>
      </c>
      <c r="D767" t="s">
        <v>3</v>
      </c>
      <c r="E767">
        <v>45</v>
      </c>
      <c r="F767" t="s">
        <v>1357</v>
      </c>
      <c r="G767" t="s">
        <v>1364</v>
      </c>
      <c r="H767">
        <v>5343</v>
      </c>
      <c r="I767" t="s">
        <v>4</v>
      </c>
      <c r="J767">
        <v>5</v>
      </c>
    </row>
    <row r="768" spans="1:10" x14ac:dyDescent="0.25">
      <c r="A768" t="s">
        <v>314</v>
      </c>
      <c r="B768" t="s">
        <v>392</v>
      </c>
      <c r="C768" t="s">
        <v>1112</v>
      </c>
      <c r="D768" t="s">
        <v>8</v>
      </c>
      <c r="E768">
        <v>22</v>
      </c>
      <c r="F768" t="s">
        <v>1359</v>
      </c>
      <c r="G768" t="s">
        <v>266</v>
      </c>
      <c r="H768">
        <v>6035</v>
      </c>
      <c r="I768" t="s">
        <v>14</v>
      </c>
      <c r="J768">
        <v>2</v>
      </c>
    </row>
    <row r="769" spans="1:10" x14ac:dyDescent="0.25">
      <c r="A769" t="s">
        <v>288</v>
      </c>
      <c r="B769" t="s">
        <v>459</v>
      </c>
      <c r="C769" t="s">
        <v>1113</v>
      </c>
      <c r="D769" t="s">
        <v>8</v>
      </c>
      <c r="E769">
        <v>18</v>
      </c>
      <c r="F769" t="s">
        <v>1359</v>
      </c>
      <c r="G769" t="s">
        <v>128</v>
      </c>
      <c r="H769">
        <v>6654</v>
      </c>
      <c r="I769" t="s">
        <v>4</v>
      </c>
      <c r="J769">
        <v>0</v>
      </c>
    </row>
    <row r="770" spans="1:10" x14ac:dyDescent="0.25">
      <c r="A770" t="s">
        <v>642</v>
      </c>
      <c r="B770" t="s">
        <v>174</v>
      </c>
      <c r="C770" t="s">
        <v>1114</v>
      </c>
      <c r="D770" t="s">
        <v>3</v>
      </c>
      <c r="E770">
        <v>39</v>
      </c>
      <c r="F770" t="s">
        <v>1357</v>
      </c>
      <c r="G770" t="s">
        <v>217</v>
      </c>
      <c r="H770">
        <v>918</v>
      </c>
      <c r="I770" t="s">
        <v>4</v>
      </c>
      <c r="J770">
        <v>1</v>
      </c>
    </row>
    <row r="771" spans="1:10" x14ac:dyDescent="0.25">
      <c r="A771" t="s">
        <v>312</v>
      </c>
      <c r="B771" t="s">
        <v>371</v>
      </c>
      <c r="C771" t="s">
        <v>1115</v>
      </c>
      <c r="D771" t="s">
        <v>3</v>
      </c>
      <c r="E771">
        <v>36</v>
      </c>
      <c r="F771" t="s">
        <v>1357</v>
      </c>
      <c r="G771" t="s">
        <v>51</v>
      </c>
      <c r="H771">
        <v>7866</v>
      </c>
      <c r="I771" t="s">
        <v>4</v>
      </c>
      <c r="J771">
        <v>4</v>
      </c>
    </row>
    <row r="772" spans="1:10" x14ac:dyDescent="0.25">
      <c r="A772" t="s">
        <v>370</v>
      </c>
      <c r="B772" t="s">
        <v>27</v>
      </c>
      <c r="C772" t="s">
        <v>1116</v>
      </c>
      <c r="D772" t="s">
        <v>8</v>
      </c>
      <c r="E772">
        <v>26</v>
      </c>
      <c r="F772" t="s">
        <v>1359</v>
      </c>
      <c r="G772" t="s">
        <v>76</v>
      </c>
      <c r="H772">
        <v>5200</v>
      </c>
      <c r="I772" t="s">
        <v>4</v>
      </c>
      <c r="J772">
        <v>3</v>
      </c>
    </row>
    <row r="773" spans="1:10" x14ac:dyDescent="0.25">
      <c r="A773" t="s">
        <v>214</v>
      </c>
      <c r="B773" t="s">
        <v>392</v>
      </c>
      <c r="C773" t="s">
        <v>1117</v>
      </c>
      <c r="D773" t="s">
        <v>3</v>
      </c>
      <c r="E773">
        <v>35</v>
      </c>
      <c r="F773" t="s">
        <v>1357</v>
      </c>
      <c r="G773" t="s">
        <v>47</v>
      </c>
      <c r="H773">
        <v>7033</v>
      </c>
      <c r="I773" t="s">
        <v>14</v>
      </c>
      <c r="J773">
        <v>2</v>
      </c>
    </row>
    <row r="774" spans="1:10" x14ac:dyDescent="0.25">
      <c r="A774" t="s">
        <v>731</v>
      </c>
      <c r="B774" t="s">
        <v>513</v>
      </c>
      <c r="C774" t="s">
        <v>1118</v>
      </c>
      <c r="D774" t="s">
        <v>8</v>
      </c>
      <c r="E774">
        <v>44</v>
      </c>
      <c r="F774" t="s">
        <v>1357</v>
      </c>
      <c r="G774" t="s">
        <v>29</v>
      </c>
      <c r="H774">
        <v>6370</v>
      </c>
      <c r="I774" t="s">
        <v>14</v>
      </c>
      <c r="J774">
        <v>2</v>
      </c>
    </row>
    <row r="775" spans="1:10" x14ac:dyDescent="0.25">
      <c r="A775" t="s">
        <v>310</v>
      </c>
      <c r="B775" t="s">
        <v>361</v>
      </c>
      <c r="C775" t="s">
        <v>1119</v>
      </c>
      <c r="D775" t="s">
        <v>8</v>
      </c>
      <c r="E775">
        <v>30</v>
      </c>
      <c r="F775" t="s">
        <v>1359</v>
      </c>
      <c r="G775" t="s">
        <v>118</v>
      </c>
      <c r="H775">
        <v>3816</v>
      </c>
      <c r="I775" t="s">
        <v>4</v>
      </c>
      <c r="J775">
        <v>3</v>
      </c>
    </row>
    <row r="776" spans="1:10" x14ac:dyDescent="0.25">
      <c r="A776" t="s">
        <v>568</v>
      </c>
      <c r="B776" t="s">
        <v>122</v>
      </c>
      <c r="C776" t="s">
        <v>1120</v>
      </c>
      <c r="D776" t="s">
        <v>3</v>
      </c>
      <c r="E776">
        <v>26</v>
      </c>
      <c r="F776" t="s">
        <v>1359</v>
      </c>
      <c r="G776" t="s">
        <v>114</v>
      </c>
      <c r="H776">
        <v>1258</v>
      </c>
      <c r="I776" t="s">
        <v>14</v>
      </c>
      <c r="J776">
        <v>3</v>
      </c>
    </row>
    <row r="777" spans="1:10" x14ac:dyDescent="0.25">
      <c r="A777" t="s">
        <v>525</v>
      </c>
      <c r="B777" t="s">
        <v>167</v>
      </c>
      <c r="C777" t="s">
        <v>1121</v>
      </c>
      <c r="D777" t="s">
        <v>8</v>
      </c>
      <c r="E777">
        <v>36</v>
      </c>
      <c r="F777" t="s">
        <v>1357</v>
      </c>
      <c r="G777" t="s">
        <v>107</v>
      </c>
      <c r="H777">
        <v>8461</v>
      </c>
      <c r="I777" t="s">
        <v>4</v>
      </c>
      <c r="J777">
        <v>5</v>
      </c>
    </row>
    <row r="778" spans="1:10" x14ac:dyDescent="0.25">
      <c r="A778" t="s">
        <v>515</v>
      </c>
      <c r="B778" t="s">
        <v>114</v>
      </c>
      <c r="C778" t="s">
        <v>1122</v>
      </c>
      <c r="D778" t="s">
        <v>3</v>
      </c>
      <c r="E778">
        <v>55</v>
      </c>
      <c r="F778" t="s">
        <v>1358</v>
      </c>
      <c r="G778" t="s">
        <v>217</v>
      </c>
      <c r="H778">
        <v>6182</v>
      </c>
      <c r="I778" t="s">
        <v>4</v>
      </c>
      <c r="J778">
        <v>1</v>
      </c>
    </row>
    <row r="779" spans="1:10" x14ac:dyDescent="0.25">
      <c r="A779" t="s">
        <v>400</v>
      </c>
      <c r="B779" t="s">
        <v>201</v>
      </c>
      <c r="C779" t="s">
        <v>1123</v>
      </c>
      <c r="D779" t="s">
        <v>3</v>
      </c>
      <c r="E779">
        <v>55</v>
      </c>
      <c r="F779" t="s">
        <v>1358</v>
      </c>
      <c r="G779" t="s">
        <v>382</v>
      </c>
      <c r="H779">
        <v>7993</v>
      </c>
      <c r="I779" t="s">
        <v>14</v>
      </c>
      <c r="J779">
        <v>1</v>
      </c>
    </row>
    <row r="780" spans="1:10" x14ac:dyDescent="0.25">
      <c r="A780" t="s">
        <v>1067</v>
      </c>
      <c r="B780" t="s">
        <v>655</v>
      </c>
      <c r="C780" t="s">
        <v>1124</v>
      </c>
      <c r="D780" t="s">
        <v>3</v>
      </c>
      <c r="E780">
        <v>31</v>
      </c>
      <c r="F780" t="s">
        <v>1357</v>
      </c>
      <c r="G780" t="s">
        <v>51</v>
      </c>
      <c r="H780">
        <v>2151</v>
      </c>
      <c r="I780" t="s">
        <v>4</v>
      </c>
      <c r="J780">
        <v>1</v>
      </c>
    </row>
    <row r="781" spans="1:10" x14ac:dyDescent="0.25">
      <c r="A781" t="s">
        <v>330</v>
      </c>
      <c r="B781" t="s">
        <v>167</v>
      </c>
      <c r="C781" t="s">
        <v>1125</v>
      </c>
      <c r="D781" t="s">
        <v>8</v>
      </c>
      <c r="E781">
        <v>35</v>
      </c>
      <c r="F781" t="s">
        <v>1357</v>
      </c>
      <c r="G781" t="s">
        <v>231</v>
      </c>
      <c r="H781">
        <v>3106</v>
      </c>
      <c r="I781" t="s">
        <v>14</v>
      </c>
      <c r="J781">
        <v>4</v>
      </c>
    </row>
    <row r="782" spans="1:10" x14ac:dyDescent="0.25">
      <c r="A782" t="s">
        <v>155</v>
      </c>
      <c r="B782" t="s">
        <v>264</v>
      </c>
      <c r="C782" t="s">
        <v>1126</v>
      </c>
      <c r="D782" t="s">
        <v>3</v>
      </c>
      <c r="E782">
        <v>39</v>
      </c>
      <c r="F782" t="s">
        <v>1357</v>
      </c>
      <c r="G782" t="s">
        <v>172</v>
      </c>
      <c r="H782">
        <v>5222</v>
      </c>
      <c r="I782" t="s">
        <v>14</v>
      </c>
      <c r="J782">
        <v>1</v>
      </c>
    </row>
    <row r="783" spans="1:10" x14ac:dyDescent="0.25">
      <c r="A783" t="s">
        <v>291</v>
      </c>
      <c r="B783" t="s">
        <v>552</v>
      </c>
      <c r="C783" t="s">
        <v>1127</v>
      </c>
      <c r="D783" t="s">
        <v>3</v>
      </c>
      <c r="E783">
        <v>42</v>
      </c>
      <c r="F783" t="s">
        <v>1357</v>
      </c>
      <c r="G783" t="s">
        <v>9</v>
      </c>
      <c r="H783">
        <v>966</v>
      </c>
      <c r="I783" t="s">
        <v>4</v>
      </c>
      <c r="J783">
        <v>4</v>
      </c>
    </row>
    <row r="784" spans="1:10" x14ac:dyDescent="0.25">
      <c r="A784" t="s">
        <v>40</v>
      </c>
      <c r="B784" t="s">
        <v>358</v>
      </c>
      <c r="C784" t="s">
        <v>1128</v>
      </c>
      <c r="D784" t="s">
        <v>8</v>
      </c>
      <c r="E784">
        <v>59</v>
      </c>
      <c r="F784" t="s">
        <v>1358</v>
      </c>
      <c r="G784" t="s">
        <v>59</v>
      </c>
      <c r="H784">
        <v>4650</v>
      </c>
      <c r="I784" t="s">
        <v>4</v>
      </c>
      <c r="J784">
        <v>4</v>
      </c>
    </row>
    <row r="785" spans="1:10" x14ac:dyDescent="0.25">
      <c r="A785" t="s">
        <v>240</v>
      </c>
      <c r="B785" t="s">
        <v>371</v>
      </c>
      <c r="C785" t="s">
        <v>1129</v>
      </c>
      <c r="D785" t="s">
        <v>3</v>
      </c>
      <c r="E785">
        <v>35</v>
      </c>
      <c r="F785" t="s">
        <v>1357</v>
      </c>
      <c r="G785" t="s">
        <v>29</v>
      </c>
      <c r="H785">
        <v>3358</v>
      </c>
      <c r="I785" t="s">
        <v>14</v>
      </c>
      <c r="J785">
        <v>4</v>
      </c>
    </row>
    <row r="786" spans="1:10" x14ac:dyDescent="0.25">
      <c r="A786" t="s">
        <v>480</v>
      </c>
      <c r="B786" t="s">
        <v>116</v>
      </c>
      <c r="C786" t="s">
        <v>1130</v>
      </c>
      <c r="D786" t="s">
        <v>8</v>
      </c>
      <c r="E786">
        <v>57</v>
      </c>
      <c r="F786" t="s">
        <v>1358</v>
      </c>
      <c r="G786" t="s">
        <v>303</v>
      </c>
      <c r="H786">
        <v>7831</v>
      </c>
      <c r="I786" t="s">
        <v>4</v>
      </c>
      <c r="J786">
        <v>3</v>
      </c>
    </row>
    <row r="787" spans="1:10" x14ac:dyDescent="0.25">
      <c r="A787" t="s">
        <v>400</v>
      </c>
      <c r="B787" t="s">
        <v>11</v>
      </c>
      <c r="C787" t="s">
        <v>1131</v>
      </c>
      <c r="D787" t="s">
        <v>3</v>
      </c>
      <c r="E787">
        <v>32</v>
      </c>
      <c r="F787" t="s">
        <v>1357</v>
      </c>
      <c r="G787" t="s">
        <v>29</v>
      </c>
      <c r="H787">
        <v>7586</v>
      </c>
      <c r="I787" t="s">
        <v>14</v>
      </c>
      <c r="J787">
        <v>5</v>
      </c>
    </row>
    <row r="788" spans="1:10" x14ac:dyDescent="0.25">
      <c r="A788" t="s">
        <v>456</v>
      </c>
      <c r="B788" t="s">
        <v>6</v>
      </c>
      <c r="C788" t="s">
        <v>1132</v>
      </c>
      <c r="D788" t="s">
        <v>3</v>
      </c>
      <c r="E788">
        <v>51</v>
      </c>
      <c r="F788" t="s">
        <v>1358</v>
      </c>
      <c r="G788" t="s">
        <v>172</v>
      </c>
      <c r="H788">
        <v>7352</v>
      </c>
      <c r="I788" t="s">
        <v>4</v>
      </c>
      <c r="J788">
        <v>5</v>
      </c>
    </row>
    <row r="789" spans="1:10" x14ac:dyDescent="0.25">
      <c r="A789" t="s">
        <v>10</v>
      </c>
      <c r="B789" t="s">
        <v>650</v>
      </c>
      <c r="C789" t="s">
        <v>1133</v>
      </c>
      <c r="D789" t="s">
        <v>3</v>
      </c>
      <c r="E789">
        <v>55</v>
      </c>
      <c r="F789" t="s">
        <v>1358</v>
      </c>
      <c r="G789" t="s">
        <v>197</v>
      </c>
      <c r="H789">
        <v>4418</v>
      </c>
      <c r="I789" t="s">
        <v>14</v>
      </c>
      <c r="J789">
        <v>3</v>
      </c>
    </row>
    <row r="790" spans="1:10" x14ac:dyDescent="0.25">
      <c r="A790" t="s">
        <v>155</v>
      </c>
      <c r="B790" t="s">
        <v>580</v>
      </c>
      <c r="C790" t="s">
        <v>1134</v>
      </c>
      <c r="D790" t="s">
        <v>3</v>
      </c>
      <c r="E790">
        <v>59</v>
      </c>
      <c r="F790" t="s">
        <v>1358</v>
      </c>
      <c r="G790" t="s">
        <v>270</v>
      </c>
      <c r="H790">
        <v>3181</v>
      </c>
      <c r="I790" t="s">
        <v>4</v>
      </c>
      <c r="J790">
        <v>3</v>
      </c>
    </row>
    <row r="791" spans="1:10" x14ac:dyDescent="0.25">
      <c r="A791" t="s">
        <v>192</v>
      </c>
      <c r="B791" t="s">
        <v>420</v>
      </c>
      <c r="C791" t="s">
        <v>1135</v>
      </c>
      <c r="D791" t="s">
        <v>8</v>
      </c>
      <c r="E791">
        <v>19</v>
      </c>
      <c r="F791" t="s">
        <v>1359</v>
      </c>
      <c r="G791" t="s">
        <v>197</v>
      </c>
      <c r="H791">
        <v>7582</v>
      </c>
      <c r="I791" t="s">
        <v>4</v>
      </c>
      <c r="J791">
        <v>0</v>
      </c>
    </row>
    <row r="792" spans="1:10" x14ac:dyDescent="0.25">
      <c r="A792" t="s">
        <v>5</v>
      </c>
      <c r="B792" t="s">
        <v>409</v>
      </c>
      <c r="C792" t="s">
        <v>1136</v>
      </c>
      <c r="D792" t="s">
        <v>8</v>
      </c>
      <c r="E792">
        <v>31</v>
      </c>
      <c r="F792" t="s">
        <v>1357</v>
      </c>
      <c r="G792" t="s">
        <v>103</v>
      </c>
      <c r="H792">
        <v>5045</v>
      </c>
      <c r="I792" t="s">
        <v>14</v>
      </c>
      <c r="J792">
        <v>0</v>
      </c>
    </row>
    <row r="793" spans="1:10" x14ac:dyDescent="0.25">
      <c r="A793" t="s">
        <v>108</v>
      </c>
      <c r="B793" t="s">
        <v>366</v>
      </c>
      <c r="C793" t="s">
        <v>1137</v>
      </c>
      <c r="D793" t="s">
        <v>3</v>
      </c>
      <c r="E793">
        <v>18</v>
      </c>
      <c r="F793" t="s">
        <v>1359</v>
      </c>
      <c r="G793" t="s">
        <v>266</v>
      </c>
      <c r="H793">
        <v>815</v>
      </c>
      <c r="I793" t="s">
        <v>4</v>
      </c>
      <c r="J793">
        <v>2</v>
      </c>
    </row>
    <row r="794" spans="1:10" x14ac:dyDescent="0.25">
      <c r="A794" t="s">
        <v>26</v>
      </c>
      <c r="B794" t="s">
        <v>317</v>
      </c>
      <c r="C794" t="s">
        <v>1138</v>
      </c>
      <c r="D794" t="s">
        <v>8</v>
      </c>
      <c r="E794">
        <v>46</v>
      </c>
      <c r="F794" t="s">
        <v>1357</v>
      </c>
      <c r="G794" t="s">
        <v>234</v>
      </c>
      <c r="H794">
        <v>3309</v>
      </c>
      <c r="I794" t="s">
        <v>4</v>
      </c>
      <c r="J794">
        <v>0</v>
      </c>
    </row>
    <row r="795" spans="1:10" x14ac:dyDescent="0.25">
      <c r="A795" t="s">
        <v>288</v>
      </c>
      <c r="B795" t="s">
        <v>604</v>
      </c>
      <c r="C795" t="s">
        <v>1139</v>
      </c>
      <c r="D795" t="s">
        <v>8</v>
      </c>
      <c r="E795">
        <v>58</v>
      </c>
      <c r="F795" t="s">
        <v>1358</v>
      </c>
      <c r="G795" t="s">
        <v>293</v>
      </c>
      <c r="H795">
        <v>4327</v>
      </c>
      <c r="I795" t="s">
        <v>14</v>
      </c>
      <c r="J795">
        <v>4</v>
      </c>
    </row>
    <row r="796" spans="1:10" x14ac:dyDescent="0.25">
      <c r="A796" t="s">
        <v>111</v>
      </c>
      <c r="B796" t="s">
        <v>112</v>
      </c>
      <c r="C796" t="s">
        <v>113</v>
      </c>
      <c r="D796" t="s">
        <v>8</v>
      </c>
      <c r="E796">
        <v>40</v>
      </c>
      <c r="F796" t="s">
        <v>1357</v>
      </c>
      <c r="G796" t="s">
        <v>59</v>
      </c>
      <c r="H796">
        <v>9849</v>
      </c>
      <c r="I796" t="s">
        <v>4</v>
      </c>
      <c r="J796">
        <v>2</v>
      </c>
    </row>
    <row r="797" spans="1:10" x14ac:dyDescent="0.25">
      <c r="A797" t="s">
        <v>229</v>
      </c>
      <c r="B797" t="s">
        <v>580</v>
      </c>
      <c r="C797" t="s">
        <v>1140</v>
      </c>
      <c r="D797" t="s">
        <v>3</v>
      </c>
      <c r="E797">
        <v>55</v>
      </c>
      <c r="F797" t="s">
        <v>1358</v>
      </c>
      <c r="G797" t="s">
        <v>160</v>
      </c>
      <c r="H797">
        <v>739</v>
      </c>
      <c r="I797" t="s">
        <v>4</v>
      </c>
      <c r="J797">
        <v>2</v>
      </c>
    </row>
    <row r="798" spans="1:10" x14ac:dyDescent="0.25">
      <c r="A798" t="s">
        <v>348</v>
      </c>
      <c r="B798" t="s">
        <v>116</v>
      </c>
      <c r="C798" t="s">
        <v>1141</v>
      </c>
      <c r="D798" t="s">
        <v>3</v>
      </c>
      <c r="E798">
        <v>43</v>
      </c>
      <c r="F798" t="s">
        <v>1357</v>
      </c>
      <c r="G798" t="s">
        <v>134</v>
      </c>
      <c r="H798">
        <v>9191</v>
      </c>
      <c r="I798" t="s">
        <v>4</v>
      </c>
      <c r="J798">
        <v>1</v>
      </c>
    </row>
    <row r="799" spans="1:10" x14ac:dyDescent="0.25">
      <c r="A799" t="s">
        <v>282</v>
      </c>
      <c r="B799" t="s">
        <v>268</v>
      </c>
      <c r="C799" t="s">
        <v>1142</v>
      </c>
      <c r="D799" t="s">
        <v>8</v>
      </c>
      <c r="E799">
        <v>22</v>
      </c>
      <c r="F799" t="s">
        <v>1359</v>
      </c>
      <c r="G799" t="s">
        <v>248</v>
      </c>
      <c r="H799">
        <v>6154</v>
      </c>
      <c r="I799" t="s">
        <v>14</v>
      </c>
      <c r="J799">
        <v>5</v>
      </c>
    </row>
    <row r="800" spans="1:10" x14ac:dyDescent="0.25">
      <c r="A800" t="s">
        <v>97</v>
      </c>
      <c r="B800" t="s">
        <v>185</v>
      </c>
      <c r="C800" t="s">
        <v>1143</v>
      </c>
      <c r="D800" t="s">
        <v>8</v>
      </c>
      <c r="E800">
        <v>59</v>
      </c>
      <c r="F800" t="s">
        <v>1358</v>
      </c>
      <c r="G800" t="s">
        <v>107</v>
      </c>
      <c r="H800">
        <v>4451</v>
      </c>
      <c r="I800" t="s">
        <v>4</v>
      </c>
      <c r="J800">
        <v>3</v>
      </c>
    </row>
    <row r="801" spans="1:10" x14ac:dyDescent="0.25">
      <c r="A801" t="s">
        <v>473</v>
      </c>
      <c r="B801" t="s">
        <v>49</v>
      </c>
      <c r="C801" t="s">
        <v>1144</v>
      </c>
      <c r="D801" t="s">
        <v>8</v>
      </c>
      <c r="E801">
        <v>33</v>
      </c>
      <c r="F801" t="s">
        <v>1357</v>
      </c>
      <c r="G801" t="s">
        <v>124</v>
      </c>
      <c r="H801">
        <v>9181</v>
      </c>
      <c r="I801" t="s">
        <v>4</v>
      </c>
      <c r="J801">
        <v>3</v>
      </c>
    </row>
    <row r="802" spans="1:10" x14ac:dyDescent="0.25">
      <c r="A802" t="s">
        <v>932</v>
      </c>
      <c r="B802" t="s">
        <v>317</v>
      </c>
      <c r="C802" t="s">
        <v>1145</v>
      </c>
      <c r="D802" t="s">
        <v>8</v>
      </c>
      <c r="E802">
        <v>52</v>
      </c>
      <c r="F802" t="s">
        <v>1358</v>
      </c>
      <c r="G802" t="s">
        <v>63</v>
      </c>
      <c r="H802">
        <v>7793</v>
      </c>
      <c r="I802" t="s">
        <v>14</v>
      </c>
      <c r="J802">
        <v>0</v>
      </c>
    </row>
    <row r="803" spans="1:10" x14ac:dyDescent="0.25">
      <c r="A803" t="s">
        <v>188</v>
      </c>
      <c r="B803" t="s">
        <v>167</v>
      </c>
      <c r="C803" t="s">
        <v>1146</v>
      </c>
      <c r="D803" t="s">
        <v>8</v>
      </c>
      <c r="E803">
        <v>27</v>
      </c>
      <c r="F803" t="s">
        <v>1359</v>
      </c>
      <c r="G803" t="s">
        <v>86</v>
      </c>
      <c r="H803">
        <v>644</v>
      </c>
      <c r="I803" t="s">
        <v>4</v>
      </c>
      <c r="J803">
        <v>5</v>
      </c>
    </row>
    <row r="804" spans="1:10" x14ac:dyDescent="0.25">
      <c r="A804" t="s">
        <v>639</v>
      </c>
      <c r="B804" t="s">
        <v>61</v>
      </c>
      <c r="C804" t="s">
        <v>1147</v>
      </c>
      <c r="D804" t="s">
        <v>8</v>
      </c>
      <c r="E804">
        <v>48</v>
      </c>
      <c r="F804" t="s">
        <v>1357</v>
      </c>
      <c r="G804" t="s">
        <v>182</v>
      </c>
      <c r="H804">
        <v>9269</v>
      </c>
      <c r="I804" t="s">
        <v>4</v>
      </c>
      <c r="J804">
        <v>4</v>
      </c>
    </row>
    <row r="805" spans="1:10" x14ac:dyDescent="0.25">
      <c r="A805" t="s">
        <v>229</v>
      </c>
      <c r="B805" t="s">
        <v>78</v>
      </c>
      <c r="C805" t="s">
        <v>1148</v>
      </c>
      <c r="D805" t="s">
        <v>3</v>
      </c>
      <c r="E805">
        <v>24</v>
      </c>
      <c r="F805" t="s">
        <v>1359</v>
      </c>
      <c r="G805" t="s">
        <v>197</v>
      </c>
      <c r="H805">
        <v>4005</v>
      </c>
      <c r="I805" t="s">
        <v>14</v>
      </c>
      <c r="J805">
        <v>3</v>
      </c>
    </row>
    <row r="806" spans="1:10" x14ac:dyDescent="0.25">
      <c r="A806" t="s">
        <v>192</v>
      </c>
      <c r="B806" t="s">
        <v>334</v>
      </c>
      <c r="C806" t="s">
        <v>1149</v>
      </c>
      <c r="D806" t="s">
        <v>8</v>
      </c>
      <c r="E806">
        <v>52</v>
      </c>
      <c r="F806" t="s">
        <v>1358</v>
      </c>
      <c r="G806" t="s">
        <v>118</v>
      </c>
      <c r="H806">
        <v>9343</v>
      </c>
      <c r="I806" t="s">
        <v>14</v>
      </c>
      <c r="J806">
        <v>1</v>
      </c>
    </row>
    <row r="807" spans="1:10" x14ac:dyDescent="0.25">
      <c r="A807" t="s">
        <v>400</v>
      </c>
      <c r="B807" t="s">
        <v>84</v>
      </c>
      <c r="C807" t="s">
        <v>1150</v>
      </c>
      <c r="D807" t="s">
        <v>3</v>
      </c>
      <c r="E807">
        <v>21</v>
      </c>
      <c r="F807" t="s">
        <v>1359</v>
      </c>
      <c r="G807" t="s">
        <v>211</v>
      </c>
      <c r="H807">
        <v>6971</v>
      </c>
      <c r="I807" t="s">
        <v>14</v>
      </c>
      <c r="J807">
        <v>3</v>
      </c>
    </row>
    <row r="808" spans="1:10" x14ac:dyDescent="0.25">
      <c r="A808" t="s">
        <v>254</v>
      </c>
      <c r="B808" t="s">
        <v>371</v>
      </c>
      <c r="C808" t="s">
        <v>1151</v>
      </c>
      <c r="D808" t="s">
        <v>3</v>
      </c>
      <c r="E808">
        <v>51</v>
      </c>
      <c r="F808" t="s">
        <v>1358</v>
      </c>
      <c r="G808" t="s">
        <v>124</v>
      </c>
      <c r="H808">
        <v>3573</v>
      </c>
      <c r="I808" t="s">
        <v>14</v>
      </c>
      <c r="J808">
        <v>0</v>
      </c>
    </row>
    <row r="809" spans="1:10" x14ac:dyDescent="0.25">
      <c r="A809" t="s">
        <v>108</v>
      </c>
      <c r="B809" t="s">
        <v>155</v>
      </c>
      <c r="C809" t="s">
        <v>1152</v>
      </c>
      <c r="D809" t="s">
        <v>3</v>
      </c>
      <c r="E809">
        <v>56</v>
      </c>
      <c r="F809" t="s">
        <v>1358</v>
      </c>
      <c r="G809" t="s">
        <v>194</v>
      </c>
      <c r="H809">
        <v>6234</v>
      </c>
      <c r="I809" t="s">
        <v>4</v>
      </c>
      <c r="J809">
        <v>1</v>
      </c>
    </row>
    <row r="810" spans="1:10" x14ac:dyDescent="0.25">
      <c r="A810" t="s">
        <v>319</v>
      </c>
      <c r="B810" t="s">
        <v>162</v>
      </c>
      <c r="C810" t="s">
        <v>1153</v>
      </c>
      <c r="D810" t="s">
        <v>3</v>
      </c>
      <c r="E810">
        <v>45</v>
      </c>
      <c r="F810" t="s">
        <v>1357</v>
      </c>
      <c r="G810" t="s">
        <v>187</v>
      </c>
      <c r="H810">
        <v>6702</v>
      </c>
      <c r="I810" t="s">
        <v>4</v>
      </c>
      <c r="J810">
        <v>4</v>
      </c>
    </row>
    <row r="811" spans="1:10" x14ac:dyDescent="0.25">
      <c r="A811" t="s">
        <v>350</v>
      </c>
      <c r="B811" t="s">
        <v>6</v>
      </c>
      <c r="C811" t="s">
        <v>1154</v>
      </c>
      <c r="D811" t="s">
        <v>8</v>
      </c>
      <c r="E811">
        <v>31</v>
      </c>
      <c r="F811" t="s">
        <v>1357</v>
      </c>
      <c r="G811" t="s">
        <v>290</v>
      </c>
      <c r="H811">
        <v>745</v>
      </c>
      <c r="I811" t="s">
        <v>14</v>
      </c>
      <c r="J811">
        <v>3</v>
      </c>
    </row>
    <row r="812" spans="1:10" x14ac:dyDescent="0.25">
      <c r="A812" t="s">
        <v>339</v>
      </c>
      <c r="B812" t="s">
        <v>249</v>
      </c>
      <c r="C812" t="s">
        <v>1155</v>
      </c>
      <c r="D812" t="s">
        <v>8</v>
      </c>
      <c r="E812">
        <v>53</v>
      </c>
      <c r="F812" t="s">
        <v>1358</v>
      </c>
      <c r="G812" t="s">
        <v>165</v>
      </c>
      <c r="H812">
        <v>5941</v>
      </c>
      <c r="I812" t="s">
        <v>14</v>
      </c>
      <c r="J812">
        <v>1</v>
      </c>
    </row>
    <row r="813" spans="1:10" x14ac:dyDescent="0.25">
      <c r="A813" t="s">
        <v>560</v>
      </c>
      <c r="B813" t="s">
        <v>41</v>
      </c>
      <c r="C813" t="s">
        <v>1156</v>
      </c>
      <c r="D813" t="s">
        <v>8</v>
      </c>
      <c r="E813">
        <v>21</v>
      </c>
      <c r="F813" t="s">
        <v>1359</v>
      </c>
      <c r="G813" t="s">
        <v>211</v>
      </c>
      <c r="H813">
        <v>6282</v>
      </c>
      <c r="I813" t="s">
        <v>4</v>
      </c>
      <c r="J813">
        <v>1</v>
      </c>
    </row>
    <row r="814" spans="1:10" x14ac:dyDescent="0.25">
      <c r="A814" t="s">
        <v>922</v>
      </c>
      <c r="B814" t="s">
        <v>152</v>
      </c>
      <c r="C814" t="s">
        <v>1157</v>
      </c>
      <c r="D814" t="s">
        <v>3</v>
      </c>
      <c r="E814">
        <v>23</v>
      </c>
      <c r="F814" t="s">
        <v>1359</v>
      </c>
      <c r="G814" t="s">
        <v>21</v>
      </c>
      <c r="H814">
        <v>6310</v>
      </c>
      <c r="I814" t="s">
        <v>4</v>
      </c>
      <c r="J814">
        <v>4</v>
      </c>
    </row>
    <row r="815" spans="1:10" x14ac:dyDescent="0.25">
      <c r="A815" t="s">
        <v>692</v>
      </c>
      <c r="B815" t="s">
        <v>155</v>
      </c>
      <c r="C815" t="s">
        <v>1158</v>
      </c>
      <c r="D815" t="s">
        <v>3</v>
      </c>
      <c r="E815">
        <v>55</v>
      </c>
      <c r="F815" t="s">
        <v>1358</v>
      </c>
      <c r="G815" t="s">
        <v>199</v>
      </c>
      <c r="H815">
        <v>3976</v>
      </c>
      <c r="I815" t="s">
        <v>4</v>
      </c>
      <c r="J815">
        <v>3</v>
      </c>
    </row>
    <row r="816" spans="1:10" x14ac:dyDescent="0.25">
      <c r="A816" t="s">
        <v>700</v>
      </c>
      <c r="B816" t="s">
        <v>142</v>
      </c>
      <c r="C816" t="s">
        <v>1159</v>
      </c>
      <c r="D816" t="s">
        <v>3</v>
      </c>
      <c r="E816">
        <v>26</v>
      </c>
      <c r="F816" t="s">
        <v>1359</v>
      </c>
      <c r="G816" t="s">
        <v>225</v>
      </c>
      <c r="H816">
        <v>4048</v>
      </c>
      <c r="I816" t="s">
        <v>4</v>
      </c>
      <c r="J816">
        <v>0</v>
      </c>
    </row>
    <row r="817" spans="1:10" x14ac:dyDescent="0.25">
      <c r="A817" t="s">
        <v>757</v>
      </c>
      <c r="B817" t="s">
        <v>220</v>
      </c>
      <c r="C817" t="s">
        <v>1160</v>
      </c>
      <c r="D817" t="s">
        <v>3</v>
      </c>
      <c r="E817">
        <v>56</v>
      </c>
      <c r="F817" t="s">
        <v>1358</v>
      </c>
      <c r="G817" t="s">
        <v>373</v>
      </c>
      <c r="H817">
        <v>8853</v>
      </c>
      <c r="I817" t="s">
        <v>14</v>
      </c>
      <c r="J817">
        <v>3</v>
      </c>
    </row>
    <row r="818" spans="1:10" x14ac:dyDescent="0.25">
      <c r="A818" t="s">
        <v>584</v>
      </c>
      <c r="B818" t="s">
        <v>744</v>
      </c>
      <c r="C818" t="s">
        <v>1161</v>
      </c>
      <c r="D818" t="s">
        <v>3</v>
      </c>
      <c r="E818">
        <v>34</v>
      </c>
      <c r="F818" t="s">
        <v>1357</v>
      </c>
      <c r="G818" t="s">
        <v>248</v>
      </c>
      <c r="H818">
        <v>8227</v>
      </c>
      <c r="I818" t="s">
        <v>4</v>
      </c>
      <c r="J818">
        <v>4</v>
      </c>
    </row>
    <row r="819" spans="1:10" x14ac:dyDescent="0.25">
      <c r="A819" t="s">
        <v>419</v>
      </c>
      <c r="B819" t="s">
        <v>114</v>
      </c>
      <c r="C819" t="s">
        <v>1162</v>
      </c>
      <c r="D819" t="s">
        <v>8</v>
      </c>
      <c r="E819">
        <v>30</v>
      </c>
      <c r="F819" t="s">
        <v>1359</v>
      </c>
      <c r="G819" t="s">
        <v>280</v>
      </c>
      <c r="H819">
        <v>1253</v>
      </c>
      <c r="I819" t="s">
        <v>4</v>
      </c>
      <c r="J819">
        <v>0</v>
      </c>
    </row>
    <row r="820" spans="1:10" x14ac:dyDescent="0.25">
      <c r="A820" t="s">
        <v>33</v>
      </c>
      <c r="B820" t="s">
        <v>635</v>
      </c>
      <c r="C820" t="s">
        <v>1163</v>
      </c>
      <c r="D820" t="s">
        <v>3</v>
      </c>
      <c r="E820">
        <v>19</v>
      </c>
      <c r="F820" t="s">
        <v>1359</v>
      </c>
      <c r="G820" t="s">
        <v>280</v>
      </c>
      <c r="H820">
        <v>5401</v>
      </c>
      <c r="I820" t="s">
        <v>14</v>
      </c>
      <c r="J820">
        <v>0</v>
      </c>
    </row>
    <row r="821" spans="1:10" x14ac:dyDescent="0.25">
      <c r="A821" t="s">
        <v>336</v>
      </c>
      <c r="B821" t="s">
        <v>152</v>
      </c>
      <c r="C821" t="s">
        <v>1164</v>
      </c>
      <c r="D821" t="s">
        <v>8</v>
      </c>
      <c r="E821">
        <v>34</v>
      </c>
      <c r="F821" t="s">
        <v>1357</v>
      </c>
      <c r="G821" t="s">
        <v>25</v>
      </c>
      <c r="H821">
        <v>4787</v>
      </c>
      <c r="I821" t="s">
        <v>14</v>
      </c>
      <c r="J821">
        <v>1</v>
      </c>
    </row>
    <row r="822" spans="1:10" x14ac:dyDescent="0.25">
      <c r="A822" t="s">
        <v>192</v>
      </c>
      <c r="B822" t="s">
        <v>158</v>
      </c>
      <c r="C822" t="s">
        <v>1165</v>
      </c>
      <c r="D822" t="s">
        <v>8</v>
      </c>
      <c r="E822">
        <v>35</v>
      </c>
      <c r="F822" t="s">
        <v>1357</v>
      </c>
      <c r="G822" t="s">
        <v>76</v>
      </c>
      <c r="H822">
        <v>4837</v>
      </c>
      <c r="I822" t="s">
        <v>4</v>
      </c>
      <c r="J822">
        <v>3</v>
      </c>
    </row>
    <row r="823" spans="1:10" x14ac:dyDescent="0.25">
      <c r="A823" t="s">
        <v>687</v>
      </c>
      <c r="B823" t="s">
        <v>580</v>
      </c>
      <c r="C823" t="s">
        <v>1166</v>
      </c>
      <c r="D823" t="s">
        <v>8</v>
      </c>
      <c r="E823">
        <v>35</v>
      </c>
      <c r="F823" t="s">
        <v>1357</v>
      </c>
      <c r="G823" t="s">
        <v>134</v>
      </c>
      <c r="H823">
        <v>3403</v>
      </c>
      <c r="I823" t="s">
        <v>14</v>
      </c>
      <c r="J823">
        <v>3</v>
      </c>
    </row>
    <row r="824" spans="1:10" x14ac:dyDescent="0.25">
      <c r="A824" t="s">
        <v>417</v>
      </c>
      <c r="B824" t="s">
        <v>6</v>
      </c>
      <c r="C824" t="s">
        <v>1167</v>
      </c>
      <c r="D824" t="s">
        <v>8</v>
      </c>
      <c r="E824">
        <v>39</v>
      </c>
      <c r="F824" t="s">
        <v>1357</v>
      </c>
      <c r="G824" t="s">
        <v>270</v>
      </c>
      <c r="H824">
        <v>1796</v>
      </c>
      <c r="I824" t="s">
        <v>14</v>
      </c>
      <c r="J824">
        <v>4</v>
      </c>
    </row>
    <row r="825" spans="1:10" x14ac:dyDescent="0.25">
      <c r="A825" t="s">
        <v>97</v>
      </c>
      <c r="B825" t="s">
        <v>61</v>
      </c>
      <c r="C825" t="s">
        <v>1168</v>
      </c>
      <c r="D825" t="s">
        <v>8</v>
      </c>
      <c r="E825">
        <v>21</v>
      </c>
      <c r="F825" t="s">
        <v>1359</v>
      </c>
      <c r="G825" t="s">
        <v>160</v>
      </c>
      <c r="H825">
        <v>1943</v>
      </c>
      <c r="I825" t="s">
        <v>14</v>
      </c>
      <c r="J825">
        <v>0</v>
      </c>
    </row>
    <row r="826" spans="1:10" x14ac:dyDescent="0.25">
      <c r="A826" t="s">
        <v>932</v>
      </c>
      <c r="B826" t="s">
        <v>57</v>
      </c>
      <c r="C826" t="s">
        <v>1169</v>
      </c>
      <c r="D826" t="s">
        <v>8</v>
      </c>
      <c r="E826">
        <v>48</v>
      </c>
      <c r="F826" t="s">
        <v>1357</v>
      </c>
      <c r="G826" t="s">
        <v>131</v>
      </c>
      <c r="H826">
        <v>4953</v>
      </c>
      <c r="I826" t="s">
        <v>4</v>
      </c>
      <c r="J826">
        <v>5</v>
      </c>
    </row>
    <row r="827" spans="1:10" x14ac:dyDescent="0.25">
      <c r="A827" t="s">
        <v>379</v>
      </c>
      <c r="B827" t="s">
        <v>277</v>
      </c>
      <c r="C827" t="s">
        <v>1170</v>
      </c>
      <c r="D827" t="s">
        <v>8</v>
      </c>
      <c r="E827">
        <v>58</v>
      </c>
      <c r="F827" t="s">
        <v>1358</v>
      </c>
      <c r="G827" t="s">
        <v>248</v>
      </c>
      <c r="H827">
        <v>666</v>
      </c>
      <c r="I827" t="s">
        <v>14</v>
      </c>
      <c r="J827">
        <v>0</v>
      </c>
    </row>
    <row r="828" spans="1:10" x14ac:dyDescent="0.25">
      <c r="A828" t="s">
        <v>229</v>
      </c>
      <c r="B828" t="s">
        <v>105</v>
      </c>
      <c r="C828" t="s">
        <v>1171</v>
      </c>
      <c r="D828" t="s">
        <v>3</v>
      </c>
      <c r="E828">
        <v>45</v>
      </c>
      <c r="F828" t="s">
        <v>1357</v>
      </c>
      <c r="G828" t="s">
        <v>182</v>
      </c>
      <c r="H828">
        <v>6553</v>
      </c>
      <c r="I828" t="s">
        <v>4</v>
      </c>
      <c r="J828">
        <v>4</v>
      </c>
    </row>
    <row r="829" spans="1:10" x14ac:dyDescent="0.25">
      <c r="A829" t="s">
        <v>276</v>
      </c>
      <c r="B829" t="s">
        <v>368</v>
      </c>
      <c r="C829" t="s">
        <v>1172</v>
      </c>
      <c r="D829" t="s">
        <v>3</v>
      </c>
      <c r="E829">
        <v>39</v>
      </c>
      <c r="F829" t="s">
        <v>1357</v>
      </c>
      <c r="G829" t="s">
        <v>47</v>
      </c>
      <c r="H829">
        <v>1665</v>
      </c>
      <c r="I829" t="s">
        <v>4</v>
      </c>
      <c r="J829">
        <v>0</v>
      </c>
    </row>
    <row r="830" spans="1:10" x14ac:dyDescent="0.25">
      <c r="A830" t="s">
        <v>762</v>
      </c>
      <c r="B830" t="s">
        <v>463</v>
      </c>
      <c r="C830" t="s">
        <v>1173</v>
      </c>
      <c r="D830" t="s">
        <v>3</v>
      </c>
      <c r="E830">
        <v>54</v>
      </c>
      <c r="F830" t="s">
        <v>1358</v>
      </c>
      <c r="G830" t="s">
        <v>107</v>
      </c>
      <c r="H830">
        <v>3509</v>
      </c>
      <c r="I830" t="s">
        <v>4</v>
      </c>
      <c r="J830">
        <v>4</v>
      </c>
    </row>
    <row r="831" spans="1:10" x14ac:dyDescent="0.25">
      <c r="A831" t="s">
        <v>263</v>
      </c>
      <c r="B831" t="s">
        <v>139</v>
      </c>
      <c r="C831" t="s">
        <v>1174</v>
      </c>
      <c r="D831" t="s">
        <v>3</v>
      </c>
      <c r="E831">
        <v>29</v>
      </c>
      <c r="F831" t="s">
        <v>1359</v>
      </c>
      <c r="G831" t="s">
        <v>382</v>
      </c>
      <c r="H831">
        <v>6822</v>
      </c>
      <c r="I831" t="s">
        <v>14</v>
      </c>
      <c r="J831">
        <v>0</v>
      </c>
    </row>
    <row r="832" spans="1:10" x14ac:dyDescent="0.25">
      <c r="A832" t="s">
        <v>731</v>
      </c>
      <c r="B832" t="s">
        <v>74</v>
      </c>
      <c r="C832" t="s">
        <v>1175</v>
      </c>
      <c r="D832" t="s">
        <v>8</v>
      </c>
      <c r="E832">
        <v>39</v>
      </c>
      <c r="F832" t="s">
        <v>1357</v>
      </c>
      <c r="G832" t="s">
        <v>107</v>
      </c>
      <c r="H832">
        <v>9260</v>
      </c>
      <c r="I832" t="s">
        <v>14</v>
      </c>
      <c r="J832">
        <v>3</v>
      </c>
    </row>
    <row r="833" spans="1:10" x14ac:dyDescent="0.25">
      <c r="A833" t="s">
        <v>484</v>
      </c>
      <c r="B833" t="s">
        <v>229</v>
      </c>
      <c r="C833" t="s">
        <v>1176</v>
      </c>
      <c r="D833" t="s">
        <v>3</v>
      </c>
      <c r="E833">
        <v>25</v>
      </c>
      <c r="F833" t="s">
        <v>1359</v>
      </c>
      <c r="G833" t="s">
        <v>76</v>
      </c>
      <c r="H833">
        <v>9644</v>
      </c>
      <c r="I833" t="s">
        <v>4</v>
      </c>
      <c r="J833">
        <v>4</v>
      </c>
    </row>
    <row r="834" spans="1:10" x14ac:dyDescent="0.25">
      <c r="A834" t="s">
        <v>104</v>
      </c>
      <c r="B834" t="s">
        <v>635</v>
      </c>
      <c r="C834" t="s">
        <v>1177</v>
      </c>
      <c r="D834" t="s">
        <v>3</v>
      </c>
      <c r="E834">
        <v>59</v>
      </c>
      <c r="F834" t="s">
        <v>1358</v>
      </c>
      <c r="G834" t="s">
        <v>225</v>
      </c>
      <c r="H834">
        <v>1574</v>
      </c>
      <c r="I834" t="s">
        <v>4</v>
      </c>
      <c r="J834">
        <v>3</v>
      </c>
    </row>
    <row r="835" spans="1:10" x14ac:dyDescent="0.25">
      <c r="A835" t="s">
        <v>135</v>
      </c>
      <c r="B835" t="s">
        <v>294</v>
      </c>
      <c r="C835" t="s">
        <v>1178</v>
      </c>
      <c r="D835" t="s">
        <v>3</v>
      </c>
      <c r="E835">
        <v>33</v>
      </c>
      <c r="F835" t="s">
        <v>1357</v>
      </c>
      <c r="G835" t="s">
        <v>131</v>
      </c>
      <c r="H835">
        <v>4644</v>
      </c>
      <c r="I835" t="s">
        <v>14</v>
      </c>
      <c r="J835">
        <v>0</v>
      </c>
    </row>
    <row r="836" spans="1:10" x14ac:dyDescent="0.25">
      <c r="A836" t="s">
        <v>218</v>
      </c>
      <c r="B836" t="s">
        <v>167</v>
      </c>
      <c r="C836" t="s">
        <v>1179</v>
      </c>
      <c r="D836" t="s">
        <v>3</v>
      </c>
      <c r="E836">
        <v>18</v>
      </c>
      <c r="F836" t="s">
        <v>1359</v>
      </c>
      <c r="G836" t="s">
        <v>29</v>
      </c>
      <c r="H836">
        <v>9745</v>
      </c>
      <c r="I836" t="s">
        <v>4</v>
      </c>
      <c r="J836">
        <v>5</v>
      </c>
    </row>
    <row r="837" spans="1:10" x14ac:dyDescent="0.25">
      <c r="A837" t="s">
        <v>484</v>
      </c>
      <c r="B837" t="s">
        <v>114</v>
      </c>
      <c r="C837" t="s">
        <v>1180</v>
      </c>
      <c r="D837" t="s">
        <v>3</v>
      </c>
      <c r="E837">
        <v>20</v>
      </c>
      <c r="F837" t="s">
        <v>1359</v>
      </c>
      <c r="G837" t="s">
        <v>131</v>
      </c>
      <c r="H837">
        <v>6615</v>
      </c>
      <c r="I837" t="s">
        <v>4</v>
      </c>
      <c r="J837">
        <v>0</v>
      </c>
    </row>
    <row r="838" spans="1:10" x14ac:dyDescent="0.25">
      <c r="A838" t="s">
        <v>342</v>
      </c>
      <c r="B838" t="s">
        <v>91</v>
      </c>
      <c r="C838" t="s">
        <v>1181</v>
      </c>
      <c r="D838" t="s">
        <v>3</v>
      </c>
      <c r="E838">
        <v>50</v>
      </c>
      <c r="F838" t="s">
        <v>1357</v>
      </c>
      <c r="G838" t="s">
        <v>131</v>
      </c>
      <c r="H838">
        <v>8282</v>
      </c>
      <c r="I838" t="s">
        <v>4</v>
      </c>
      <c r="J838">
        <v>0</v>
      </c>
    </row>
    <row r="839" spans="1:10" x14ac:dyDescent="0.25">
      <c r="A839" t="s">
        <v>87</v>
      </c>
      <c r="B839" t="s">
        <v>358</v>
      </c>
      <c r="C839" t="s">
        <v>1182</v>
      </c>
      <c r="D839" t="s">
        <v>3</v>
      </c>
      <c r="E839">
        <v>26</v>
      </c>
      <c r="F839" t="s">
        <v>1359</v>
      </c>
      <c r="G839" t="s">
        <v>225</v>
      </c>
      <c r="H839">
        <v>9906</v>
      </c>
      <c r="I839" t="s">
        <v>14</v>
      </c>
      <c r="J839">
        <v>4</v>
      </c>
    </row>
    <row r="840" spans="1:10" x14ac:dyDescent="0.25">
      <c r="A840" t="s">
        <v>671</v>
      </c>
      <c r="B840" t="s">
        <v>361</v>
      </c>
      <c r="C840" t="s">
        <v>1183</v>
      </c>
      <c r="D840" t="s">
        <v>8</v>
      </c>
      <c r="E840">
        <v>24</v>
      </c>
      <c r="F840" t="s">
        <v>1359</v>
      </c>
      <c r="G840" t="s">
        <v>150</v>
      </c>
      <c r="H840">
        <v>8502</v>
      </c>
      <c r="I840" t="s">
        <v>14</v>
      </c>
      <c r="J840">
        <v>0</v>
      </c>
    </row>
    <row r="841" spans="1:10" x14ac:dyDescent="0.25">
      <c r="A841" t="s">
        <v>61</v>
      </c>
      <c r="B841" t="s">
        <v>11</v>
      </c>
      <c r="C841" t="s">
        <v>1184</v>
      </c>
      <c r="D841" t="s">
        <v>3</v>
      </c>
      <c r="E841">
        <v>47</v>
      </c>
      <c r="F841" t="s">
        <v>1357</v>
      </c>
      <c r="G841" t="s">
        <v>227</v>
      </c>
      <c r="H841">
        <v>4959</v>
      </c>
      <c r="I841" t="s">
        <v>4</v>
      </c>
      <c r="J841">
        <v>4</v>
      </c>
    </row>
    <row r="842" spans="1:10" x14ac:dyDescent="0.25">
      <c r="A842" t="s">
        <v>104</v>
      </c>
      <c r="B842" t="s">
        <v>122</v>
      </c>
      <c r="C842" t="s">
        <v>1185</v>
      </c>
      <c r="D842" t="s">
        <v>3</v>
      </c>
      <c r="E842">
        <v>50</v>
      </c>
      <c r="F842" t="s">
        <v>1357</v>
      </c>
      <c r="G842" t="s">
        <v>29</v>
      </c>
      <c r="H842">
        <v>8757</v>
      </c>
      <c r="I842" t="s">
        <v>14</v>
      </c>
      <c r="J842">
        <v>3</v>
      </c>
    </row>
    <row r="843" spans="1:10" x14ac:dyDescent="0.25">
      <c r="A843" t="s">
        <v>57</v>
      </c>
      <c r="B843" t="s">
        <v>98</v>
      </c>
      <c r="C843" t="s">
        <v>1186</v>
      </c>
      <c r="D843" t="s">
        <v>3</v>
      </c>
      <c r="E843">
        <v>42</v>
      </c>
      <c r="F843" t="s">
        <v>1357</v>
      </c>
      <c r="G843" t="s">
        <v>82</v>
      </c>
      <c r="H843">
        <v>4247</v>
      </c>
      <c r="I843" t="s">
        <v>4</v>
      </c>
      <c r="J843">
        <v>0</v>
      </c>
    </row>
    <row r="844" spans="1:10" x14ac:dyDescent="0.25">
      <c r="A844" t="s">
        <v>690</v>
      </c>
      <c r="B844" t="s">
        <v>317</v>
      </c>
      <c r="C844" t="s">
        <v>1187</v>
      </c>
      <c r="D844" t="s">
        <v>8</v>
      </c>
      <c r="E844">
        <v>36</v>
      </c>
      <c r="F844" t="s">
        <v>1357</v>
      </c>
      <c r="G844" t="s">
        <v>69</v>
      </c>
      <c r="H844">
        <v>7141</v>
      </c>
      <c r="I844" t="s">
        <v>14</v>
      </c>
      <c r="J844">
        <v>1</v>
      </c>
    </row>
    <row r="845" spans="1:10" x14ac:dyDescent="0.25">
      <c r="A845" t="s">
        <v>395</v>
      </c>
      <c r="B845" t="s">
        <v>114</v>
      </c>
      <c r="C845" t="s">
        <v>1188</v>
      </c>
      <c r="D845" t="s">
        <v>8</v>
      </c>
      <c r="E845">
        <v>38</v>
      </c>
      <c r="F845" t="s">
        <v>1357</v>
      </c>
      <c r="G845" t="s">
        <v>13</v>
      </c>
      <c r="H845">
        <v>8604</v>
      </c>
      <c r="I845" t="s">
        <v>4</v>
      </c>
      <c r="J845">
        <v>2</v>
      </c>
    </row>
    <row r="846" spans="1:10" x14ac:dyDescent="0.25">
      <c r="A846" t="s">
        <v>1013</v>
      </c>
      <c r="B846" t="s">
        <v>249</v>
      </c>
      <c r="C846" t="s">
        <v>1189</v>
      </c>
      <c r="D846" t="s">
        <v>8</v>
      </c>
      <c r="E846">
        <v>43</v>
      </c>
      <c r="F846" t="s">
        <v>1357</v>
      </c>
      <c r="G846" t="s">
        <v>134</v>
      </c>
      <c r="H846">
        <v>2542</v>
      </c>
      <c r="I846" t="s">
        <v>4</v>
      </c>
      <c r="J846">
        <v>2</v>
      </c>
    </row>
    <row r="847" spans="1:10" x14ac:dyDescent="0.25">
      <c r="A847" t="s">
        <v>173</v>
      </c>
      <c r="B847" t="s">
        <v>1</v>
      </c>
      <c r="C847" t="s">
        <v>1190</v>
      </c>
      <c r="D847" t="s">
        <v>3</v>
      </c>
      <c r="E847">
        <v>39</v>
      </c>
      <c r="F847" t="s">
        <v>1357</v>
      </c>
      <c r="G847" t="s">
        <v>290</v>
      </c>
      <c r="H847">
        <v>7820</v>
      </c>
      <c r="I847" t="s">
        <v>14</v>
      </c>
      <c r="J847">
        <v>1</v>
      </c>
    </row>
    <row r="848" spans="1:10" x14ac:dyDescent="0.25">
      <c r="A848" t="s">
        <v>354</v>
      </c>
      <c r="B848" t="s">
        <v>201</v>
      </c>
      <c r="C848" t="s">
        <v>1191</v>
      </c>
      <c r="D848" t="s">
        <v>8</v>
      </c>
      <c r="E848">
        <v>49</v>
      </c>
      <c r="F848" t="s">
        <v>1357</v>
      </c>
      <c r="G848" t="s">
        <v>256</v>
      </c>
      <c r="H848">
        <v>5699</v>
      </c>
      <c r="I848" t="s">
        <v>4</v>
      </c>
      <c r="J848">
        <v>5</v>
      </c>
    </row>
    <row r="849" spans="1:10" x14ac:dyDescent="0.25">
      <c r="A849" t="s">
        <v>1192</v>
      </c>
      <c r="B849" t="s">
        <v>530</v>
      </c>
      <c r="C849" t="s">
        <v>1193</v>
      </c>
      <c r="D849" t="s">
        <v>8</v>
      </c>
      <c r="E849">
        <v>41</v>
      </c>
      <c r="F849" t="s">
        <v>1357</v>
      </c>
      <c r="G849" t="s">
        <v>47</v>
      </c>
      <c r="H849">
        <v>1719</v>
      </c>
      <c r="I849" t="s">
        <v>4</v>
      </c>
      <c r="J849">
        <v>3</v>
      </c>
    </row>
    <row r="850" spans="1:10" x14ac:dyDescent="0.25">
      <c r="A850" t="s">
        <v>739</v>
      </c>
      <c r="B850" t="s">
        <v>425</v>
      </c>
      <c r="C850" t="s">
        <v>1194</v>
      </c>
      <c r="D850" t="s">
        <v>8</v>
      </c>
      <c r="E850">
        <v>59</v>
      </c>
      <c r="F850" t="s">
        <v>1358</v>
      </c>
      <c r="G850" t="s">
        <v>128</v>
      </c>
      <c r="H850">
        <v>8753</v>
      </c>
      <c r="I850" t="s">
        <v>14</v>
      </c>
      <c r="J850">
        <v>3</v>
      </c>
    </row>
    <row r="851" spans="1:10" x14ac:dyDescent="0.25">
      <c r="A851" t="s">
        <v>439</v>
      </c>
      <c r="B851" t="s">
        <v>185</v>
      </c>
      <c r="C851" t="s">
        <v>450</v>
      </c>
      <c r="D851" t="s">
        <v>3</v>
      </c>
      <c r="E851">
        <v>41</v>
      </c>
      <c r="F851" t="s">
        <v>1357</v>
      </c>
      <c r="G851" t="s">
        <v>51</v>
      </c>
      <c r="H851">
        <v>7048</v>
      </c>
      <c r="I851" t="s">
        <v>14</v>
      </c>
      <c r="J851">
        <v>5</v>
      </c>
    </row>
    <row r="852" spans="1:10" x14ac:dyDescent="0.25">
      <c r="A852" t="s">
        <v>328</v>
      </c>
      <c r="B852" t="s">
        <v>1</v>
      </c>
      <c r="C852" t="s">
        <v>1195</v>
      </c>
      <c r="D852" t="s">
        <v>3</v>
      </c>
      <c r="E852">
        <v>60</v>
      </c>
      <c r="F852" t="s">
        <v>1358</v>
      </c>
      <c r="G852" t="s">
        <v>231</v>
      </c>
      <c r="H852">
        <v>2607</v>
      </c>
      <c r="I852" t="s">
        <v>14</v>
      </c>
      <c r="J852">
        <v>0</v>
      </c>
    </row>
    <row r="853" spans="1:10" x14ac:dyDescent="0.25">
      <c r="A853" t="s">
        <v>928</v>
      </c>
      <c r="B853" t="s">
        <v>650</v>
      </c>
      <c r="C853" t="s">
        <v>1196</v>
      </c>
      <c r="D853" t="s">
        <v>8</v>
      </c>
      <c r="E853">
        <v>48</v>
      </c>
      <c r="F853" t="s">
        <v>1357</v>
      </c>
      <c r="G853" t="s">
        <v>128</v>
      </c>
      <c r="H853">
        <v>2707</v>
      </c>
      <c r="I853" t="s">
        <v>14</v>
      </c>
      <c r="J853">
        <v>0</v>
      </c>
    </row>
    <row r="854" spans="1:10" x14ac:dyDescent="0.25">
      <c r="A854" t="s">
        <v>346</v>
      </c>
      <c r="B854" t="s">
        <v>132</v>
      </c>
      <c r="C854" t="s">
        <v>1197</v>
      </c>
      <c r="D854" t="s">
        <v>3</v>
      </c>
      <c r="E854">
        <v>60</v>
      </c>
      <c r="F854" t="s">
        <v>1358</v>
      </c>
      <c r="G854" t="s">
        <v>43</v>
      </c>
      <c r="H854">
        <v>9242</v>
      </c>
      <c r="I854" t="s">
        <v>14</v>
      </c>
      <c r="J854">
        <v>3</v>
      </c>
    </row>
    <row r="855" spans="1:10" x14ac:dyDescent="0.25">
      <c r="A855" t="s">
        <v>603</v>
      </c>
      <c r="B855" t="s">
        <v>180</v>
      </c>
      <c r="C855" t="s">
        <v>1053</v>
      </c>
      <c r="D855" t="s">
        <v>8</v>
      </c>
      <c r="E855">
        <v>51</v>
      </c>
      <c r="F855" t="s">
        <v>1358</v>
      </c>
      <c r="G855" t="s">
        <v>182</v>
      </c>
      <c r="H855">
        <v>3797</v>
      </c>
      <c r="I855" t="s">
        <v>14</v>
      </c>
      <c r="J855">
        <v>4</v>
      </c>
    </row>
    <row r="856" spans="1:10" x14ac:dyDescent="0.25">
      <c r="A856" t="s">
        <v>608</v>
      </c>
      <c r="B856" t="s">
        <v>463</v>
      </c>
      <c r="C856" t="s">
        <v>1198</v>
      </c>
      <c r="D856" t="s">
        <v>3</v>
      </c>
      <c r="E856">
        <v>37</v>
      </c>
      <c r="F856" t="s">
        <v>1357</v>
      </c>
      <c r="G856" t="s">
        <v>9</v>
      </c>
      <c r="H856">
        <v>8788</v>
      </c>
      <c r="I856" t="s">
        <v>4</v>
      </c>
      <c r="J856">
        <v>4</v>
      </c>
    </row>
    <row r="857" spans="1:10" x14ac:dyDescent="0.25">
      <c r="A857" t="s">
        <v>757</v>
      </c>
      <c r="B857" t="s">
        <v>142</v>
      </c>
      <c r="C857" t="s">
        <v>1199</v>
      </c>
      <c r="D857" t="s">
        <v>3</v>
      </c>
      <c r="E857">
        <v>37</v>
      </c>
      <c r="F857" t="s">
        <v>1357</v>
      </c>
      <c r="G857" t="s">
        <v>59</v>
      </c>
      <c r="H857">
        <v>4058</v>
      </c>
      <c r="I857" t="s">
        <v>14</v>
      </c>
      <c r="J857">
        <v>0</v>
      </c>
    </row>
    <row r="858" spans="1:10" x14ac:dyDescent="0.25">
      <c r="A858" t="s">
        <v>997</v>
      </c>
      <c r="B858" t="s">
        <v>264</v>
      </c>
      <c r="C858" t="s">
        <v>1200</v>
      </c>
      <c r="D858" t="s">
        <v>8</v>
      </c>
      <c r="E858">
        <v>21</v>
      </c>
      <c r="F858" t="s">
        <v>1359</v>
      </c>
      <c r="G858" t="s">
        <v>124</v>
      </c>
      <c r="H858">
        <v>8311</v>
      </c>
      <c r="I858" t="s">
        <v>4</v>
      </c>
      <c r="J858">
        <v>0</v>
      </c>
    </row>
    <row r="859" spans="1:10" x14ac:dyDescent="0.25">
      <c r="A859" t="s">
        <v>173</v>
      </c>
      <c r="B859" t="s">
        <v>91</v>
      </c>
      <c r="C859" t="s">
        <v>1201</v>
      </c>
      <c r="D859" t="s">
        <v>3</v>
      </c>
      <c r="E859">
        <v>50</v>
      </c>
      <c r="F859" t="s">
        <v>1357</v>
      </c>
      <c r="G859" t="s">
        <v>63</v>
      </c>
      <c r="H859">
        <v>9834</v>
      </c>
      <c r="I859" t="s">
        <v>14</v>
      </c>
      <c r="J859">
        <v>2</v>
      </c>
    </row>
    <row r="860" spans="1:10" x14ac:dyDescent="0.25">
      <c r="A860" t="s">
        <v>176</v>
      </c>
      <c r="B860" t="s">
        <v>1</v>
      </c>
      <c r="C860" t="s">
        <v>1202</v>
      </c>
      <c r="D860" t="s">
        <v>3</v>
      </c>
      <c r="E860">
        <v>55</v>
      </c>
      <c r="F860" t="s">
        <v>1358</v>
      </c>
      <c r="G860" t="s">
        <v>172</v>
      </c>
      <c r="H860">
        <v>2693</v>
      </c>
      <c r="I860" t="s">
        <v>14</v>
      </c>
      <c r="J860">
        <v>4</v>
      </c>
    </row>
    <row r="861" spans="1:10" x14ac:dyDescent="0.25">
      <c r="A861" t="s">
        <v>1096</v>
      </c>
      <c r="B861" t="s">
        <v>6</v>
      </c>
      <c r="C861" t="s">
        <v>1203</v>
      </c>
      <c r="D861" t="s">
        <v>3</v>
      </c>
      <c r="E861">
        <v>28</v>
      </c>
      <c r="F861" t="s">
        <v>1359</v>
      </c>
      <c r="G861" t="s">
        <v>270</v>
      </c>
      <c r="H861">
        <v>6815</v>
      </c>
      <c r="I861" t="s">
        <v>14</v>
      </c>
      <c r="J861">
        <v>1</v>
      </c>
    </row>
    <row r="862" spans="1:10" x14ac:dyDescent="0.25">
      <c r="A862" t="s">
        <v>77</v>
      </c>
      <c r="B862" t="s">
        <v>148</v>
      </c>
      <c r="C862" t="s">
        <v>1204</v>
      </c>
      <c r="D862" t="s">
        <v>3</v>
      </c>
      <c r="E862">
        <v>29</v>
      </c>
      <c r="F862" t="s">
        <v>1359</v>
      </c>
      <c r="G862" t="s">
        <v>43</v>
      </c>
      <c r="H862">
        <v>9337</v>
      </c>
      <c r="I862" t="s">
        <v>4</v>
      </c>
      <c r="J862">
        <v>1</v>
      </c>
    </row>
    <row r="863" spans="1:10" x14ac:dyDescent="0.25">
      <c r="A863" t="s">
        <v>484</v>
      </c>
      <c r="B863" t="s">
        <v>504</v>
      </c>
      <c r="C863" t="s">
        <v>1205</v>
      </c>
      <c r="D863" t="s">
        <v>3</v>
      </c>
      <c r="E863">
        <v>27</v>
      </c>
      <c r="F863" t="s">
        <v>1359</v>
      </c>
      <c r="G863" t="s">
        <v>194</v>
      </c>
      <c r="H863">
        <v>3655</v>
      </c>
      <c r="I863" t="s">
        <v>14</v>
      </c>
      <c r="J863">
        <v>0</v>
      </c>
    </row>
    <row r="864" spans="1:10" x14ac:dyDescent="0.25">
      <c r="A864" t="s">
        <v>350</v>
      </c>
      <c r="B864" t="s">
        <v>19</v>
      </c>
      <c r="C864" t="s">
        <v>1206</v>
      </c>
      <c r="D864" t="s">
        <v>8</v>
      </c>
      <c r="E864">
        <v>56</v>
      </c>
      <c r="F864" t="s">
        <v>1358</v>
      </c>
      <c r="G864" t="s">
        <v>69</v>
      </c>
      <c r="H864">
        <v>3350</v>
      </c>
      <c r="I864" t="s">
        <v>4</v>
      </c>
      <c r="J864">
        <v>1</v>
      </c>
    </row>
    <row r="865" spans="1:10" x14ac:dyDescent="0.25">
      <c r="A865" t="s">
        <v>560</v>
      </c>
      <c r="B865" t="s">
        <v>635</v>
      </c>
      <c r="C865" t="s">
        <v>1207</v>
      </c>
      <c r="D865" t="s">
        <v>8</v>
      </c>
      <c r="E865">
        <v>41</v>
      </c>
      <c r="F865" t="s">
        <v>1357</v>
      </c>
      <c r="G865" t="s">
        <v>1364</v>
      </c>
      <c r="H865">
        <v>6130</v>
      </c>
      <c r="I865" t="s">
        <v>4</v>
      </c>
      <c r="J865">
        <v>5</v>
      </c>
    </row>
    <row r="866" spans="1:10" x14ac:dyDescent="0.25">
      <c r="A866" t="s">
        <v>614</v>
      </c>
      <c r="B866" t="s">
        <v>1</v>
      </c>
      <c r="C866" t="s">
        <v>1208</v>
      </c>
      <c r="D866" t="s">
        <v>8</v>
      </c>
      <c r="E866">
        <v>33</v>
      </c>
      <c r="F866" t="s">
        <v>1357</v>
      </c>
      <c r="G866" t="s">
        <v>107</v>
      </c>
      <c r="H866">
        <v>5293</v>
      </c>
      <c r="I866" t="s">
        <v>14</v>
      </c>
      <c r="J866">
        <v>2</v>
      </c>
    </row>
    <row r="867" spans="1:10" x14ac:dyDescent="0.25">
      <c r="A867" t="s">
        <v>762</v>
      </c>
      <c r="B867" t="s">
        <v>337</v>
      </c>
      <c r="C867" t="s">
        <v>1209</v>
      </c>
      <c r="D867" t="s">
        <v>3</v>
      </c>
      <c r="E867">
        <v>36</v>
      </c>
      <c r="F867" t="s">
        <v>1357</v>
      </c>
      <c r="G867" t="s">
        <v>128</v>
      </c>
      <c r="H867">
        <v>5829</v>
      </c>
      <c r="I867" t="s">
        <v>4</v>
      </c>
      <c r="J867">
        <v>5</v>
      </c>
    </row>
    <row r="868" spans="1:10" x14ac:dyDescent="0.25">
      <c r="A868" t="s">
        <v>1210</v>
      </c>
      <c r="B868" t="s">
        <v>53</v>
      </c>
      <c r="C868" t="s">
        <v>1211</v>
      </c>
      <c r="D868" t="s">
        <v>8</v>
      </c>
      <c r="E868">
        <v>43</v>
      </c>
      <c r="F868" t="s">
        <v>1357</v>
      </c>
      <c r="G868" t="s">
        <v>1364</v>
      </c>
      <c r="H868">
        <v>4836</v>
      </c>
      <c r="I868" t="s">
        <v>14</v>
      </c>
      <c r="J868">
        <v>1</v>
      </c>
    </row>
    <row r="869" spans="1:10" x14ac:dyDescent="0.25">
      <c r="A869" t="s">
        <v>894</v>
      </c>
      <c r="B869" t="s">
        <v>305</v>
      </c>
      <c r="C869" t="s">
        <v>1212</v>
      </c>
      <c r="D869" t="s">
        <v>8</v>
      </c>
      <c r="E869">
        <v>37</v>
      </c>
      <c r="F869" t="s">
        <v>1357</v>
      </c>
      <c r="G869" t="s">
        <v>63</v>
      </c>
      <c r="H869">
        <v>9971</v>
      </c>
      <c r="I869" t="s">
        <v>14</v>
      </c>
      <c r="J869">
        <v>1</v>
      </c>
    </row>
    <row r="870" spans="1:10" x14ac:dyDescent="0.25">
      <c r="A870" t="s">
        <v>330</v>
      </c>
      <c r="B870" t="s">
        <v>600</v>
      </c>
      <c r="C870" t="s">
        <v>1213</v>
      </c>
      <c r="D870" t="s">
        <v>8</v>
      </c>
      <c r="E870">
        <v>35</v>
      </c>
      <c r="F870" t="s">
        <v>1357</v>
      </c>
      <c r="G870" t="s">
        <v>211</v>
      </c>
      <c r="H870">
        <v>7421</v>
      </c>
      <c r="I870" t="s">
        <v>4</v>
      </c>
      <c r="J870">
        <v>3</v>
      </c>
    </row>
    <row r="871" spans="1:10" x14ac:dyDescent="0.25">
      <c r="A871" t="s">
        <v>166</v>
      </c>
      <c r="B871" t="s">
        <v>74</v>
      </c>
      <c r="C871" t="s">
        <v>1214</v>
      </c>
      <c r="D871" t="s">
        <v>3</v>
      </c>
      <c r="E871">
        <v>56</v>
      </c>
      <c r="F871" t="s">
        <v>1358</v>
      </c>
      <c r="G871" t="s">
        <v>47</v>
      </c>
      <c r="H871">
        <v>5825</v>
      </c>
      <c r="I871" t="s">
        <v>14</v>
      </c>
      <c r="J871">
        <v>1</v>
      </c>
    </row>
    <row r="872" spans="1:10" x14ac:dyDescent="0.25">
      <c r="A872" t="s">
        <v>40</v>
      </c>
      <c r="B872" t="s">
        <v>459</v>
      </c>
      <c r="C872" t="s">
        <v>1215</v>
      </c>
      <c r="D872" t="s">
        <v>8</v>
      </c>
      <c r="E872">
        <v>36</v>
      </c>
      <c r="F872" t="s">
        <v>1357</v>
      </c>
      <c r="G872" t="s">
        <v>199</v>
      </c>
      <c r="H872">
        <v>4856</v>
      </c>
      <c r="I872" t="s">
        <v>4</v>
      </c>
      <c r="J872">
        <v>0</v>
      </c>
    </row>
    <row r="873" spans="1:10" x14ac:dyDescent="0.25">
      <c r="A873" t="s">
        <v>339</v>
      </c>
      <c r="B873" t="s">
        <v>91</v>
      </c>
      <c r="C873" t="s">
        <v>1216</v>
      </c>
      <c r="D873" t="s">
        <v>8</v>
      </c>
      <c r="E873">
        <v>20</v>
      </c>
      <c r="F873" t="s">
        <v>1359</v>
      </c>
      <c r="G873" t="s">
        <v>80</v>
      </c>
      <c r="H873">
        <v>6903</v>
      </c>
      <c r="I873" t="s">
        <v>14</v>
      </c>
      <c r="J873">
        <v>1</v>
      </c>
    </row>
    <row r="874" spans="1:10" x14ac:dyDescent="0.25">
      <c r="A874" t="s">
        <v>195</v>
      </c>
      <c r="B874" t="s">
        <v>45</v>
      </c>
      <c r="C874" t="s">
        <v>1217</v>
      </c>
      <c r="D874" t="s">
        <v>3</v>
      </c>
      <c r="E874">
        <v>32</v>
      </c>
      <c r="F874" t="s">
        <v>1357</v>
      </c>
      <c r="G874" t="s">
        <v>172</v>
      </c>
      <c r="H874">
        <v>8829</v>
      </c>
      <c r="I874" t="s">
        <v>14</v>
      </c>
      <c r="J874">
        <v>3</v>
      </c>
    </row>
    <row r="875" spans="1:10" x14ac:dyDescent="0.25">
      <c r="A875" t="s">
        <v>282</v>
      </c>
      <c r="B875" t="s">
        <v>6</v>
      </c>
      <c r="C875" t="s">
        <v>1218</v>
      </c>
      <c r="D875" t="s">
        <v>8</v>
      </c>
      <c r="E875">
        <v>47</v>
      </c>
      <c r="F875" t="s">
        <v>1357</v>
      </c>
      <c r="G875" t="s">
        <v>197</v>
      </c>
      <c r="H875">
        <v>2570</v>
      </c>
      <c r="I875" t="s">
        <v>4</v>
      </c>
      <c r="J875">
        <v>1</v>
      </c>
    </row>
    <row r="876" spans="1:10" x14ac:dyDescent="0.25">
      <c r="A876" t="s">
        <v>473</v>
      </c>
      <c r="B876" t="s">
        <v>361</v>
      </c>
      <c r="C876" t="s">
        <v>1219</v>
      </c>
      <c r="D876" t="s">
        <v>8</v>
      </c>
      <c r="E876">
        <v>53</v>
      </c>
      <c r="F876" t="s">
        <v>1358</v>
      </c>
      <c r="G876" t="s">
        <v>9</v>
      </c>
      <c r="H876">
        <v>3611</v>
      </c>
      <c r="I876" t="s">
        <v>4</v>
      </c>
      <c r="J876">
        <v>5</v>
      </c>
    </row>
    <row r="877" spans="1:10" x14ac:dyDescent="0.25">
      <c r="A877" t="s">
        <v>183</v>
      </c>
      <c r="B877" t="s">
        <v>91</v>
      </c>
      <c r="C877" t="s">
        <v>590</v>
      </c>
      <c r="D877" t="s">
        <v>3</v>
      </c>
      <c r="E877">
        <v>46</v>
      </c>
      <c r="F877" t="s">
        <v>1357</v>
      </c>
      <c r="G877" t="s">
        <v>80</v>
      </c>
      <c r="H877">
        <v>6678</v>
      </c>
      <c r="I877" t="s">
        <v>14</v>
      </c>
      <c r="J877">
        <v>0</v>
      </c>
    </row>
    <row r="878" spans="1:10" x14ac:dyDescent="0.25">
      <c r="A878" t="s">
        <v>1067</v>
      </c>
      <c r="B878" t="s">
        <v>261</v>
      </c>
      <c r="C878" t="s">
        <v>1220</v>
      </c>
      <c r="D878" t="s">
        <v>3</v>
      </c>
      <c r="E878">
        <v>26</v>
      </c>
      <c r="F878" t="s">
        <v>1359</v>
      </c>
      <c r="G878" t="s">
        <v>25</v>
      </c>
      <c r="H878">
        <v>5088</v>
      </c>
      <c r="I878" t="s">
        <v>4</v>
      </c>
      <c r="J878">
        <v>0</v>
      </c>
    </row>
    <row r="879" spans="1:10" x14ac:dyDescent="0.25">
      <c r="A879" t="s">
        <v>228</v>
      </c>
      <c r="B879" t="s">
        <v>101</v>
      </c>
      <c r="C879" t="s">
        <v>1221</v>
      </c>
      <c r="D879" t="s">
        <v>8</v>
      </c>
      <c r="E879">
        <v>55</v>
      </c>
      <c r="F879" t="s">
        <v>1358</v>
      </c>
      <c r="G879" t="s">
        <v>373</v>
      </c>
      <c r="H879">
        <v>8400</v>
      </c>
      <c r="I879" t="s">
        <v>14</v>
      </c>
      <c r="J879">
        <v>3</v>
      </c>
    </row>
    <row r="880" spans="1:10" x14ac:dyDescent="0.25">
      <c r="A880" t="s">
        <v>671</v>
      </c>
      <c r="B880" t="s">
        <v>409</v>
      </c>
      <c r="C880" t="s">
        <v>1222</v>
      </c>
      <c r="D880" t="s">
        <v>8</v>
      </c>
      <c r="E880">
        <v>34</v>
      </c>
      <c r="F880" t="s">
        <v>1357</v>
      </c>
      <c r="G880" t="s">
        <v>150</v>
      </c>
      <c r="H880">
        <v>2163</v>
      </c>
      <c r="I880" t="s">
        <v>4</v>
      </c>
      <c r="J880">
        <v>3</v>
      </c>
    </row>
    <row r="881" spans="1:10" x14ac:dyDescent="0.25">
      <c r="A881" t="s">
        <v>639</v>
      </c>
      <c r="B881" t="s">
        <v>148</v>
      </c>
      <c r="C881" t="s">
        <v>1223</v>
      </c>
      <c r="D881" t="s">
        <v>8</v>
      </c>
      <c r="E881">
        <v>53</v>
      </c>
      <c r="F881" t="s">
        <v>1358</v>
      </c>
      <c r="G881" t="s">
        <v>69</v>
      </c>
      <c r="H881">
        <v>8970</v>
      </c>
      <c r="I881" t="s">
        <v>14</v>
      </c>
      <c r="J881">
        <v>4</v>
      </c>
    </row>
    <row r="882" spans="1:10" x14ac:dyDescent="0.25">
      <c r="A882" t="s">
        <v>304</v>
      </c>
      <c r="B882" t="s">
        <v>120</v>
      </c>
      <c r="C882" t="s">
        <v>1224</v>
      </c>
      <c r="D882" t="s">
        <v>3</v>
      </c>
      <c r="E882">
        <v>57</v>
      </c>
      <c r="F882" t="s">
        <v>1358</v>
      </c>
      <c r="G882" t="s">
        <v>76</v>
      </c>
      <c r="H882">
        <v>2395</v>
      </c>
      <c r="I882" t="s">
        <v>4</v>
      </c>
      <c r="J882">
        <v>1</v>
      </c>
    </row>
    <row r="883" spans="1:10" x14ac:dyDescent="0.25">
      <c r="A883" t="s">
        <v>267</v>
      </c>
      <c r="B883" t="s">
        <v>84</v>
      </c>
      <c r="C883" t="s">
        <v>1225</v>
      </c>
      <c r="D883" t="s">
        <v>8</v>
      </c>
      <c r="E883">
        <v>60</v>
      </c>
      <c r="F883" t="s">
        <v>1358</v>
      </c>
      <c r="G883" t="s">
        <v>256</v>
      </c>
      <c r="H883">
        <v>976</v>
      </c>
      <c r="I883" t="s">
        <v>4</v>
      </c>
      <c r="J883">
        <v>0</v>
      </c>
    </row>
    <row r="884" spans="1:10" x14ac:dyDescent="0.25">
      <c r="A884" t="s">
        <v>206</v>
      </c>
      <c r="B884" t="s">
        <v>71</v>
      </c>
      <c r="C884" t="s">
        <v>1226</v>
      </c>
      <c r="D884" t="s">
        <v>3</v>
      </c>
      <c r="E884">
        <v>30</v>
      </c>
      <c r="F884" t="s">
        <v>1359</v>
      </c>
      <c r="G884" t="s">
        <v>76</v>
      </c>
      <c r="H884">
        <v>9242</v>
      </c>
      <c r="I884" t="s">
        <v>4</v>
      </c>
      <c r="J884">
        <v>1</v>
      </c>
    </row>
    <row r="885" spans="1:10" x14ac:dyDescent="0.25">
      <c r="A885" t="s">
        <v>796</v>
      </c>
      <c r="B885" t="s">
        <v>530</v>
      </c>
      <c r="C885" t="s">
        <v>1227</v>
      </c>
      <c r="D885" t="s">
        <v>8</v>
      </c>
      <c r="E885">
        <v>40</v>
      </c>
      <c r="F885" t="s">
        <v>1357</v>
      </c>
      <c r="G885" t="s">
        <v>227</v>
      </c>
      <c r="H885">
        <v>4192</v>
      </c>
      <c r="I885" t="s">
        <v>4</v>
      </c>
      <c r="J885">
        <v>0</v>
      </c>
    </row>
    <row r="886" spans="1:10" x14ac:dyDescent="0.25">
      <c r="A886" t="s">
        <v>183</v>
      </c>
      <c r="B886" t="s">
        <v>112</v>
      </c>
      <c r="C886" t="s">
        <v>1228</v>
      </c>
      <c r="D886" t="s">
        <v>3</v>
      </c>
      <c r="E886">
        <v>28</v>
      </c>
      <c r="F886" t="s">
        <v>1359</v>
      </c>
      <c r="G886" t="s">
        <v>131</v>
      </c>
      <c r="H886">
        <v>4384</v>
      </c>
      <c r="I886" t="s">
        <v>14</v>
      </c>
      <c r="J886">
        <v>0</v>
      </c>
    </row>
    <row r="887" spans="1:10" x14ac:dyDescent="0.25">
      <c r="A887" t="s">
        <v>228</v>
      </c>
      <c r="B887" t="s">
        <v>294</v>
      </c>
      <c r="C887" t="s">
        <v>1229</v>
      </c>
      <c r="D887" t="s">
        <v>8</v>
      </c>
      <c r="E887">
        <v>27</v>
      </c>
      <c r="F887" t="s">
        <v>1359</v>
      </c>
      <c r="G887" t="s">
        <v>131</v>
      </c>
      <c r="H887">
        <v>1385</v>
      </c>
      <c r="I887" t="s">
        <v>14</v>
      </c>
      <c r="J887">
        <v>0</v>
      </c>
    </row>
    <row r="888" spans="1:10" x14ac:dyDescent="0.25">
      <c r="A888" t="s">
        <v>591</v>
      </c>
      <c r="B888" t="s">
        <v>34</v>
      </c>
      <c r="C888" t="s">
        <v>1230</v>
      </c>
      <c r="D888" t="s">
        <v>8</v>
      </c>
      <c r="E888">
        <v>51</v>
      </c>
      <c r="F888" t="s">
        <v>1358</v>
      </c>
      <c r="G888" t="s">
        <v>1364</v>
      </c>
      <c r="H888">
        <v>2948</v>
      </c>
      <c r="I888" t="s">
        <v>14</v>
      </c>
      <c r="J888">
        <v>5</v>
      </c>
    </row>
    <row r="889" spans="1:10" x14ac:dyDescent="0.25">
      <c r="A889" t="s">
        <v>445</v>
      </c>
      <c r="B889" t="s">
        <v>366</v>
      </c>
      <c r="C889" t="s">
        <v>1231</v>
      </c>
      <c r="D889" t="s">
        <v>3</v>
      </c>
      <c r="E889">
        <v>58</v>
      </c>
      <c r="F889" t="s">
        <v>1358</v>
      </c>
      <c r="G889" t="s">
        <v>199</v>
      </c>
      <c r="H889">
        <v>6952</v>
      </c>
      <c r="I889" t="s">
        <v>4</v>
      </c>
      <c r="J889">
        <v>3</v>
      </c>
    </row>
    <row r="890" spans="1:10" x14ac:dyDescent="0.25">
      <c r="A890" t="s">
        <v>692</v>
      </c>
      <c r="B890" t="s">
        <v>120</v>
      </c>
      <c r="C890" t="s">
        <v>1232</v>
      </c>
      <c r="D890" t="s">
        <v>3</v>
      </c>
      <c r="E890">
        <v>47</v>
      </c>
      <c r="F890" t="s">
        <v>1357</v>
      </c>
      <c r="G890" t="s">
        <v>118</v>
      </c>
      <c r="H890">
        <v>8464</v>
      </c>
      <c r="I890" t="s">
        <v>4</v>
      </c>
      <c r="J890">
        <v>0</v>
      </c>
    </row>
    <row r="891" spans="1:10" x14ac:dyDescent="0.25">
      <c r="A891" t="s">
        <v>595</v>
      </c>
      <c r="B891" t="s">
        <v>504</v>
      </c>
      <c r="C891" t="s">
        <v>1233</v>
      </c>
      <c r="D891" t="s">
        <v>8</v>
      </c>
      <c r="E891">
        <v>50</v>
      </c>
      <c r="F891" t="s">
        <v>1357</v>
      </c>
      <c r="G891" t="s">
        <v>256</v>
      </c>
      <c r="H891">
        <v>5812</v>
      </c>
      <c r="I891" t="s">
        <v>14</v>
      </c>
      <c r="J891">
        <v>2</v>
      </c>
    </row>
    <row r="892" spans="1:10" x14ac:dyDescent="0.25">
      <c r="A892" t="s">
        <v>61</v>
      </c>
      <c r="B892" t="s">
        <v>98</v>
      </c>
      <c r="C892" t="s">
        <v>1234</v>
      </c>
      <c r="D892" t="s">
        <v>3</v>
      </c>
      <c r="E892">
        <v>34</v>
      </c>
      <c r="F892" t="s">
        <v>1357</v>
      </c>
      <c r="G892" t="s">
        <v>169</v>
      </c>
      <c r="H892">
        <v>3115</v>
      </c>
      <c r="I892" t="s">
        <v>14</v>
      </c>
      <c r="J892">
        <v>1</v>
      </c>
    </row>
    <row r="893" spans="1:10" x14ac:dyDescent="0.25">
      <c r="A893" t="s">
        <v>173</v>
      </c>
      <c r="B893" t="s">
        <v>185</v>
      </c>
      <c r="C893" t="s">
        <v>1235</v>
      </c>
      <c r="D893" t="s">
        <v>3</v>
      </c>
      <c r="E893">
        <v>41</v>
      </c>
      <c r="F893" t="s">
        <v>1357</v>
      </c>
      <c r="G893" t="s">
        <v>76</v>
      </c>
      <c r="H893">
        <v>9251</v>
      </c>
      <c r="I893" t="s">
        <v>14</v>
      </c>
      <c r="J893">
        <v>0</v>
      </c>
    </row>
    <row r="894" spans="1:10" x14ac:dyDescent="0.25">
      <c r="A894" t="s">
        <v>87</v>
      </c>
      <c r="B894" t="s">
        <v>326</v>
      </c>
      <c r="C894" t="s">
        <v>1236</v>
      </c>
      <c r="D894" t="s">
        <v>3</v>
      </c>
      <c r="E894">
        <v>56</v>
      </c>
      <c r="F894" t="s">
        <v>1358</v>
      </c>
      <c r="G894" t="s">
        <v>76</v>
      </c>
      <c r="H894">
        <v>4182</v>
      </c>
      <c r="I894" t="s">
        <v>14</v>
      </c>
      <c r="J894">
        <v>5</v>
      </c>
    </row>
    <row r="895" spans="1:10" x14ac:dyDescent="0.25">
      <c r="A895" t="s">
        <v>235</v>
      </c>
      <c r="B895" t="s">
        <v>27</v>
      </c>
      <c r="C895" t="s">
        <v>1237</v>
      </c>
      <c r="D895" t="s">
        <v>8</v>
      </c>
      <c r="E895">
        <v>33</v>
      </c>
      <c r="F895" t="s">
        <v>1357</v>
      </c>
      <c r="G895" t="s">
        <v>234</v>
      </c>
      <c r="H895">
        <v>3058</v>
      </c>
      <c r="I895" t="s">
        <v>4</v>
      </c>
      <c r="J895">
        <v>1</v>
      </c>
    </row>
    <row r="896" spans="1:10" x14ac:dyDescent="0.25">
      <c r="A896" t="s">
        <v>87</v>
      </c>
      <c r="B896" t="s">
        <v>530</v>
      </c>
      <c r="C896" t="s">
        <v>1238</v>
      </c>
      <c r="D896" t="s">
        <v>3</v>
      </c>
      <c r="E896">
        <v>49</v>
      </c>
      <c r="F896" t="s">
        <v>1357</v>
      </c>
      <c r="G896" t="s">
        <v>187</v>
      </c>
      <c r="H896">
        <v>9740</v>
      </c>
      <c r="I896" t="s">
        <v>14</v>
      </c>
      <c r="J896">
        <v>1</v>
      </c>
    </row>
    <row r="897" spans="1:10" x14ac:dyDescent="0.25">
      <c r="A897" t="s">
        <v>314</v>
      </c>
      <c r="B897" t="s">
        <v>220</v>
      </c>
      <c r="C897" t="s">
        <v>1239</v>
      </c>
      <c r="D897" t="s">
        <v>8</v>
      </c>
      <c r="E897">
        <v>39</v>
      </c>
      <c r="F897" t="s">
        <v>1357</v>
      </c>
      <c r="G897" t="s">
        <v>227</v>
      </c>
      <c r="H897">
        <v>609</v>
      </c>
      <c r="I897" t="s">
        <v>14</v>
      </c>
      <c r="J897">
        <v>4</v>
      </c>
    </row>
    <row r="898" spans="1:10" x14ac:dyDescent="0.25">
      <c r="A898" t="s">
        <v>336</v>
      </c>
      <c r="B898" t="s">
        <v>498</v>
      </c>
      <c r="C898" t="s">
        <v>1240</v>
      </c>
      <c r="D898" t="s">
        <v>8</v>
      </c>
      <c r="E898">
        <v>32</v>
      </c>
      <c r="F898" t="s">
        <v>1357</v>
      </c>
      <c r="G898" t="s">
        <v>169</v>
      </c>
      <c r="H898">
        <v>7315</v>
      </c>
      <c r="I898" t="s">
        <v>14</v>
      </c>
      <c r="J898">
        <v>2</v>
      </c>
    </row>
    <row r="899" spans="1:10" x14ac:dyDescent="0.25">
      <c r="A899" t="s">
        <v>108</v>
      </c>
      <c r="B899" t="s">
        <v>53</v>
      </c>
      <c r="C899" t="s">
        <v>1241</v>
      </c>
      <c r="D899" t="s">
        <v>3</v>
      </c>
      <c r="E899">
        <v>49</v>
      </c>
      <c r="F899" t="s">
        <v>1357</v>
      </c>
      <c r="G899" t="s">
        <v>194</v>
      </c>
      <c r="H899">
        <v>2538</v>
      </c>
      <c r="I899" t="s">
        <v>4</v>
      </c>
      <c r="J899">
        <v>1</v>
      </c>
    </row>
    <row r="900" spans="1:10" x14ac:dyDescent="0.25">
      <c r="A900" t="s">
        <v>403</v>
      </c>
      <c r="B900" t="s">
        <v>91</v>
      </c>
      <c r="C900" t="s">
        <v>1242</v>
      </c>
      <c r="D900" t="s">
        <v>8</v>
      </c>
      <c r="E900">
        <v>53</v>
      </c>
      <c r="F900" t="s">
        <v>1358</v>
      </c>
      <c r="G900" t="s">
        <v>266</v>
      </c>
      <c r="H900">
        <v>9737</v>
      </c>
      <c r="I900" t="s">
        <v>14</v>
      </c>
      <c r="J900">
        <v>3</v>
      </c>
    </row>
    <row r="901" spans="1:10" x14ac:dyDescent="0.25">
      <c r="A901" t="s">
        <v>145</v>
      </c>
      <c r="B901" t="s">
        <v>45</v>
      </c>
      <c r="C901" t="s">
        <v>1243</v>
      </c>
      <c r="D901" t="s">
        <v>8</v>
      </c>
      <c r="E901">
        <v>46</v>
      </c>
      <c r="F901" t="s">
        <v>1357</v>
      </c>
      <c r="G901" t="s">
        <v>150</v>
      </c>
      <c r="H901">
        <v>8144</v>
      </c>
      <c r="I901" t="s">
        <v>4</v>
      </c>
      <c r="J901">
        <v>0</v>
      </c>
    </row>
    <row r="902" spans="1:10" x14ac:dyDescent="0.25">
      <c r="A902" t="s">
        <v>26</v>
      </c>
      <c r="B902" t="s">
        <v>126</v>
      </c>
      <c r="C902" t="s">
        <v>1244</v>
      </c>
      <c r="D902" t="s">
        <v>8</v>
      </c>
      <c r="E902">
        <v>47</v>
      </c>
      <c r="F902" t="s">
        <v>1357</v>
      </c>
      <c r="G902" t="s">
        <v>248</v>
      </c>
      <c r="H902">
        <v>1827</v>
      </c>
      <c r="I902" t="s">
        <v>4</v>
      </c>
      <c r="J902">
        <v>1</v>
      </c>
    </row>
    <row r="903" spans="1:10" x14ac:dyDescent="0.25">
      <c r="A903" t="s">
        <v>155</v>
      </c>
      <c r="B903" t="s">
        <v>604</v>
      </c>
      <c r="C903" t="s">
        <v>1245</v>
      </c>
      <c r="D903" t="s">
        <v>3</v>
      </c>
      <c r="E903">
        <v>51</v>
      </c>
      <c r="F903" t="s">
        <v>1358</v>
      </c>
      <c r="G903" t="s">
        <v>13</v>
      </c>
      <c r="H903">
        <v>8998</v>
      </c>
      <c r="I903" t="s">
        <v>4</v>
      </c>
      <c r="J903">
        <v>0</v>
      </c>
    </row>
    <row r="904" spans="1:10" x14ac:dyDescent="0.25">
      <c r="A904" t="s">
        <v>52</v>
      </c>
      <c r="B904" t="s">
        <v>561</v>
      </c>
      <c r="C904" t="s">
        <v>1246</v>
      </c>
      <c r="D904" t="s">
        <v>8</v>
      </c>
      <c r="E904">
        <v>23</v>
      </c>
      <c r="F904" t="s">
        <v>1359</v>
      </c>
      <c r="G904" t="s">
        <v>51</v>
      </c>
      <c r="H904">
        <v>3240</v>
      </c>
      <c r="I904" t="s">
        <v>4</v>
      </c>
      <c r="J904">
        <v>1</v>
      </c>
    </row>
    <row r="905" spans="1:10" x14ac:dyDescent="0.25">
      <c r="A905" t="s">
        <v>61</v>
      </c>
      <c r="B905" t="s">
        <v>114</v>
      </c>
      <c r="C905" t="s">
        <v>1247</v>
      </c>
      <c r="D905" t="s">
        <v>3</v>
      </c>
      <c r="E905">
        <v>18</v>
      </c>
      <c r="F905" t="s">
        <v>1359</v>
      </c>
      <c r="G905" t="s">
        <v>150</v>
      </c>
      <c r="H905">
        <v>2457</v>
      </c>
      <c r="I905" t="s">
        <v>14</v>
      </c>
      <c r="J905">
        <v>3</v>
      </c>
    </row>
    <row r="906" spans="1:10" x14ac:dyDescent="0.25">
      <c r="A906" t="s">
        <v>928</v>
      </c>
      <c r="B906" t="s">
        <v>1</v>
      </c>
      <c r="C906" t="s">
        <v>1248</v>
      </c>
      <c r="D906" t="s">
        <v>8</v>
      </c>
      <c r="E906">
        <v>43</v>
      </c>
      <c r="F906" t="s">
        <v>1357</v>
      </c>
      <c r="G906" t="s">
        <v>217</v>
      </c>
      <c r="H906">
        <v>8822</v>
      </c>
      <c r="I906" t="s">
        <v>4</v>
      </c>
      <c r="J906">
        <v>4</v>
      </c>
    </row>
    <row r="907" spans="1:10" x14ac:dyDescent="0.25">
      <c r="A907" t="s">
        <v>639</v>
      </c>
      <c r="B907" t="s">
        <v>112</v>
      </c>
      <c r="C907" t="s">
        <v>1249</v>
      </c>
      <c r="D907" t="s">
        <v>8</v>
      </c>
      <c r="E907">
        <v>56</v>
      </c>
      <c r="F907" t="s">
        <v>1358</v>
      </c>
      <c r="G907" t="s">
        <v>131</v>
      </c>
      <c r="H907">
        <v>8979</v>
      </c>
      <c r="I907" t="s">
        <v>14</v>
      </c>
      <c r="J907">
        <v>1</v>
      </c>
    </row>
    <row r="908" spans="1:10" x14ac:dyDescent="0.25">
      <c r="A908" t="s">
        <v>350</v>
      </c>
      <c r="B908" t="s">
        <v>334</v>
      </c>
      <c r="C908" t="s">
        <v>1250</v>
      </c>
      <c r="D908" t="s">
        <v>8</v>
      </c>
      <c r="E908">
        <v>34</v>
      </c>
      <c r="F908" t="s">
        <v>1357</v>
      </c>
      <c r="G908" t="s">
        <v>169</v>
      </c>
      <c r="H908">
        <v>7733</v>
      </c>
      <c r="I908" t="s">
        <v>4</v>
      </c>
      <c r="J908">
        <v>5</v>
      </c>
    </row>
    <row r="909" spans="1:10" x14ac:dyDescent="0.25">
      <c r="A909" t="s">
        <v>812</v>
      </c>
      <c r="B909" t="s">
        <v>155</v>
      </c>
      <c r="C909" t="s">
        <v>1251</v>
      </c>
      <c r="D909" t="s">
        <v>3</v>
      </c>
      <c r="E909">
        <v>29</v>
      </c>
      <c r="F909" t="s">
        <v>1359</v>
      </c>
      <c r="G909" t="s">
        <v>69</v>
      </c>
      <c r="H909">
        <v>4522</v>
      </c>
      <c r="I909" t="s">
        <v>14</v>
      </c>
      <c r="J909">
        <v>4</v>
      </c>
    </row>
    <row r="910" spans="1:10" x14ac:dyDescent="0.25">
      <c r="A910" t="s">
        <v>346</v>
      </c>
      <c r="B910" t="s">
        <v>116</v>
      </c>
      <c r="C910" t="s">
        <v>347</v>
      </c>
      <c r="D910" t="s">
        <v>3</v>
      </c>
      <c r="E910">
        <v>45</v>
      </c>
      <c r="F910" t="s">
        <v>1357</v>
      </c>
      <c r="G910" t="s">
        <v>266</v>
      </c>
      <c r="H910">
        <v>7865</v>
      </c>
      <c r="I910" t="s">
        <v>14</v>
      </c>
      <c r="J910">
        <v>2</v>
      </c>
    </row>
    <row r="911" spans="1:10" x14ac:dyDescent="0.25">
      <c r="A911" t="s">
        <v>1252</v>
      </c>
      <c r="B911" t="s">
        <v>249</v>
      </c>
      <c r="C911" t="s">
        <v>1253</v>
      </c>
      <c r="D911" t="s">
        <v>8</v>
      </c>
      <c r="E911">
        <v>30</v>
      </c>
      <c r="F911" t="s">
        <v>1359</v>
      </c>
      <c r="G911" t="s">
        <v>227</v>
      </c>
      <c r="H911">
        <v>8604</v>
      </c>
      <c r="I911" t="s">
        <v>4</v>
      </c>
      <c r="J911">
        <v>0</v>
      </c>
    </row>
    <row r="912" spans="1:10" x14ac:dyDescent="0.25">
      <c r="A912" t="s">
        <v>125</v>
      </c>
      <c r="B912" t="s">
        <v>78</v>
      </c>
      <c r="C912" t="s">
        <v>1254</v>
      </c>
      <c r="D912" t="s">
        <v>8</v>
      </c>
      <c r="E912">
        <v>44</v>
      </c>
      <c r="F912" t="s">
        <v>1357</v>
      </c>
      <c r="G912" t="s">
        <v>51</v>
      </c>
      <c r="H912">
        <v>5443</v>
      </c>
      <c r="I912" t="s">
        <v>4</v>
      </c>
      <c r="J912">
        <v>2</v>
      </c>
    </row>
    <row r="913" spans="1:10" x14ac:dyDescent="0.25">
      <c r="A913" t="s">
        <v>525</v>
      </c>
      <c r="B913" t="s">
        <v>340</v>
      </c>
      <c r="C913" t="s">
        <v>1255</v>
      </c>
      <c r="D913" t="s">
        <v>8</v>
      </c>
      <c r="E913">
        <v>54</v>
      </c>
      <c r="F913" t="s">
        <v>1358</v>
      </c>
      <c r="G913" t="s">
        <v>69</v>
      </c>
      <c r="H913">
        <v>1498</v>
      </c>
      <c r="I913" t="s">
        <v>4</v>
      </c>
      <c r="J913">
        <v>4</v>
      </c>
    </row>
    <row r="914" spans="1:10" x14ac:dyDescent="0.25">
      <c r="A914" t="s">
        <v>512</v>
      </c>
      <c r="B914" t="s">
        <v>174</v>
      </c>
      <c r="C914" t="s">
        <v>1256</v>
      </c>
      <c r="D914" t="s">
        <v>3</v>
      </c>
      <c r="E914">
        <v>37</v>
      </c>
      <c r="F914" t="s">
        <v>1357</v>
      </c>
      <c r="G914" t="s">
        <v>234</v>
      </c>
      <c r="H914">
        <v>5054</v>
      </c>
      <c r="I914" t="s">
        <v>4</v>
      </c>
      <c r="J914">
        <v>5</v>
      </c>
    </row>
    <row r="915" spans="1:10" x14ac:dyDescent="0.25">
      <c r="A915" t="s">
        <v>138</v>
      </c>
      <c r="B915" t="s">
        <v>337</v>
      </c>
      <c r="C915" t="s">
        <v>1257</v>
      </c>
      <c r="D915" t="s">
        <v>3</v>
      </c>
      <c r="E915">
        <v>58</v>
      </c>
      <c r="F915" t="s">
        <v>1358</v>
      </c>
      <c r="G915" t="s">
        <v>227</v>
      </c>
      <c r="H915">
        <v>8153</v>
      </c>
      <c r="I915" t="s">
        <v>4</v>
      </c>
      <c r="J915">
        <v>4</v>
      </c>
    </row>
    <row r="916" spans="1:10" x14ac:dyDescent="0.25">
      <c r="A916" t="s">
        <v>111</v>
      </c>
      <c r="B916" t="s">
        <v>368</v>
      </c>
      <c r="C916" t="s">
        <v>1258</v>
      </c>
      <c r="D916" t="s">
        <v>8</v>
      </c>
      <c r="E916">
        <v>51</v>
      </c>
      <c r="F916" t="s">
        <v>1358</v>
      </c>
      <c r="G916" t="s">
        <v>225</v>
      </c>
      <c r="H916">
        <v>4167</v>
      </c>
      <c r="I916" t="s">
        <v>14</v>
      </c>
      <c r="J916">
        <v>5</v>
      </c>
    </row>
    <row r="917" spans="1:10" x14ac:dyDescent="0.25">
      <c r="A917" t="s">
        <v>395</v>
      </c>
      <c r="B917" t="s">
        <v>326</v>
      </c>
      <c r="C917" t="s">
        <v>1259</v>
      </c>
      <c r="D917" t="s">
        <v>8</v>
      </c>
      <c r="E917">
        <v>34</v>
      </c>
      <c r="F917" t="s">
        <v>1357</v>
      </c>
      <c r="G917" t="s">
        <v>25</v>
      </c>
      <c r="H917">
        <v>9777</v>
      </c>
      <c r="I917" t="s">
        <v>4</v>
      </c>
      <c r="J917">
        <v>0</v>
      </c>
    </row>
    <row r="918" spans="1:10" x14ac:dyDescent="0.25">
      <c r="A918" t="s">
        <v>1067</v>
      </c>
      <c r="B918" t="s">
        <v>126</v>
      </c>
      <c r="C918" t="s">
        <v>1260</v>
      </c>
      <c r="D918" t="s">
        <v>3</v>
      </c>
      <c r="E918">
        <v>49</v>
      </c>
      <c r="F918" t="s">
        <v>1357</v>
      </c>
      <c r="G918" t="s">
        <v>211</v>
      </c>
      <c r="H918">
        <v>3559</v>
      </c>
      <c r="I918" t="s">
        <v>14</v>
      </c>
      <c r="J918">
        <v>5</v>
      </c>
    </row>
    <row r="919" spans="1:10" x14ac:dyDescent="0.25">
      <c r="A919" t="s">
        <v>33</v>
      </c>
      <c r="B919" t="s">
        <v>351</v>
      </c>
      <c r="C919" t="s">
        <v>1261</v>
      </c>
      <c r="D919" t="s">
        <v>3</v>
      </c>
      <c r="E919">
        <v>47</v>
      </c>
      <c r="F919" t="s">
        <v>1357</v>
      </c>
      <c r="G919" t="s">
        <v>59</v>
      </c>
      <c r="H919">
        <v>2901</v>
      </c>
      <c r="I919" t="s">
        <v>14</v>
      </c>
      <c r="J919">
        <v>1</v>
      </c>
    </row>
    <row r="920" spans="1:10" x14ac:dyDescent="0.25">
      <c r="A920" t="s">
        <v>439</v>
      </c>
      <c r="B920" t="s">
        <v>371</v>
      </c>
      <c r="C920" t="s">
        <v>1262</v>
      </c>
      <c r="D920" t="s">
        <v>3</v>
      </c>
      <c r="E920">
        <v>47</v>
      </c>
      <c r="F920" t="s">
        <v>1357</v>
      </c>
      <c r="G920" t="s">
        <v>128</v>
      </c>
      <c r="H920">
        <v>634</v>
      </c>
      <c r="I920" t="s">
        <v>4</v>
      </c>
      <c r="J920">
        <v>3</v>
      </c>
    </row>
    <row r="921" spans="1:10" x14ac:dyDescent="0.25">
      <c r="A921" t="s">
        <v>423</v>
      </c>
      <c r="B921" t="s">
        <v>340</v>
      </c>
      <c r="C921" t="s">
        <v>1263</v>
      </c>
      <c r="D921" t="s">
        <v>8</v>
      </c>
      <c r="E921">
        <v>34</v>
      </c>
      <c r="F921" t="s">
        <v>1357</v>
      </c>
      <c r="G921" t="s">
        <v>182</v>
      </c>
      <c r="H921">
        <v>3817</v>
      </c>
      <c r="I921" t="s">
        <v>14</v>
      </c>
      <c r="J921">
        <v>0</v>
      </c>
    </row>
    <row r="922" spans="1:10" x14ac:dyDescent="0.25">
      <c r="A922" t="s">
        <v>360</v>
      </c>
      <c r="B922" t="s">
        <v>49</v>
      </c>
      <c r="C922" t="s">
        <v>1264</v>
      </c>
      <c r="D922" t="s">
        <v>3</v>
      </c>
      <c r="E922">
        <v>45</v>
      </c>
      <c r="F922" t="s">
        <v>1357</v>
      </c>
      <c r="G922" t="s">
        <v>270</v>
      </c>
      <c r="H922">
        <v>9990</v>
      </c>
      <c r="I922" t="s">
        <v>4</v>
      </c>
      <c r="J922">
        <v>1</v>
      </c>
    </row>
    <row r="923" spans="1:10" x14ac:dyDescent="0.25">
      <c r="A923" t="s">
        <v>671</v>
      </c>
      <c r="B923" t="s">
        <v>45</v>
      </c>
      <c r="C923" t="s">
        <v>1265</v>
      </c>
      <c r="D923" t="s">
        <v>8</v>
      </c>
      <c r="E923">
        <v>44</v>
      </c>
      <c r="F923" t="s">
        <v>1357</v>
      </c>
      <c r="G923" t="s">
        <v>248</v>
      </c>
      <c r="H923">
        <v>8325</v>
      </c>
      <c r="I923" t="s">
        <v>4</v>
      </c>
      <c r="J923">
        <v>4</v>
      </c>
    </row>
    <row r="924" spans="1:10" x14ac:dyDescent="0.25">
      <c r="A924" t="s">
        <v>537</v>
      </c>
      <c r="B924" t="s">
        <v>23</v>
      </c>
      <c r="C924" t="s">
        <v>1266</v>
      </c>
      <c r="D924" t="s">
        <v>3</v>
      </c>
      <c r="E924">
        <v>49</v>
      </c>
      <c r="F924" t="s">
        <v>1357</v>
      </c>
      <c r="G924" t="s">
        <v>231</v>
      </c>
      <c r="H924">
        <v>4604</v>
      </c>
      <c r="I924" t="s">
        <v>4</v>
      </c>
      <c r="J924">
        <v>5</v>
      </c>
    </row>
    <row r="925" spans="1:10" x14ac:dyDescent="0.25">
      <c r="A925" t="s">
        <v>963</v>
      </c>
      <c r="B925" t="s">
        <v>249</v>
      </c>
      <c r="C925" t="s">
        <v>1267</v>
      </c>
      <c r="D925" t="s">
        <v>3</v>
      </c>
      <c r="E925">
        <v>43</v>
      </c>
      <c r="F925" t="s">
        <v>1357</v>
      </c>
      <c r="G925" t="s">
        <v>211</v>
      </c>
      <c r="H925">
        <v>4254</v>
      </c>
      <c r="I925" t="s">
        <v>14</v>
      </c>
      <c r="J925">
        <v>3</v>
      </c>
    </row>
    <row r="926" spans="1:10" x14ac:dyDescent="0.25">
      <c r="A926" t="s">
        <v>188</v>
      </c>
      <c r="B926" t="s">
        <v>148</v>
      </c>
      <c r="C926" t="s">
        <v>1268</v>
      </c>
      <c r="D926" t="s">
        <v>8</v>
      </c>
      <c r="E926">
        <v>43</v>
      </c>
      <c r="F926" t="s">
        <v>1357</v>
      </c>
      <c r="G926" t="s">
        <v>80</v>
      </c>
      <c r="H926">
        <v>7493</v>
      </c>
      <c r="I926" t="s">
        <v>4</v>
      </c>
      <c r="J926">
        <v>2</v>
      </c>
    </row>
    <row r="927" spans="1:10" x14ac:dyDescent="0.25">
      <c r="A927" t="s">
        <v>922</v>
      </c>
      <c r="B927" t="s">
        <v>215</v>
      </c>
      <c r="C927" t="s">
        <v>1269</v>
      </c>
      <c r="D927" t="s">
        <v>3</v>
      </c>
      <c r="E927">
        <v>19</v>
      </c>
      <c r="F927" t="s">
        <v>1359</v>
      </c>
      <c r="G927" t="s">
        <v>43</v>
      </c>
      <c r="H927">
        <v>5631</v>
      </c>
      <c r="I927" t="s">
        <v>14</v>
      </c>
      <c r="J927">
        <v>3</v>
      </c>
    </row>
    <row r="928" spans="1:10" x14ac:dyDescent="0.25">
      <c r="A928" t="s">
        <v>725</v>
      </c>
      <c r="B928" t="s">
        <v>174</v>
      </c>
      <c r="C928" t="s">
        <v>1270</v>
      </c>
      <c r="D928" t="s">
        <v>8</v>
      </c>
      <c r="E928">
        <v>36</v>
      </c>
      <c r="F928" t="s">
        <v>1357</v>
      </c>
      <c r="G928" t="s">
        <v>303</v>
      </c>
      <c r="H928">
        <v>9684</v>
      </c>
      <c r="I928" t="s">
        <v>4</v>
      </c>
      <c r="J928">
        <v>0</v>
      </c>
    </row>
    <row r="929" spans="1:10" x14ac:dyDescent="0.25">
      <c r="A929" t="s">
        <v>491</v>
      </c>
      <c r="B929" t="s">
        <v>200</v>
      </c>
      <c r="C929" t="s">
        <v>1271</v>
      </c>
      <c r="D929" t="s">
        <v>3</v>
      </c>
      <c r="E929">
        <v>35</v>
      </c>
      <c r="F929" t="s">
        <v>1357</v>
      </c>
      <c r="G929" t="s">
        <v>172</v>
      </c>
      <c r="H929">
        <v>4400</v>
      </c>
      <c r="I929" t="s">
        <v>4</v>
      </c>
      <c r="J929">
        <v>2</v>
      </c>
    </row>
    <row r="930" spans="1:10" x14ac:dyDescent="0.25">
      <c r="A930" t="s">
        <v>238</v>
      </c>
      <c r="B930" t="s">
        <v>251</v>
      </c>
      <c r="C930" t="s">
        <v>1272</v>
      </c>
      <c r="D930" t="s">
        <v>8</v>
      </c>
      <c r="E930">
        <v>29</v>
      </c>
      <c r="F930" t="s">
        <v>1359</v>
      </c>
      <c r="G930" t="s">
        <v>169</v>
      </c>
      <c r="H930">
        <v>9481</v>
      </c>
      <c r="I930" t="s">
        <v>4</v>
      </c>
      <c r="J930">
        <v>3</v>
      </c>
    </row>
    <row r="931" spans="1:10" x14ac:dyDescent="0.25">
      <c r="A931" t="s">
        <v>379</v>
      </c>
      <c r="B931" t="s">
        <v>251</v>
      </c>
      <c r="C931" t="s">
        <v>1273</v>
      </c>
      <c r="D931" t="s">
        <v>8</v>
      </c>
      <c r="E931">
        <v>36</v>
      </c>
      <c r="F931" t="s">
        <v>1357</v>
      </c>
      <c r="G931" t="s">
        <v>43</v>
      </c>
      <c r="H931">
        <v>7932</v>
      </c>
      <c r="I931" t="s">
        <v>4</v>
      </c>
      <c r="J931">
        <v>5</v>
      </c>
    </row>
    <row r="932" spans="1:10" x14ac:dyDescent="0.25">
      <c r="A932" t="s">
        <v>408</v>
      </c>
      <c r="B932" t="s">
        <v>174</v>
      </c>
      <c r="C932" t="s">
        <v>1274</v>
      </c>
      <c r="D932" t="s">
        <v>3</v>
      </c>
      <c r="E932">
        <v>34</v>
      </c>
      <c r="F932" t="s">
        <v>1357</v>
      </c>
      <c r="G932" t="s">
        <v>266</v>
      </c>
      <c r="H932">
        <v>1350</v>
      </c>
      <c r="I932" t="s">
        <v>4</v>
      </c>
      <c r="J932">
        <v>0</v>
      </c>
    </row>
    <row r="933" spans="1:10" x14ac:dyDescent="0.25">
      <c r="A933" t="s">
        <v>700</v>
      </c>
      <c r="B933" t="s">
        <v>530</v>
      </c>
      <c r="C933" t="s">
        <v>1275</v>
      </c>
      <c r="D933" t="s">
        <v>3</v>
      </c>
      <c r="E933">
        <v>30</v>
      </c>
      <c r="F933" t="s">
        <v>1359</v>
      </c>
      <c r="G933" t="s">
        <v>270</v>
      </c>
      <c r="H933">
        <v>4197</v>
      </c>
      <c r="I933" t="s">
        <v>4</v>
      </c>
      <c r="J933">
        <v>4</v>
      </c>
    </row>
    <row r="934" spans="1:10" x14ac:dyDescent="0.25">
      <c r="A934" t="s">
        <v>129</v>
      </c>
      <c r="B934" t="s">
        <v>371</v>
      </c>
      <c r="C934" t="s">
        <v>1276</v>
      </c>
      <c r="D934" t="s">
        <v>3</v>
      </c>
      <c r="E934">
        <v>18</v>
      </c>
      <c r="F934" t="s">
        <v>1359</v>
      </c>
      <c r="G934" t="s">
        <v>9</v>
      </c>
      <c r="H934">
        <v>3964</v>
      </c>
      <c r="I934" t="s">
        <v>4</v>
      </c>
      <c r="J934">
        <v>2</v>
      </c>
    </row>
    <row r="935" spans="1:10" x14ac:dyDescent="0.25">
      <c r="A935" t="s">
        <v>584</v>
      </c>
      <c r="B935" t="s">
        <v>204</v>
      </c>
      <c r="C935" t="s">
        <v>1277</v>
      </c>
      <c r="D935" t="s">
        <v>3</v>
      </c>
      <c r="E935">
        <v>43</v>
      </c>
      <c r="F935" t="s">
        <v>1357</v>
      </c>
      <c r="G935" t="s">
        <v>124</v>
      </c>
      <c r="H935">
        <v>3378</v>
      </c>
      <c r="I935" t="s">
        <v>4</v>
      </c>
      <c r="J935">
        <v>3</v>
      </c>
    </row>
    <row r="936" spans="1:10" x14ac:dyDescent="0.25">
      <c r="A936" t="s">
        <v>591</v>
      </c>
      <c r="B936" t="s">
        <v>635</v>
      </c>
      <c r="C936" t="s">
        <v>1278</v>
      </c>
      <c r="D936" t="s">
        <v>8</v>
      </c>
      <c r="E936">
        <v>48</v>
      </c>
      <c r="F936" t="s">
        <v>1357</v>
      </c>
      <c r="G936" t="s">
        <v>270</v>
      </c>
      <c r="H936">
        <v>1804</v>
      </c>
      <c r="I936" t="s">
        <v>14</v>
      </c>
      <c r="J936">
        <v>2</v>
      </c>
    </row>
    <row r="937" spans="1:10" x14ac:dyDescent="0.25">
      <c r="A937" t="s">
        <v>690</v>
      </c>
      <c r="B937" t="s">
        <v>650</v>
      </c>
      <c r="C937" t="s">
        <v>1279</v>
      </c>
      <c r="D937" t="s">
        <v>8</v>
      </c>
      <c r="E937">
        <v>58</v>
      </c>
      <c r="F937" t="s">
        <v>1358</v>
      </c>
      <c r="G937" t="s">
        <v>217</v>
      </c>
      <c r="H937">
        <v>9107</v>
      </c>
      <c r="I937" t="s">
        <v>4</v>
      </c>
      <c r="J937">
        <v>4</v>
      </c>
    </row>
    <row r="938" spans="1:10" x14ac:dyDescent="0.25">
      <c r="A938" t="s">
        <v>108</v>
      </c>
      <c r="B938" t="s">
        <v>459</v>
      </c>
      <c r="C938" t="s">
        <v>1280</v>
      </c>
      <c r="D938" t="s">
        <v>3</v>
      </c>
      <c r="E938">
        <v>45</v>
      </c>
      <c r="F938" t="s">
        <v>1357</v>
      </c>
      <c r="G938" t="s">
        <v>63</v>
      </c>
      <c r="H938">
        <v>1213</v>
      </c>
      <c r="I938" t="s">
        <v>4</v>
      </c>
      <c r="J938">
        <v>5</v>
      </c>
    </row>
    <row r="939" spans="1:10" x14ac:dyDescent="0.25">
      <c r="A939" t="s">
        <v>534</v>
      </c>
      <c r="B939" t="s">
        <v>1</v>
      </c>
      <c r="C939" t="s">
        <v>1281</v>
      </c>
      <c r="D939" t="s">
        <v>3</v>
      </c>
      <c r="E939">
        <v>26</v>
      </c>
      <c r="F939" t="s">
        <v>1359</v>
      </c>
      <c r="G939" t="s">
        <v>63</v>
      </c>
      <c r="H939">
        <v>7686</v>
      </c>
      <c r="I939" t="s">
        <v>14</v>
      </c>
      <c r="J939">
        <v>5</v>
      </c>
    </row>
    <row r="940" spans="1:10" x14ac:dyDescent="0.25">
      <c r="A940" t="s">
        <v>240</v>
      </c>
      <c r="B940" t="s">
        <v>236</v>
      </c>
      <c r="C940" t="s">
        <v>1282</v>
      </c>
      <c r="D940" t="s">
        <v>3</v>
      </c>
      <c r="E940">
        <v>45</v>
      </c>
      <c r="F940" t="s">
        <v>1357</v>
      </c>
      <c r="G940" t="s">
        <v>303</v>
      </c>
      <c r="H940">
        <v>6167</v>
      </c>
      <c r="I940" t="s">
        <v>4</v>
      </c>
      <c r="J940">
        <v>0</v>
      </c>
    </row>
    <row r="941" spans="1:10" x14ac:dyDescent="0.25">
      <c r="A941" t="s">
        <v>657</v>
      </c>
      <c r="B941" t="s">
        <v>294</v>
      </c>
      <c r="C941" t="s">
        <v>1283</v>
      </c>
      <c r="D941" t="s">
        <v>3</v>
      </c>
      <c r="E941">
        <v>35</v>
      </c>
      <c r="F941" t="s">
        <v>1357</v>
      </c>
      <c r="G941" t="s">
        <v>21</v>
      </c>
      <c r="H941">
        <v>5036</v>
      </c>
      <c r="I941" t="s">
        <v>4</v>
      </c>
      <c r="J941">
        <v>5</v>
      </c>
    </row>
    <row r="942" spans="1:10" x14ac:dyDescent="0.25">
      <c r="A942" t="s">
        <v>135</v>
      </c>
      <c r="B942" t="s">
        <v>95</v>
      </c>
      <c r="C942" t="s">
        <v>1284</v>
      </c>
      <c r="D942" t="s">
        <v>3</v>
      </c>
      <c r="E942">
        <v>18</v>
      </c>
      <c r="F942" t="s">
        <v>1359</v>
      </c>
      <c r="G942" t="s">
        <v>103</v>
      </c>
      <c r="H942">
        <v>6454</v>
      </c>
      <c r="I942" t="s">
        <v>14</v>
      </c>
      <c r="J942">
        <v>0</v>
      </c>
    </row>
    <row r="943" spans="1:10" x14ac:dyDescent="0.25">
      <c r="A943" t="s">
        <v>454</v>
      </c>
      <c r="B943" t="s">
        <v>185</v>
      </c>
      <c r="C943" t="s">
        <v>1285</v>
      </c>
      <c r="D943" t="s">
        <v>8</v>
      </c>
      <c r="E943">
        <v>23</v>
      </c>
      <c r="F943" t="s">
        <v>1359</v>
      </c>
      <c r="G943" t="s">
        <v>169</v>
      </c>
      <c r="H943">
        <v>1458</v>
      </c>
      <c r="I943" t="s">
        <v>14</v>
      </c>
      <c r="J943">
        <v>3</v>
      </c>
    </row>
    <row r="944" spans="1:10" x14ac:dyDescent="0.25">
      <c r="A944" t="s">
        <v>115</v>
      </c>
      <c r="B944" t="s">
        <v>433</v>
      </c>
      <c r="C944" t="s">
        <v>1286</v>
      </c>
      <c r="D944" t="s">
        <v>3</v>
      </c>
      <c r="E944">
        <v>48</v>
      </c>
      <c r="F944" t="s">
        <v>1357</v>
      </c>
      <c r="G944" t="s">
        <v>266</v>
      </c>
      <c r="H944">
        <v>3712</v>
      </c>
      <c r="I944" t="s">
        <v>14</v>
      </c>
      <c r="J944">
        <v>0</v>
      </c>
    </row>
    <row r="945" spans="1:10" x14ac:dyDescent="0.25">
      <c r="A945" t="s">
        <v>700</v>
      </c>
      <c r="B945" t="s">
        <v>409</v>
      </c>
      <c r="C945" t="s">
        <v>1287</v>
      </c>
      <c r="D945" t="s">
        <v>3</v>
      </c>
      <c r="E945">
        <v>52</v>
      </c>
      <c r="F945" t="s">
        <v>1358</v>
      </c>
      <c r="G945" t="s">
        <v>1364</v>
      </c>
      <c r="H945">
        <v>5391</v>
      </c>
      <c r="I945" t="s">
        <v>14</v>
      </c>
      <c r="J945">
        <v>4</v>
      </c>
    </row>
    <row r="946" spans="1:10" x14ac:dyDescent="0.25">
      <c r="A946" t="s">
        <v>87</v>
      </c>
      <c r="B946" t="s">
        <v>180</v>
      </c>
      <c r="C946" t="s">
        <v>1288</v>
      </c>
      <c r="D946" t="s">
        <v>3</v>
      </c>
      <c r="E946">
        <v>46</v>
      </c>
      <c r="F946" t="s">
        <v>1357</v>
      </c>
      <c r="G946" t="s">
        <v>382</v>
      </c>
      <c r="H946">
        <v>9186</v>
      </c>
      <c r="I946" t="s">
        <v>14</v>
      </c>
      <c r="J946">
        <v>3</v>
      </c>
    </row>
    <row r="947" spans="1:10" x14ac:dyDescent="0.25">
      <c r="A947" t="s">
        <v>862</v>
      </c>
      <c r="B947" t="s">
        <v>334</v>
      </c>
      <c r="C947" t="s">
        <v>1289</v>
      </c>
      <c r="D947" t="s">
        <v>3</v>
      </c>
      <c r="E947">
        <v>22</v>
      </c>
      <c r="F947" t="s">
        <v>1359</v>
      </c>
      <c r="G947" t="s">
        <v>1364</v>
      </c>
      <c r="H947">
        <v>3488</v>
      </c>
      <c r="I947" t="s">
        <v>4</v>
      </c>
      <c r="J947">
        <v>3</v>
      </c>
    </row>
    <row r="948" spans="1:10" x14ac:dyDescent="0.25">
      <c r="A948" t="s">
        <v>698</v>
      </c>
      <c r="B948" t="s">
        <v>71</v>
      </c>
      <c r="C948" t="s">
        <v>1290</v>
      </c>
      <c r="D948" t="s">
        <v>8</v>
      </c>
      <c r="E948">
        <v>51</v>
      </c>
      <c r="F948" t="s">
        <v>1358</v>
      </c>
      <c r="G948" t="s">
        <v>382</v>
      </c>
      <c r="H948">
        <v>2527</v>
      </c>
      <c r="I948" t="s">
        <v>14</v>
      </c>
      <c r="J948">
        <v>1</v>
      </c>
    </row>
    <row r="949" spans="1:10" x14ac:dyDescent="0.25">
      <c r="A949" t="s">
        <v>195</v>
      </c>
      <c r="B949" t="s">
        <v>112</v>
      </c>
      <c r="C949" t="s">
        <v>1291</v>
      </c>
      <c r="D949" t="s">
        <v>3</v>
      </c>
      <c r="E949">
        <v>38</v>
      </c>
      <c r="F949" t="s">
        <v>1357</v>
      </c>
      <c r="G949" t="s">
        <v>107</v>
      </c>
      <c r="H949">
        <v>4107</v>
      </c>
      <c r="I949" t="s">
        <v>14</v>
      </c>
      <c r="J949">
        <v>4</v>
      </c>
    </row>
    <row r="950" spans="1:10" x14ac:dyDescent="0.25">
      <c r="A950" t="s">
        <v>637</v>
      </c>
      <c r="B950" t="s">
        <v>251</v>
      </c>
      <c r="C950" t="s">
        <v>1292</v>
      </c>
      <c r="D950" t="s">
        <v>3</v>
      </c>
      <c r="E950">
        <v>60</v>
      </c>
      <c r="F950" t="s">
        <v>1358</v>
      </c>
      <c r="G950" t="s">
        <v>266</v>
      </c>
      <c r="H950">
        <v>2707</v>
      </c>
      <c r="I950" t="s">
        <v>14</v>
      </c>
      <c r="J950">
        <v>5</v>
      </c>
    </row>
    <row r="951" spans="1:10" x14ac:dyDescent="0.25">
      <c r="A951" t="s">
        <v>443</v>
      </c>
      <c r="B951" t="s">
        <v>249</v>
      </c>
      <c r="C951" t="s">
        <v>1293</v>
      </c>
      <c r="D951" t="s">
        <v>3</v>
      </c>
      <c r="E951">
        <v>55</v>
      </c>
      <c r="F951" t="s">
        <v>1358</v>
      </c>
      <c r="G951" t="s">
        <v>59</v>
      </c>
      <c r="H951">
        <v>5113</v>
      </c>
      <c r="I951" t="s">
        <v>4</v>
      </c>
      <c r="J951">
        <v>5</v>
      </c>
    </row>
    <row r="952" spans="1:10" x14ac:dyDescent="0.25">
      <c r="A952" t="s">
        <v>135</v>
      </c>
      <c r="B952" t="s">
        <v>220</v>
      </c>
      <c r="C952" t="s">
        <v>1294</v>
      </c>
      <c r="D952" t="s">
        <v>3</v>
      </c>
      <c r="E952">
        <v>50</v>
      </c>
      <c r="F952" t="s">
        <v>1357</v>
      </c>
      <c r="G952" t="s">
        <v>234</v>
      </c>
      <c r="H952">
        <v>9241</v>
      </c>
      <c r="I952" t="s">
        <v>14</v>
      </c>
      <c r="J952">
        <v>1</v>
      </c>
    </row>
    <row r="953" spans="1:10" x14ac:dyDescent="0.25">
      <c r="A953" t="s">
        <v>1096</v>
      </c>
      <c r="B953" t="s">
        <v>340</v>
      </c>
      <c r="C953" t="s">
        <v>1295</v>
      </c>
      <c r="D953" t="s">
        <v>3</v>
      </c>
      <c r="E953">
        <v>47</v>
      </c>
      <c r="F953" t="s">
        <v>1357</v>
      </c>
      <c r="G953" t="s">
        <v>36</v>
      </c>
      <c r="H953">
        <v>1453</v>
      </c>
      <c r="I953" t="s">
        <v>4</v>
      </c>
      <c r="J953">
        <v>0</v>
      </c>
    </row>
    <row r="954" spans="1:10" x14ac:dyDescent="0.25">
      <c r="A954" t="s">
        <v>304</v>
      </c>
      <c r="B954" t="s">
        <v>158</v>
      </c>
      <c r="C954" t="s">
        <v>1296</v>
      </c>
      <c r="D954" t="s">
        <v>3</v>
      </c>
      <c r="E954">
        <v>22</v>
      </c>
      <c r="F954" t="s">
        <v>1359</v>
      </c>
      <c r="G954" t="s">
        <v>182</v>
      </c>
      <c r="H954">
        <v>8848</v>
      </c>
      <c r="I954" t="s">
        <v>4</v>
      </c>
      <c r="J954">
        <v>1</v>
      </c>
    </row>
    <row r="955" spans="1:10" x14ac:dyDescent="0.25">
      <c r="A955" t="s">
        <v>350</v>
      </c>
      <c r="B955" t="s">
        <v>420</v>
      </c>
      <c r="C955" t="s">
        <v>1297</v>
      </c>
      <c r="D955" t="s">
        <v>8</v>
      </c>
      <c r="E955">
        <v>59</v>
      </c>
      <c r="F955" t="s">
        <v>1358</v>
      </c>
      <c r="G955" t="s">
        <v>51</v>
      </c>
      <c r="H955">
        <v>9914</v>
      </c>
      <c r="I955" t="s">
        <v>4</v>
      </c>
      <c r="J955">
        <v>5</v>
      </c>
    </row>
    <row r="956" spans="1:10" x14ac:dyDescent="0.25">
      <c r="A956" t="s">
        <v>44</v>
      </c>
      <c r="B956" t="s">
        <v>744</v>
      </c>
      <c r="C956" t="s">
        <v>1298</v>
      </c>
      <c r="D956" t="s">
        <v>8</v>
      </c>
      <c r="E956">
        <v>34</v>
      </c>
      <c r="F956" t="s">
        <v>1357</v>
      </c>
      <c r="G956" t="s">
        <v>225</v>
      </c>
      <c r="H956">
        <v>965</v>
      </c>
      <c r="I956" t="s">
        <v>4</v>
      </c>
      <c r="J956">
        <v>1</v>
      </c>
    </row>
    <row r="957" spans="1:10" x14ac:dyDescent="0.25">
      <c r="A957" t="s">
        <v>282</v>
      </c>
      <c r="B957" t="s">
        <v>201</v>
      </c>
      <c r="C957" t="s">
        <v>1299</v>
      </c>
      <c r="D957" t="s">
        <v>8</v>
      </c>
      <c r="E957">
        <v>57</v>
      </c>
      <c r="F957" t="s">
        <v>1358</v>
      </c>
      <c r="G957" t="s">
        <v>59</v>
      </c>
      <c r="H957">
        <v>578</v>
      </c>
      <c r="I957" t="s">
        <v>4</v>
      </c>
      <c r="J957">
        <v>1</v>
      </c>
    </row>
    <row r="958" spans="1:10" x14ac:dyDescent="0.25">
      <c r="A958" t="s">
        <v>310</v>
      </c>
      <c r="B958" t="s">
        <v>580</v>
      </c>
      <c r="C958" t="s">
        <v>1300</v>
      </c>
      <c r="D958" t="s">
        <v>8</v>
      </c>
      <c r="E958">
        <v>37</v>
      </c>
      <c r="F958" t="s">
        <v>1357</v>
      </c>
      <c r="G958" t="s">
        <v>107</v>
      </c>
      <c r="H958">
        <v>7226</v>
      </c>
      <c r="I958" t="s">
        <v>14</v>
      </c>
      <c r="J958">
        <v>2</v>
      </c>
    </row>
    <row r="959" spans="1:10" x14ac:dyDescent="0.25">
      <c r="A959" t="s">
        <v>1301</v>
      </c>
      <c r="B959" t="s">
        <v>11</v>
      </c>
      <c r="C959" t="s">
        <v>1302</v>
      </c>
      <c r="D959" t="s">
        <v>8</v>
      </c>
      <c r="E959">
        <v>47</v>
      </c>
      <c r="F959" t="s">
        <v>1357</v>
      </c>
      <c r="G959" t="s">
        <v>290</v>
      </c>
      <c r="H959">
        <v>5310</v>
      </c>
      <c r="I959" t="s">
        <v>14</v>
      </c>
      <c r="J959">
        <v>3</v>
      </c>
    </row>
    <row r="960" spans="1:10" x14ac:dyDescent="0.25">
      <c r="A960" t="s">
        <v>435</v>
      </c>
      <c r="B960" t="s">
        <v>301</v>
      </c>
      <c r="C960" t="s">
        <v>1303</v>
      </c>
      <c r="D960" t="s">
        <v>8</v>
      </c>
      <c r="E960">
        <v>31</v>
      </c>
      <c r="F960" t="s">
        <v>1357</v>
      </c>
      <c r="G960" t="s">
        <v>197</v>
      </c>
      <c r="H960">
        <v>5273</v>
      </c>
      <c r="I960" t="s">
        <v>4</v>
      </c>
      <c r="J960">
        <v>3</v>
      </c>
    </row>
    <row r="961" spans="1:10" x14ac:dyDescent="0.25">
      <c r="A961" t="s">
        <v>379</v>
      </c>
      <c r="B961" t="s">
        <v>122</v>
      </c>
      <c r="C961" t="s">
        <v>1066</v>
      </c>
      <c r="D961" t="s">
        <v>8</v>
      </c>
      <c r="E961">
        <v>33</v>
      </c>
      <c r="F961" t="s">
        <v>1357</v>
      </c>
      <c r="G961" t="s">
        <v>32</v>
      </c>
      <c r="H961">
        <v>2857</v>
      </c>
      <c r="I961" t="s">
        <v>4</v>
      </c>
      <c r="J961">
        <v>0</v>
      </c>
    </row>
    <row r="962" spans="1:10" x14ac:dyDescent="0.25">
      <c r="A962" t="s">
        <v>77</v>
      </c>
      <c r="B962" t="s">
        <v>6</v>
      </c>
      <c r="C962" t="s">
        <v>1304</v>
      </c>
      <c r="D962" t="s">
        <v>3</v>
      </c>
      <c r="E962">
        <v>21</v>
      </c>
      <c r="F962" t="s">
        <v>1359</v>
      </c>
      <c r="G962" t="s">
        <v>217</v>
      </c>
      <c r="H962">
        <v>3899</v>
      </c>
      <c r="I962" t="s">
        <v>14</v>
      </c>
      <c r="J962">
        <v>4</v>
      </c>
    </row>
    <row r="963" spans="1:10" x14ac:dyDescent="0.25">
      <c r="A963" t="s">
        <v>465</v>
      </c>
      <c r="B963" t="s">
        <v>635</v>
      </c>
      <c r="C963" t="s">
        <v>1305</v>
      </c>
      <c r="D963" t="s">
        <v>3</v>
      </c>
      <c r="E963">
        <v>55</v>
      </c>
      <c r="F963" t="s">
        <v>1358</v>
      </c>
      <c r="G963" t="s">
        <v>270</v>
      </c>
      <c r="H963">
        <v>5293</v>
      </c>
      <c r="I963" t="s">
        <v>4</v>
      </c>
      <c r="J963">
        <v>1</v>
      </c>
    </row>
    <row r="964" spans="1:10" x14ac:dyDescent="0.25">
      <c r="A964" t="s">
        <v>222</v>
      </c>
      <c r="B964" t="s">
        <v>337</v>
      </c>
      <c r="C964" t="s">
        <v>1306</v>
      </c>
      <c r="D964" t="s">
        <v>3</v>
      </c>
      <c r="E964">
        <v>22</v>
      </c>
      <c r="F964" t="s">
        <v>1359</v>
      </c>
      <c r="G964" t="s">
        <v>29</v>
      </c>
      <c r="H964">
        <v>4539</v>
      </c>
      <c r="I964" t="s">
        <v>4</v>
      </c>
      <c r="J964">
        <v>2</v>
      </c>
    </row>
    <row r="965" spans="1:10" x14ac:dyDescent="0.25">
      <c r="A965" t="s">
        <v>512</v>
      </c>
      <c r="B965" t="s">
        <v>552</v>
      </c>
      <c r="C965" t="s">
        <v>1307</v>
      </c>
      <c r="D965" t="s">
        <v>3</v>
      </c>
      <c r="E965">
        <v>60</v>
      </c>
      <c r="F965" t="s">
        <v>1358</v>
      </c>
      <c r="G965" t="s">
        <v>114</v>
      </c>
      <c r="H965">
        <v>8826</v>
      </c>
      <c r="I965" t="s">
        <v>4</v>
      </c>
      <c r="J965">
        <v>4</v>
      </c>
    </row>
    <row r="966" spans="1:10" x14ac:dyDescent="0.25">
      <c r="A966" t="s">
        <v>1210</v>
      </c>
      <c r="B966" t="s">
        <v>236</v>
      </c>
      <c r="C966" t="s">
        <v>1308</v>
      </c>
      <c r="D966" t="s">
        <v>8</v>
      </c>
      <c r="E966">
        <v>30</v>
      </c>
      <c r="F966" t="s">
        <v>1359</v>
      </c>
      <c r="G966" t="s">
        <v>21</v>
      </c>
      <c r="H966">
        <v>7990</v>
      </c>
      <c r="I966" t="s">
        <v>4</v>
      </c>
      <c r="J966">
        <v>0</v>
      </c>
    </row>
    <row r="967" spans="1:10" x14ac:dyDescent="0.25">
      <c r="A967" t="s">
        <v>1067</v>
      </c>
      <c r="B967" t="s">
        <v>366</v>
      </c>
      <c r="C967" t="s">
        <v>1309</v>
      </c>
      <c r="D967" t="s">
        <v>3</v>
      </c>
      <c r="E967">
        <v>48</v>
      </c>
      <c r="F967" t="s">
        <v>1357</v>
      </c>
      <c r="G967" t="s">
        <v>25</v>
      </c>
      <c r="H967">
        <v>4235</v>
      </c>
      <c r="I967" t="s">
        <v>4</v>
      </c>
      <c r="J967">
        <v>1</v>
      </c>
    </row>
    <row r="968" spans="1:10" x14ac:dyDescent="0.25">
      <c r="A968" t="s">
        <v>515</v>
      </c>
      <c r="B968" t="s">
        <v>351</v>
      </c>
      <c r="C968" t="s">
        <v>1310</v>
      </c>
      <c r="D968" t="s">
        <v>3</v>
      </c>
      <c r="E968">
        <v>38</v>
      </c>
      <c r="F968" t="s">
        <v>1357</v>
      </c>
      <c r="G968" t="s">
        <v>82</v>
      </c>
      <c r="H968">
        <v>8864</v>
      </c>
      <c r="I968" t="s">
        <v>14</v>
      </c>
      <c r="J968">
        <v>4</v>
      </c>
    </row>
    <row r="969" spans="1:10" x14ac:dyDescent="0.25">
      <c r="A969" t="s">
        <v>30</v>
      </c>
      <c r="B969" t="s">
        <v>34</v>
      </c>
      <c r="C969" t="s">
        <v>1311</v>
      </c>
      <c r="D969" t="s">
        <v>3</v>
      </c>
      <c r="E969">
        <v>24</v>
      </c>
      <c r="F969" t="s">
        <v>1359</v>
      </c>
      <c r="G969" t="s">
        <v>51</v>
      </c>
      <c r="H969">
        <v>4946</v>
      </c>
      <c r="I969" t="s">
        <v>14</v>
      </c>
      <c r="J969">
        <v>5</v>
      </c>
    </row>
    <row r="970" spans="1:10" x14ac:dyDescent="0.25">
      <c r="A970" t="s">
        <v>510</v>
      </c>
      <c r="B970" t="s">
        <v>71</v>
      </c>
      <c r="C970" t="s">
        <v>1312</v>
      </c>
      <c r="D970" t="s">
        <v>8</v>
      </c>
      <c r="E970">
        <v>32</v>
      </c>
      <c r="F970" t="s">
        <v>1357</v>
      </c>
      <c r="G970" t="s">
        <v>76</v>
      </c>
      <c r="H970">
        <v>4476</v>
      </c>
      <c r="I970" t="s">
        <v>14</v>
      </c>
      <c r="J970">
        <v>3</v>
      </c>
    </row>
    <row r="971" spans="1:10" x14ac:dyDescent="0.25">
      <c r="A971" t="s">
        <v>495</v>
      </c>
      <c r="B971" t="s">
        <v>284</v>
      </c>
      <c r="C971" t="s">
        <v>1313</v>
      </c>
      <c r="D971" t="s">
        <v>3</v>
      </c>
      <c r="E971">
        <v>49</v>
      </c>
      <c r="F971" t="s">
        <v>1357</v>
      </c>
      <c r="G971" t="s">
        <v>172</v>
      </c>
      <c r="H971">
        <v>9999</v>
      </c>
      <c r="I971" t="s">
        <v>14</v>
      </c>
      <c r="J971">
        <v>5</v>
      </c>
    </row>
    <row r="972" spans="1:10" x14ac:dyDescent="0.25">
      <c r="A972" t="s">
        <v>1252</v>
      </c>
      <c r="B972" t="s">
        <v>174</v>
      </c>
      <c r="C972" t="s">
        <v>1314</v>
      </c>
      <c r="D972" t="s">
        <v>8</v>
      </c>
      <c r="E972">
        <v>32</v>
      </c>
      <c r="F972" t="s">
        <v>1357</v>
      </c>
      <c r="G972" t="s">
        <v>248</v>
      </c>
      <c r="H972">
        <v>2169</v>
      </c>
      <c r="I972" t="s">
        <v>14</v>
      </c>
      <c r="J972">
        <v>1</v>
      </c>
    </row>
    <row r="973" spans="1:10" x14ac:dyDescent="0.25">
      <c r="A973" t="s">
        <v>97</v>
      </c>
      <c r="B973" t="s">
        <v>120</v>
      </c>
      <c r="C973" t="s">
        <v>1315</v>
      </c>
      <c r="D973" t="s">
        <v>8</v>
      </c>
      <c r="E973">
        <v>31</v>
      </c>
      <c r="F973" t="s">
        <v>1357</v>
      </c>
      <c r="G973" t="s">
        <v>1364</v>
      </c>
      <c r="H973">
        <v>8823</v>
      </c>
      <c r="I973" t="s">
        <v>14</v>
      </c>
      <c r="J973">
        <v>3</v>
      </c>
    </row>
    <row r="974" spans="1:10" x14ac:dyDescent="0.25">
      <c r="A974" t="s">
        <v>346</v>
      </c>
      <c r="B974" t="s">
        <v>294</v>
      </c>
      <c r="C974" t="s">
        <v>1316</v>
      </c>
      <c r="D974" t="s">
        <v>3</v>
      </c>
      <c r="E974">
        <v>57</v>
      </c>
      <c r="F974" t="s">
        <v>1358</v>
      </c>
      <c r="G974" t="s">
        <v>82</v>
      </c>
      <c r="H974">
        <v>7915</v>
      </c>
      <c r="I974" t="s">
        <v>14</v>
      </c>
      <c r="J974">
        <v>2</v>
      </c>
    </row>
    <row r="975" spans="1:10" x14ac:dyDescent="0.25">
      <c r="A975" t="s">
        <v>60</v>
      </c>
      <c r="B975" t="s">
        <v>11</v>
      </c>
      <c r="C975" t="s">
        <v>1317</v>
      </c>
      <c r="D975" t="s">
        <v>3</v>
      </c>
      <c r="E975">
        <v>49</v>
      </c>
      <c r="F975" t="s">
        <v>1357</v>
      </c>
      <c r="G975" t="s">
        <v>169</v>
      </c>
      <c r="H975">
        <v>2492</v>
      </c>
      <c r="I975" t="s">
        <v>4</v>
      </c>
      <c r="J975">
        <v>5</v>
      </c>
    </row>
    <row r="976" spans="1:10" x14ac:dyDescent="0.25">
      <c r="A976" t="s">
        <v>395</v>
      </c>
      <c r="B976" t="s">
        <v>174</v>
      </c>
      <c r="C976" t="s">
        <v>1318</v>
      </c>
      <c r="D976" t="s">
        <v>8</v>
      </c>
      <c r="E976">
        <v>25</v>
      </c>
      <c r="F976" t="s">
        <v>1359</v>
      </c>
      <c r="G976" t="s">
        <v>55</v>
      </c>
      <c r="H976">
        <v>2992</v>
      </c>
      <c r="I976" t="s">
        <v>4</v>
      </c>
      <c r="J976">
        <v>2</v>
      </c>
    </row>
    <row r="977" spans="1:10" x14ac:dyDescent="0.25">
      <c r="A977" t="s">
        <v>660</v>
      </c>
      <c r="B977" t="s">
        <v>650</v>
      </c>
      <c r="C977" t="s">
        <v>1319</v>
      </c>
      <c r="D977" t="s">
        <v>8</v>
      </c>
      <c r="E977">
        <v>34</v>
      </c>
      <c r="F977" t="s">
        <v>1357</v>
      </c>
      <c r="G977" t="s">
        <v>227</v>
      </c>
      <c r="H977">
        <v>6995</v>
      </c>
      <c r="I977" t="s">
        <v>14</v>
      </c>
      <c r="J977">
        <v>1</v>
      </c>
    </row>
    <row r="978" spans="1:10" x14ac:dyDescent="0.25">
      <c r="A978" t="s">
        <v>963</v>
      </c>
      <c r="B978" t="s">
        <v>375</v>
      </c>
      <c r="C978" t="s">
        <v>1320</v>
      </c>
      <c r="D978" t="s">
        <v>3</v>
      </c>
      <c r="E978">
        <v>45</v>
      </c>
      <c r="F978" t="s">
        <v>1357</v>
      </c>
      <c r="G978" t="s">
        <v>234</v>
      </c>
      <c r="H978">
        <v>969</v>
      </c>
      <c r="I978" t="s">
        <v>4</v>
      </c>
      <c r="J978">
        <v>3</v>
      </c>
    </row>
    <row r="979" spans="1:10" x14ac:dyDescent="0.25">
      <c r="A979" t="s">
        <v>465</v>
      </c>
      <c r="B979" t="s">
        <v>67</v>
      </c>
      <c r="C979" t="s">
        <v>1321</v>
      </c>
      <c r="D979" t="s">
        <v>3</v>
      </c>
      <c r="E979">
        <v>45</v>
      </c>
      <c r="F979" t="s">
        <v>1357</v>
      </c>
      <c r="G979" t="s">
        <v>182</v>
      </c>
      <c r="H979">
        <v>4854</v>
      </c>
      <c r="I979" t="s">
        <v>4</v>
      </c>
      <c r="J979">
        <v>2</v>
      </c>
    </row>
    <row r="980" spans="1:10" x14ac:dyDescent="0.25">
      <c r="A980" t="s">
        <v>64</v>
      </c>
      <c r="B980" t="s">
        <v>139</v>
      </c>
      <c r="C980" t="s">
        <v>1322</v>
      </c>
      <c r="D980" t="s">
        <v>3</v>
      </c>
      <c r="E980">
        <v>52</v>
      </c>
      <c r="F980" t="s">
        <v>1358</v>
      </c>
      <c r="G980" t="s">
        <v>9</v>
      </c>
      <c r="H980">
        <v>9628</v>
      </c>
      <c r="I980" t="s">
        <v>14</v>
      </c>
      <c r="J980">
        <v>0</v>
      </c>
    </row>
    <row r="981" spans="1:10" x14ac:dyDescent="0.25">
      <c r="A981" t="s">
        <v>151</v>
      </c>
      <c r="B981" t="s">
        <v>425</v>
      </c>
      <c r="C981" t="s">
        <v>1323</v>
      </c>
      <c r="D981" t="s">
        <v>8</v>
      </c>
      <c r="E981">
        <v>42</v>
      </c>
      <c r="F981" t="s">
        <v>1357</v>
      </c>
      <c r="G981" t="s">
        <v>9</v>
      </c>
      <c r="H981">
        <v>8721</v>
      </c>
      <c r="I981" t="s">
        <v>14</v>
      </c>
      <c r="J981">
        <v>2</v>
      </c>
    </row>
    <row r="982" spans="1:10" x14ac:dyDescent="0.25">
      <c r="A982" t="s">
        <v>493</v>
      </c>
      <c r="B982" t="s">
        <v>200</v>
      </c>
      <c r="C982" t="s">
        <v>1324</v>
      </c>
      <c r="D982" t="s">
        <v>3</v>
      </c>
      <c r="E982">
        <v>44</v>
      </c>
      <c r="F982" t="s">
        <v>1357</v>
      </c>
      <c r="G982" t="s">
        <v>107</v>
      </c>
      <c r="H982">
        <v>7500</v>
      </c>
      <c r="I982" t="s">
        <v>4</v>
      </c>
      <c r="J982">
        <v>1</v>
      </c>
    </row>
    <row r="983" spans="1:10" x14ac:dyDescent="0.25">
      <c r="A983" t="s">
        <v>690</v>
      </c>
      <c r="B983" t="s">
        <v>530</v>
      </c>
      <c r="C983" t="s">
        <v>1325</v>
      </c>
      <c r="D983" t="s">
        <v>8</v>
      </c>
      <c r="E983">
        <v>47</v>
      </c>
      <c r="F983" t="s">
        <v>1357</v>
      </c>
      <c r="G983" t="s">
        <v>225</v>
      </c>
      <c r="H983">
        <v>1836</v>
      </c>
      <c r="I983" t="s">
        <v>4</v>
      </c>
      <c r="J983">
        <v>4</v>
      </c>
    </row>
    <row r="984" spans="1:10" x14ac:dyDescent="0.25">
      <c r="A984" t="s">
        <v>1013</v>
      </c>
      <c r="B984" t="s">
        <v>101</v>
      </c>
      <c r="C984" t="s">
        <v>1326</v>
      </c>
      <c r="D984" t="s">
        <v>8</v>
      </c>
      <c r="E984">
        <v>50</v>
      </c>
      <c r="F984" t="s">
        <v>1357</v>
      </c>
      <c r="G984" t="s">
        <v>21</v>
      </c>
      <c r="H984">
        <v>4838</v>
      </c>
      <c r="I984" t="s">
        <v>14</v>
      </c>
      <c r="J984">
        <v>1</v>
      </c>
    </row>
    <row r="985" spans="1:10" x14ac:dyDescent="0.25">
      <c r="A985" t="s">
        <v>22</v>
      </c>
      <c r="B985" t="s">
        <v>498</v>
      </c>
      <c r="C985" t="s">
        <v>1327</v>
      </c>
      <c r="D985" t="s">
        <v>3</v>
      </c>
      <c r="E985">
        <v>54</v>
      </c>
      <c r="F985" t="s">
        <v>1358</v>
      </c>
      <c r="G985" t="s">
        <v>227</v>
      </c>
      <c r="H985">
        <v>7428</v>
      </c>
      <c r="I985" t="s">
        <v>4</v>
      </c>
      <c r="J985">
        <v>1</v>
      </c>
    </row>
    <row r="986" spans="1:10" x14ac:dyDescent="0.25">
      <c r="A986" t="s">
        <v>417</v>
      </c>
      <c r="B986" t="s">
        <v>556</v>
      </c>
      <c r="C986" t="s">
        <v>737</v>
      </c>
      <c r="D986" t="s">
        <v>8</v>
      </c>
      <c r="E986">
        <v>56</v>
      </c>
      <c r="F986" t="s">
        <v>1358</v>
      </c>
      <c r="G986" t="s">
        <v>131</v>
      </c>
      <c r="H986">
        <v>4494</v>
      </c>
      <c r="I986" t="s">
        <v>4</v>
      </c>
      <c r="J986">
        <v>0</v>
      </c>
    </row>
    <row r="987" spans="1:10" x14ac:dyDescent="0.25">
      <c r="A987" t="s">
        <v>155</v>
      </c>
      <c r="B987" t="s">
        <v>61</v>
      </c>
      <c r="C987" t="s">
        <v>1328</v>
      </c>
      <c r="D987" t="s">
        <v>3</v>
      </c>
      <c r="E987">
        <v>60</v>
      </c>
      <c r="F987" t="s">
        <v>1358</v>
      </c>
      <c r="G987" t="s">
        <v>231</v>
      </c>
      <c r="H987">
        <v>7813</v>
      </c>
      <c r="I987" t="s">
        <v>14</v>
      </c>
      <c r="J987">
        <v>4</v>
      </c>
    </row>
    <row r="988" spans="1:10" x14ac:dyDescent="0.25">
      <c r="A988" t="s">
        <v>135</v>
      </c>
      <c r="B988" t="s">
        <v>57</v>
      </c>
      <c r="C988" t="s">
        <v>1329</v>
      </c>
      <c r="D988" t="s">
        <v>3</v>
      </c>
      <c r="E988">
        <v>26</v>
      </c>
      <c r="F988" t="s">
        <v>1359</v>
      </c>
      <c r="G988" t="s">
        <v>165</v>
      </c>
      <c r="H988">
        <v>6532</v>
      </c>
      <c r="I988" t="s">
        <v>14</v>
      </c>
      <c r="J988">
        <v>4</v>
      </c>
    </row>
    <row r="989" spans="1:10" x14ac:dyDescent="0.25">
      <c r="A989" t="s">
        <v>614</v>
      </c>
      <c r="B989" t="s">
        <v>580</v>
      </c>
      <c r="C989" t="s">
        <v>1330</v>
      </c>
      <c r="D989" t="s">
        <v>8</v>
      </c>
      <c r="E989">
        <v>38</v>
      </c>
      <c r="F989" t="s">
        <v>1357</v>
      </c>
      <c r="G989" t="s">
        <v>169</v>
      </c>
      <c r="H989">
        <v>5451</v>
      </c>
      <c r="I989" t="s">
        <v>14</v>
      </c>
      <c r="J989">
        <v>3</v>
      </c>
    </row>
    <row r="990" spans="1:10" x14ac:dyDescent="0.25">
      <c r="A990" t="s">
        <v>119</v>
      </c>
      <c r="B990" t="s">
        <v>174</v>
      </c>
      <c r="C990" t="s">
        <v>1331</v>
      </c>
      <c r="D990" t="s">
        <v>8</v>
      </c>
      <c r="E990">
        <v>28</v>
      </c>
      <c r="F990" t="s">
        <v>1359</v>
      </c>
      <c r="G990" t="s">
        <v>21</v>
      </c>
      <c r="H990">
        <v>5528</v>
      </c>
      <c r="I990" t="s">
        <v>4</v>
      </c>
      <c r="J990">
        <v>0</v>
      </c>
    </row>
    <row r="991" spans="1:10" x14ac:dyDescent="0.25">
      <c r="A991" t="s">
        <v>739</v>
      </c>
      <c r="B991" t="s">
        <v>301</v>
      </c>
      <c r="C991" t="s">
        <v>1332</v>
      </c>
      <c r="D991" t="s">
        <v>8</v>
      </c>
      <c r="E991">
        <v>33</v>
      </c>
      <c r="F991" t="s">
        <v>1357</v>
      </c>
      <c r="G991" t="s">
        <v>382</v>
      </c>
      <c r="H991">
        <v>8618</v>
      </c>
      <c r="I991" t="s">
        <v>14</v>
      </c>
      <c r="J991">
        <v>4</v>
      </c>
    </row>
    <row r="992" spans="1:10" x14ac:dyDescent="0.25">
      <c r="A992" t="s">
        <v>437</v>
      </c>
      <c r="B992" t="s">
        <v>368</v>
      </c>
      <c r="C992" t="s">
        <v>1333</v>
      </c>
      <c r="D992" t="s">
        <v>8</v>
      </c>
      <c r="E992">
        <v>25</v>
      </c>
      <c r="F992" t="s">
        <v>1359</v>
      </c>
      <c r="G992" t="s">
        <v>25</v>
      </c>
      <c r="H992">
        <v>5217</v>
      </c>
      <c r="I992" t="s">
        <v>4</v>
      </c>
      <c r="J992">
        <v>2</v>
      </c>
    </row>
    <row r="993" spans="1:10" x14ac:dyDescent="0.25">
      <c r="A993" t="s">
        <v>316</v>
      </c>
      <c r="B993" t="s">
        <v>251</v>
      </c>
      <c r="C993" t="s">
        <v>1334</v>
      </c>
      <c r="D993" t="s">
        <v>8</v>
      </c>
      <c r="E993">
        <v>52</v>
      </c>
      <c r="F993" t="s">
        <v>1358</v>
      </c>
      <c r="G993" t="s">
        <v>172</v>
      </c>
      <c r="H993">
        <v>9015</v>
      </c>
      <c r="I993" t="s">
        <v>4</v>
      </c>
      <c r="J993">
        <v>0</v>
      </c>
    </row>
    <row r="994" spans="1:10" x14ac:dyDescent="0.25">
      <c r="A994" t="s">
        <v>461</v>
      </c>
      <c r="B994" t="s">
        <v>201</v>
      </c>
      <c r="C994" t="s">
        <v>1335</v>
      </c>
      <c r="D994" t="s">
        <v>8</v>
      </c>
      <c r="E994">
        <v>48</v>
      </c>
      <c r="F994" t="s">
        <v>1357</v>
      </c>
      <c r="G994" t="s">
        <v>21</v>
      </c>
      <c r="H994">
        <v>9636</v>
      </c>
      <c r="I994" t="s">
        <v>14</v>
      </c>
      <c r="J994">
        <v>5</v>
      </c>
    </row>
    <row r="995" spans="1:10" x14ac:dyDescent="0.25">
      <c r="A995" t="s">
        <v>18</v>
      </c>
      <c r="B995" t="s">
        <v>105</v>
      </c>
      <c r="C995" t="s">
        <v>1336</v>
      </c>
      <c r="D995" t="s">
        <v>3</v>
      </c>
      <c r="E995">
        <v>53</v>
      </c>
      <c r="F995" t="s">
        <v>1358</v>
      </c>
      <c r="G995" t="s">
        <v>82</v>
      </c>
      <c r="H995">
        <v>1777</v>
      </c>
      <c r="I995" t="s">
        <v>14</v>
      </c>
      <c r="J995">
        <v>5</v>
      </c>
    </row>
    <row r="996" spans="1:10" x14ac:dyDescent="0.25">
      <c r="A996" t="s">
        <v>97</v>
      </c>
      <c r="B996" t="s">
        <v>114</v>
      </c>
      <c r="C996" t="s">
        <v>1337</v>
      </c>
      <c r="D996" t="s">
        <v>8</v>
      </c>
      <c r="E996">
        <v>38</v>
      </c>
      <c r="F996" t="s">
        <v>1357</v>
      </c>
      <c r="G996" t="s">
        <v>290</v>
      </c>
      <c r="H996">
        <v>9116</v>
      </c>
      <c r="I996" t="s">
        <v>4</v>
      </c>
      <c r="J996">
        <v>0</v>
      </c>
    </row>
    <row r="997" spans="1:10" x14ac:dyDescent="0.25">
      <c r="A997" t="s">
        <v>40</v>
      </c>
      <c r="B997" t="s">
        <v>132</v>
      </c>
      <c r="C997" t="s">
        <v>1338</v>
      </c>
      <c r="D997" t="s">
        <v>8</v>
      </c>
      <c r="E997">
        <v>38</v>
      </c>
      <c r="F997" t="s">
        <v>1357</v>
      </c>
      <c r="G997" t="s">
        <v>199</v>
      </c>
      <c r="H997">
        <v>1432</v>
      </c>
      <c r="I997" t="s">
        <v>14</v>
      </c>
      <c r="J997">
        <v>4</v>
      </c>
    </row>
    <row r="998" spans="1:10" x14ac:dyDescent="0.25">
      <c r="A998" t="s">
        <v>374</v>
      </c>
      <c r="B998" t="s">
        <v>98</v>
      </c>
      <c r="C998" t="s">
        <v>1339</v>
      </c>
      <c r="D998" t="s">
        <v>8</v>
      </c>
      <c r="E998">
        <v>21</v>
      </c>
      <c r="F998" t="s">
        <v>1359</v>
      </c>
      <c r="G998" t="s">
        <v>231</v>
      </c>
      <c r="H998">
        <v>4123</v>
      </c>
      <c r="I998" t="s">
        <v>4</v>
      </c>
      <c r="J998">
        <v>0</v>
      </c>
    </row>
    <row r="999" spans="1:10" x14ac:dyDescent="0.25">
      <c r="A999" t="s">
        <v>346</v>
      </c>
      <c r="B999" t="s">
        <v>98</v>
      </c>
      <c r="C999" t="s">
        <v>1340</v>
      </c>
      <c r="D999" t="s">
        <v>3</v>
      </c>
      <c r="E999">
        <v>35</v>
      </c>
      <c r="F999" t="s">
        <v>1357</v>
      </c>
      <c r="G999" t="s">
        <v>150</v>
      </c>
      <c r="H999">
        <v>1753</v>
      </c>
      <c r="I999" t="s">
        <v>4</v>
      </c>
      <c r="J999">
        <v>1</v>
      </c>
    </row>
    <row r="1000" spans="1:10" x14ac:dyDescent="0.25">
      <c r="A1000" t="s">
        <v>316</v>
      </c>
      <c r="B1000" t="s">
        <v>236</v>
      </c>
      <c r="C1000" t="s">
        <v>1341</v>
      </c>
      <c r="D1000" t="s">
        <v>8</v>
      </c>
      <c r="E1000">
        <v>21</v>
      </c>
      <c r="F1000" t="s">
        <v>1359</v>
      </c>
      <c r="G1000" t="s">
        <v>225</v>
      </c>
      <c r="H1000">
        <v>5982</v>
      </c>
      <c r="I1000" t="s">
        <v>14</v>
      </c>
      <c r="J1000">
        <v>5</v>
      </c>
    </row>
    <row r="1001" spans="1:10" x14ac:dyDescent="0.25">
      <c r="A1001" t="s">
        <v>534</v>
      </c>
      <c r="B1001" t="s">
        <v>34</v>
      </c>
      <c r="C1001" t="s">
        <v>1342</v>
      </c>
      <c r="D1001" t="s">
        <v>3</v>
      </c>
      <c r="E1001">
        <v>58</v>
      </c>
      <c r="F1001" t="s">
        <v>1358</v>
      </c>
      <c r="G1001" t="s">
        <v>9</v>
      </c>
      <c r="H1001">
        <v>7075</v>
      </c>
      <c r="I1001" t="s">
        <v>14</v>
      </c>
      <c r="J1001">
        <v>0</v>
      </c>
    </row>
  </sheetData>
  <autoFilter ref="A1:J1001" xr:uid="{A68F8A06-4909-4C78-B16B-84A4C95233B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01D5-36B1-4615-AA08-FC6BA5AC7F04}">
  <dimension ref="B1:M371"/>
  <sheetViews>
    <sheetView tabSelected="1" workbookViewId="0">
      <selection activeCell="D2" sqref="D2"/>
    </sheetView>
  </sheetViews>
  <sheetFormatPr defaultRowHeight="13.8" x14ac:dyDescent="0.25"/>
  <cols>
    <col min="2" max="2" width="8.296875" bestFit="1" customWidth="1"/>
    <col min="4" max="4" width="11.09765625" bestFit="1" customWidth="1"/>
    <col min="5" max="5" width="12.5" bestFit="1" customWidth="1"/>
    <col min="6" max="6" width="21.69921875" bestFit="1" customWidth="1"/>
    <col min="7" max="7" width="8.296875" bestFit="1" customWidth="1"/>
    <col min="8" max="8" width="5" bestFit="1" customWidth="1"/>
    <col min="9" max="9" width="13.19921875" bestFit="1" customWidth="1"/>
    <col min="10" max="10" width="16.09765625" bestFit="1" customWidth="1"/>
    <col min="11" max="11" width="6.796875" bestFit="1" customWidth="1"/>
    <col min="12" max="12" width="13.796875" bestFit="1" customWidth="1"/>
    <col min="13" max="13" width="15.69921875" bestFit="1" customWidth="1"/>
  </cols>
  <sheetData>
    <row r="1" spans="2:13" ht="15" x14ac:dyDescent="0.25">
      <c r="B1" s="16" t="s">
        <v>1346</v>
      </c>
      <c r="C1" s="24"/>
      <c r="D1" s="16" t="s">
        <v>1343</v>
      </c>
      <c r="E1" s="16" t="s">
        <v>1344</v>
      </c>
      <c r="F1" s="16" t="s">
        <v>1345</v>
      </c>
      <c r="G1" s="16" t="s">
        <v>1346</v>
      </c>
      <c r="H1" s="16" t="s">
        <v>1347</v>
      </c>
      <c r="I1" s="16" t="s">
        <v>1356</v>
      </c>
      <c r="J1" s="16" t="s">
        <v>1348</v>
      </c>
      <c r="K1" s="16" t="s">
        <v>1349</v>
      </c>
      <c r="L1" s="16" t="s">
        <v>1350</v>
      </c>
      <c r="M1" s="16" t="s">
        <v>1351</v>
      </c>
    </row>
    <row r="2" spans="2:13" x14ac:dyDescent="0.25">
      <c r="B2" t="s">
        <v>1417</v>
      </c>
      <c r="D2" t="str" cm="1">
        <f t="array" ref="D2:M371">_xlfn._xlws.FILTER(Sheet1!A:J,(Sheet1!D:D='FILTER AND OR'!B2)*((Sheet1!F:F="old")+(Sheet1!F:F="middle age")))</f>
        <v>Jacob</v>
      </c>
      <c r="E2" t="str">
        <v>Robinson</v>
      </c>
      <c r="F2" t="str">
        <v>Jacob Robinson</v>
      </c>
      <c r="G2" t="str">
        <v>Male</v>
      </c>
      <c r="H2">
        <v>58</v>
      </c>
      <c r="I2" t="str">
        <v>Old</v>
      </c>
      <c r="J2" t="str">
        <v>Lawyer</v>
      </c>
      <c r="K2">
        <v>6779</v>
      </c>
      <c r="L2" t="str">
        <v>Married</v>
      </c>
      <c r="M2">
        <v>2</v>
      </c>
    </row>
    <row r="3" spans="2:13" x14ac:dyDescent="0.25">
      <c r="D3" t="str">
        <v>Charlie</v>
      </c>
      <c r="E3" t="str">
        <v>Wilson</v>
      </c>
      <c r="F3" t="str">
        <v>Charlie Wilson</v>
      </c>
      <c r="G3" t="str">
        <v>Male</v>
      </c>
      <c r="H3">
        <v>58</v>
      </c>
      <c r="I3" t="str">
        <v>Old</v>
      </c>
      <c r="J3" t="str">
        <v>Aeroplane Pilot</v>
      </c>
      <c r="K3">
        <v>5786</v>
      </c>
      <c r="L3" t="str">
        <v>Single</v>
      </c>
      <c r="M3">
        <v>0</v>
      </c>
    </row>
    <row r="4" spans="2:13" x14ac:dyDescent="0.25">
      <c r="D4" t="str">
        <v>Lucas</v>
      </c>
      <c r="E4" t="str">
        <v>Brooks</v>
      </c>
      <c r="F4" t="str">
        <v>Lucas Brooks</v>
      </c>
      <c r="G4" t="str">
        <v>Male</v>
      </c>
      <c r="H4">
        <v>38</v>
      </c>
      <c r="I4" t="str">
        <v>Middle Age</v>
      </c>
      <c r="J4" t="str">
        <v>Auditor</v>
      </c>
      <c r="K4">
        <v>3029</v>
      </c>
      <c r="L4" t="str">
        <v>Single</v>
      </c>
      <c r="M4">
        <v>1</v>
      </c>
    </row>
    <row r="5" spans="2:13" x14ac:dyDescent="0.25">
      <c r="D5" t="str">
        <v>Kellan</v>
      </c>
      <c r="E5" t="str">
        <v>Williams</v>
      </c>
      <c r="F5" t="str">
        <v>Kellan Williams</v>
      </c>
      <c r="G5" t="str">
        <v>Male</v>
      </c>
      <c r="H5">
        <v>38</v>
      </c>
      <c r="I5" t="str">
        <v>Middle Age</v>
      </c>
      <c r="J5" t="str">
        <v>Police Officer</v>
      </c>
      <c r="K5">
        <v>8337</v>
      </c>
      <c r="L5" t="str">
        <v>Married</v>
      </c>
      <c r="M5">
        <v>4</v>
      </c>
    </row>
    <row r="6" spans="2:13" x14ac:dyDescent="0.25">
      <c r="D6" t="str">
        <v>Tyler</v>
      </c>
      <c r="E6" t="str">
        <v>Davis</v>
      </c>
      <c r="F6" t="str">
        <v>Tyler Davis</v>
      </c>
      <c r="G6" t="str">
        <v>Male</v>
      </c>
      <c r="H6">
        <v>60</v>
      </c>
      <c r="I6" t="str">
        <v>Old</v>
      </c>
      <c r="J6" t="str">
        <v>Dancer</v>
      </c>
      <c r="K6">
        <v>2705</v>
      </c>
      <c r="L6" t="str">
        <v>Married</v>
      </c>
      <c r="M6">
        <v>1</v>
      </c>
    </row>
    <row r="7" spans="2:13" x14ac:dyDescent="0.25">
      <c r="D7" t="str">
        <v>Edgar</v>
      </c>
      <c r="E7" t="str">
        <v>Thomas</v>
      </c>
      <c r="F7" t="str">
        <v>Edgar Thomas</v>
      </c>
      <c r="G7" t="str">
        <v>Male</v>
      </c>
      <c r="H7">
        <v>42</v>
      </c>
      <c r="I7" t="str">
        <v>Middle Age</v>
      </c>
      <c r="J7" t="str">
        <v>Driver</v>
      </c>
      <c r="K7">
        <v>2264</v>
      </c>
      <c r="L7" t="str">
        <v>Married</v>
      </c>
      <c r="M7">
        <v>3</v>
      </c>
    </row>
    <row r="8" spans="2:13" x14ac:dyDescent="0.25">
      <c r="D8" t="str">
        <v>Steven</v>
      </c>
      <c r="E8" t="str">
        <v>Johnson</v>
      </c>
      <c r="F8" t="str">
        <v>Steven Johnson</v>
      </c>
      <c r="G8" t="str">
        <v>Male</v>
      </c>
      <c r="H8">
        <v>48</v>
      </c>
      <c r="I8" t="str">
        <v>Middle Age</v>
      </c>
      <c r="J8" t="str">
        <v>Auditor</v>
      </c>
      <c r="K8">
        <v>2533</v>
      </c>
      <c r="L8" t="str">
        <v>Single</v>
      </c>
      <c r="M8">
        <v>5</v>
      </c>
    </row>
    <row r="9" spans="2:13" x14ac:dyDescent="0.25">
      <c r="D9" t="str">
        <v>Charlie</v>
      </c>
      <c r="E9" t="str">
        <v>Hall</v>
      </c>
      <c r="F9" t="str">
        <v>Charlie Hall</v>
      </c>
      <c r="G9" t="str">
        <v>Male</v>
      </c>
      <c r="H9">
        <v>47</v>
      </c>
      <c r="I9" t="str">
        <v>Middle Age</v>
      </c>
      <c r="J9" t="str">
        <v>Mathematician</v>
      </c>
      <c r="K9">
        <v>1378</v>
      </c>
      <c r="L9" t="str">
        <v>Single</v>
      </c>
      <c r="M9">
        <v>4</v>
      </c>
    </row>
    <row r="10" spans="2:13" x14ac:dyDescent="0.25">
      <c r="D10" t="str">
        <v>Richard</v>
      </c>
      <c r="E10" t="str">
        <v>Richards</v>
      </c>
      <c r="F10" t="str">
        <v>Richard Richards</v>
      </c>
      <c r="G10" t="str">
        <v>Male</v>
      </c>
      <c r="H10">
        <v>56</v>
      </c>
      <c r="I10" t="str">
        <v>Old</v>
      </c>
      <c r="J10" t="str">
        <v>Engineer</v>
      </c>
      <c r="K10">
        <v>6229</v>
      </c>
      <c r="L10" t="str">
        <v>Single</v>
      </c>
      <c r="M10">
        <v>2</v>
      </c>
    </row>
    <row r="11" spans="2:13" x14ac:dyDescent="0.25">
      <c r="D11" t="str">
        <v>Alan</v>
      </c>
      <c r="E11" t="str">
        <v>Allen</v>
      </c>
      <c r="F11" t="str">
        <v>Alan Allen</v>
      </c>
      <c r="G11" t="str">
        <v>Male</v>
      </c>
      <c r="H11">
        <v>57</v>
      </c>
      <c r="I11" t="str">
        <v>Old</v>
      </c>
      <c r="J11" t="str">
        <v>Singer</v>
      </c>
      <c r="K11">
        <v>5461</v>
      </c>
      <c r="L11" t="str">
        <v>Single</v>
      </c>
      <c r="M11">
        <v>2</v>
      </c>
    </row>
    <row r="12" spans="2:13" x14ac:dyDescent="0.25">
      <c r="D12" t="str">
        <v>Nicholas</v>
      </c>
      <c r="E12" t="str">
        <v>Owens</v>
      </c>
      <c r="F12" t="str">
        <v>Nicholas Owens</v>
      </c>
      <c r="G12" t="str">
        <v>Male</v>
      </c>
      <c r="H12">
        <v>47</v>
      </c>
      <c r="I12" t="str">
        <v>Middle Age</v>
      </c>
      <c r="J12" t="str">
        <v>Fine Artist</v>
      </c>
      <c r="K12">
        <v>931</v>
      </c>
      <c r="L12" t="str">
        <v>Married</v>
      </c>
      <c r="M12">
        <v>3</v>
      </c>
    </row>
    <row r="13" spans="2:13" x14ac:dyDescent="0.25">
      <c r="D13" t="str">
        <v>Lyndon</v>
      </c>
      <c r="E13" t="str">
        <v>Parker</v>
      </c>
      <c r="F13" t="str">
        <v>Lyndon Parker</v>
      </c>
      <c r="G13" t="str">
        <v>Male</v>
      </c>
      <c r="H13">
        <v>45</v>
      </c>
      <c r="I13" t="str">
        <v>Middle Age</v>
      </c>
      <c r="J13" t="str">
        <v>Programmer</v>
      </c>
      <c r="K13">
        <v>4813</v>
      </c>
      <c r="L13" t="str">
        <v>Married</v>
      </c>
      <c r="M13">
        <v>1</v>
      </c>
    </row>
    <row r="14" spans="2:13" x14ac:dyDescent="0.25">
      <c r="D14" t="str">
        <v>Edward</v>
      </c>
      <c r="E14" t="str">
        <v>Stewart</v>
      </c>
      <c r="F14" t="str">
        <v>Edward Stewart</v>
      </c>
      <c r="G14" t="str">
        <v>Male</v>
      </c>
      <c r="H14">
        <v>37</v>
      </c>
      <c r="I14" t="str">
        <v>Middle Age</v>
      </c>
      <c r="J14" t="str">
        <v>Producer</v>
      </c>
      <c r="K14">
        <v>9026</v>
      </c>
      <c r="L14" t="str">
        <v>Married</v>
      </c>
      <c r="M14">
        <v>1</v>
      </c>
    </row>
    <row r="15" spans="2:13" x14ac:dyDescent="0.25">
      <c r="D15" t="str">
        <v>Frederick</v>
      </c>
      <c r="E15" t="str">
        <v>Johnson</v>
      </c>
      <c r="F15" t="str">
        <v>Frederick Johnson</v>
      </c>
      <c r="G15" t="str">
        <v>Male</v>
      </c>
      <c r="H15">
        <v>49</v>
      </c>
      <c r="I15" t="str">
        <v>Middle Age</v>
      </c>
      <c r="J15" t="str">
        <v>Programmer</v>
      </c>
      <c r="K15">
        <v>5998</v>
      </c>
      <c r="L15" t="str">
        <v>Married</v>
      </c>
      <c r="M15">
        <v>2</v>
      </c>
    </row>
    <row r="16" spans="2:13" x14ac:dyDescent="0.25">
      <c r="D16" t="str">
        <v>Adam</v>
      </c>
      <c r="E16" t="str">
        <v>Nelson</v>
      </c>
      <c r="F16" t="str">
        <v>Adam Nelson</v>
      </c>
      <c r="G16" t="str">
        <v>Male</v>
      </c>
      <c r="H16">
        <v>47</v>
      </c>
      <c r="I16" t="str">
        <v>Middle Age</v>
      </c>
      <c r="J16" t="str">
        <v>Photographer</v>
      </c>
      <c r="K16">
        <v>2060</v>
      </c>
      <c r="L16" t="str">
        <v>Married</v>
      </c>
      <c r="M16">
        <v>4</v>
      </c>
    </row>
    <row r="17" spans="4:13" x14ac:dyDescent="0.25">
      <c r="D17" t="str">
        <v>Dominik</v>
      </c>
      <c r="E17" t="str">
        <v>Martin</v>
      </c>
      <c r="F17" t="str">
        <v>Dominik Martin</v>
      </c>
      <c r="G17" t="str">
        <v>Male</v>
      </c>
      <c r="H17">
        <v>58</v>
      </c>
      <c r="I17" t="str">
        <v>Old</v>
      </c>
      <c r="J17" t="str">
        <v>Lecturer</v>
      </c>
      <c r="K17">
        <v>4754</v>
      </c>
      <c r="L17" t="str">
        <v>Married</v>
      </c>
      <c r="M17">
        <v>3</v>
      </c>
    </row>
    <row r="18" spans="4:13" x14ac:dyDescent="0.25">
      <c r="D18" t="str">
        <v>Eddy</v>
      </c>
      <c r="E18" t="str">
        <v>Andrews</v>
      </c>
      <c r="F18" t="str">
        <v>Eddy Andrews</v>
      </c>
      <c r="G18" t="str">
        <v>Male</v>
      </c>
      <c r="H18">
        <v>53</v>
      </c>
      <c r="I18" t="str">
        <v>Old</v>
      </c>
      <c r="J18" t="str">
        <v>Engineer</v>
      </c>
      <c r="K18">
        <v>5963</v>
      </c>
      <c r="L18" t="str">
        <v>Single</v>
      </c>
      <c r="M18">
        <v>0</v>
      </c>
    </row>
    <row r="19" spans="4:13" x14ac:dyDescent="0.25">
      <c r="D19" t="str">
        <v>Wilson</v>
      </c>
      <c r="E19" t="str">
        <v>Farrell</v>
      </c>
      <c r="F19" t="str">
        <v>Wilson Farrell</v>
      </c>
      <c r="G19" t="str">
        <v>Male</v>
      </c>
      <c r="H19">
        <v>49</v>
      </c>
      <c r="I19" t="str">
        <v>Middle Age</v>
      </c>
      <c r="J19" t="str">
        <v>Insurer</v>
      </c>
      <c r="K19">
        <v>9406</v>
      </c>
      <c r="L19" t="str">
        <v>Married</v>
      </c>
      <c r="M19">
        <v>0</v>
      </c>
    </row>
    <row r="20" spans="4:13" x14ac:dyDescent="0.25">
      <c r="D20" t="str">
        <v>Fenton</v>
      </c>
      <c r="E20" t="str">
        <v>Kelly</v>
      </c>
      <c r="F20" t="str">
        <v>Fenton Kelly</v>
      </c>
      <c r="G20" t="str">
        <v>Male</v>
      </c>
      <c r="H20">
        <v>46</v>
      </c>
      <c r="I20" t="str">
        <v>Middle Age</v>
      </c>
      <c r="J20" t="str">
        <v>Architect</v>
      </c>
      <c r="K20">
        <v>8547</v>
      </c>
      <c r="L20" t="str">
        <v>Married</v>
      </c>
      <c r="M20">
        <v>4</v>
      </c>
    </row>
    <row r="21" spans="4:13" x14ac:dyDescent="0.25">
      <c r="D21" t="str">
        <v>Henry</v>
      </c>
      <c r="E21" t="str">
        <v>Stevens</v>
      </c>
      <c r="F21" t="str">
        <v>Henry Stevens</v>
      </c>
      <c r="G21" t="str">
        <v>Male</v>
      </c>
      <c r="H21">
        <v>53</v>
      </c>
      <c r="I21" t="str">
        <v>Old</v>
      </c>
      <c r="J21" t="str">
        <v>Electrician</v>
      </c>
      <c r="K21">
        <v>2846</v>
      </c>
      <c r="L21" t="str">
        <v>Single</v>
      </c>
      <c r="M21">
        <v>1</v>
      </c>
    </row>
    <row r="22" spans="4:13" x14ac:dyDescent="0.25">
      <c r="D22" t="str">
        <v>Jordan</v>
      </c>
      <c r="E22" t="str">
        <v>Cunningham</v>
      </c>
      <c r="F22" t="str">
        <v>Jordan Cunningham</v>
      </c>
      <c r="G22" t="str">
        <v>Male</v>
      </c>
      <c r="H22">
        <v>57</v>
      </c>
      <c r="I22" t="str">
        <v>Old</v>
      </c>
      <c r="J22" t="str">
        <v>Journalist</v>
      </c>
      <c r="K22">
        <v>7942</v>
      </c>
      <c r="L22" t="str">
        <v>Single</v>
      </c>
      <c r="M22">
        <v>1</v>
      </c>
    </row>
    <row r="23" spans="4:13" x14ac:dyDescent="0.25">
      <c r="D23" t="str">
        <v>Arnold</v>
      </c>
      <c r="E23" t="str">
        <v>Tucker</v>
      </c>
      <c r="F23" t="str">
        <v>Arnold Tucker</v>
      </c>
      <c r="G23" t="str">
        <v>Male</v>
      </c>
      <c r="H23">
        <v>60</v>
      </c>
      <c r="I23" t="str">
        <v>Old</v>
      </c>
      <c r="J23" t="str">
        <v>Archeologist</v>
      </c>
      <c r="K23">
        <v>4057</v>
      </c>
      <c r="L23" t="str">
        <v>Single</v>
      </c>
      <c r="M23">
        <v>1</v>
      </c>
    </row>
    <row r="24" spans="4:13" x14ac:dyDescent="0.25">
      <c r="D24" t="str">
        <v>Jack</v>
      </c>
      <c r="E24" t="str">
        <v>Riley</v>
      </c>
      <c r="F24" t="str">
        <v>Jack Riley</v>
      </c>
      <c r="G24" t="str">
        <v>Male</v>
      </c>
      <c r="H24">
        <v>59</v>
      </c>
      <c r="I24" t="str">
        <v>Old</v>
      </c>
      <c r="J24" t="str">
        <v>Driver</v>
      </c>
      <c r="K24">
        <v>6452</v>
      </c>
      <c r="L24" t="str">
        <v>Single</v>
      </c>
      <c r="M24">
        <v>2</v>
      </c>
    </row>
    <row r="25" spans="4:13" x14ac:dyDescent="0.25">
      <c r="D25" t="str">
        <v>Brad</v>
      </c>
      <c r="E25" t="str">
        <v>Kelley</v>
      </c>
      <c r="F25" t="str">
        <v>Brad Kelley</v>
      </c>
      <c r="G25" t="str">
        <v>Male</v>
      </c>
      <c r="H25">
        <v>42</v>
      </c>
      <c r="I25" t="str">
        <v>Middle Age</v>
      </c>
      <c r="J25" t="str">
        <v>Mechanic</v>
      </c>
      <c r="K25">
        <v>7282</v>
      </c>
      <c r="L25" t="str">
        <v>Married</v>
      </c>
      <c r="M25">
        <v>1</v>
      </c>
    </row>
    <row r="26" spans="4:13" x14ac:dyDescent="0.25">
      <c r="D26" t="str">
        <v>Jared</v>
      </c>
      <c r="E26" t="str">
        <v>Carter</v>
      </c>
      <c r="F26" t="str">
        <v>Jared Carter</v>
      </c>
      <c r="G26" t="str">
        <v>Male</v>
      </c>
      <c r="H26">
        <v>34</v>
      </c>
      <c r="I26" t="str">
        <v>Middle Age</v>
      </c>
      <c r="J26" t="str">
        <v>Meteorologist</v>
      </c>
      <c r="K26">
        <v>8791</v>
      </c>
      <c r="L26" t="str">
        <v>Married</v>
      </c>
      <c r="M26">
        <v>2</v>
      </c>
    </row>
    <row r="27" spans="4:13" x14ac:dyDescent="0.25">
      <c r="D27" t="str">
        <v>Bruce</v>
      </c>
      <c r="E27" t="str">
        <v>Davis</v>
      </c>
      <c r="F27" t="str">
        <v>Bruce Davis</v>
      </c>
      <c r="G27" t="str">
        <v>Male</v>
      </c>
      <c r="H27">
        <v>55</v>
      </c>
      <c r="I27" t="str">
        <v>Old</v>
      </c>
      <c r="J27" t="str">
        <v>Botanist</v>
      </c>
      <c r="K27">
        <v>1912</v>
      </c>
      <c r="L27" t="str">
        <v>Single</v>
      </c>
      <c r="M27">
        <v>4</v>
      </c>
    </row>
    <row r="28" spans="4:13" x14ac:dyDescent="0.25">
      <c r="D28" t="str">
        <v>Dale</v>
      </c>
      <c r="E28" t="str">
        <v>Tucker</v>
      </c>
      <c r="F28" t="str">
        <v>Dale Tucker</v>
      </c>
      <c r="G28" t="str">
        <v>Male</v>
      </c>
      <c r="H28">
        <v>53</v>
      </c>
      <c r="I28" t="str">
        <v>Old</v>
      </c>
      <c r="J28" t="str">
        <v>Electrician</v>
      </c>
      <c r="K28">
        <v>9507</v>
      </c>
      <c r="L28" t="str">
        <v>Single</v>
      </c>
      <c r="M28">
        <v>0</v>
      </c>
    </row>
    <row r="29" spans="4:13" x14ac:dyDescent="0.25">
      <c r="D29" t="str">
        <v>Kevin</v>
      </c>
      <c r="E29" t="str">
        <v>Evans</v>
      </c>
      <c r="F29" t="str">
        <v>Kevin Evans</v>
      </c>
      <c r="G29" t="str">
        <v>Male</v>
      </c>
      <c r="H29">
        <v>47</v>
      </c>
      <c r="I29" t="str">
        <v>Middle Age</v>
      </c>
      <c r="J29" t="str">
        <v>Physicist</v>
      </c>
      <c r="K29">
        <v>1280</v>
      </c>
      <c r="L29" t="str">
        <v>Single</v>
      </c>
      <c r="M29">
        <v>0</v>
      </c>
    </row>
    <row r="30" spans="4:13" x14ac:dyDescent="0.25">
      <c r="D30" t="str">
        <v>Alan</v>
      </c>
      <c r="E30" t="str">
        <v>Cole</v>
      </c>
      <c r="F30" t="str">
        <v>Alan Cole</v>
      </c>
      <c r="G30" t="str">
        <v>Male</v>
      </c>
      <c r="H30">
        <v>33</v>
      </c>
      <c r="I30" t="str">
        <v>Middle Age</v>
      </c>
      <c r="J30" t="str">
        <v>Chemist</v>
      </c>
      <c r="K30">
        <v>2670</v>
      </c>
      <c r="L30" t="str">
        <v>Single</v>
      </c>
      <c r="M30">
        <v>2</v>
      </c>
    </row>
    <row r="31" spans="4:13" x14ac:dyDescent="0.25">
      <c r="D31" t="str">
        <v>Eric</v>
      </c>
      <c r="E31" t="str">
        <v>Perkins</v>
      </c>
      <c r="F31" t="str">
        <v>Eric Perkins</v>
      </c>
      <c r="G31" t="str">
        <v>Male</v>
      </c>
      <c r="H31">
        <v>40</v>
      </c>
      <c r="I31" t="str">
        <v>Middle Age</v>
      </c>
      <c r="J31" t="str">
        <v>Hairdresser</v>
      </c>
      <c r="K31">
        <v>7506</v>
      </c>
      <c r="L31" t="str">
        <v>Married</v>
      </c>
      <c r="M31">
        <v>4</v>
      </c>
    </row>
    <row r="32" spans="4:13" x14ac:dyDescent="0.25">
      <c r="D32" t="str">
        <v>Tony</v>
      </c>
      <c r="E32" t="str">
        <v>Kelley</v>
      </c>
      <c r="F32" t="str">
        <v>Tony Kelley</v>
      </c>
      <c r="G32" t="str">
        <v>Male</v>
      </c>
      <c r="H32">
        <v>46</v>
      </c>
      <c r="I32" t="str">
        <v>Middle Age</v>
      </c>
      <c r="J32" t="str">
        <v>Medic</v>
      </c>
      <c r="K32">
        <v>4160</v>
      </c>
      <c r="L32" t="str">
        <v>Married</v>
      </c>
      <c r="M32">
        <v>2</v>
      </c>
    </row>
    <row r="33" spans="4:13" x14ac:dyDescent="0.25">
      <c r="D33" t="str">
        <v>Alen</v>
      </c>
      <c r="E33" t="str">
        <v>Cunningham</v>
      </c>
      <c r="F33" t="str">
        <v>Alen Cunningham</v>
      </c>
      <c r="G33" t="str">
        <v>Male</v>
      </c>
      <c r="H33">
        <v>35</v>
      </c>
      <c r="I33" t="str">
        <v>Middle Age</v>
      </c>
      <c r="J33" t="str">
        <v>Interior Designer</v>
      </c>
      <c r="K33">
        <v>5819</v>
      </c>
      <c r="L33" t="str">
        <v>Married</v>
      </c>
      <c r="M33">
        <v>1</v>
      </c>
    </row>
    <row r="34" spans="4:13" x14ac:dyDescent="0.25">
      <c r="D34" t="str">
        <v>Michael</v>
      </c>
      <c r="E34" t="str">
        <v>Higgins</v>
      </c>
      <c r="F34" t="str">
        <v>Michael Higgins</v>
      </c>
      <c r="G34" t="str">
        <v>Male</v>
      </c>
      <c r="H34">
        <v>51</v>
      </c>
      <c r="I34" t="str">
        <v>Old</v>
      </c>
      <c r="J34" t="str">
        <v>Botanist</v>
      </c>
      <c r="K34">
        <v>2778</v>
      </c>
      <c r="L34" t="str">
        <v>Married</v>
      </c>
      <c r="M34">
        <v>5</v>
      </c>
    </row>
    <row r="35" spans="4:13" x14ac:dyDescent="0.25">
      <c r="D35" t="str">
        <v>Owen</v>
      </c>
      <c r="E35" t="str">
        <v>Smith</v>
      </c>
      <c r="F35" t="str">
        <v>Owen Smith</v>
      </c>
      <c r="G35" t="str">
        <v>Male</v>
      </c>
      <c r="H35">
        <v>60</v>
      </c>
      <c r="I35" t="str">
        <v>Old</v>
      </c>
      <c r="J35" t="str">
        <v>Historian</v>
      </c>
      <c r="K35">
        <v>8232</v>
      </c>
      <c r="L35" t="str">
        <v>Single</v>
      </c>
      <c r="M35">
        <v>0</v>
      </c>
    </row>
    <row r="36" spans="4:13" x14ac:dyDescent="0.25">
      <c r="D36" t="str">
        <v>Andrew</v>
      </c>
      <c r="E36" t="str">
        <v>Reed</v>
      </c>
      <c r="F36" t="str">
        <v>Andrew Reed</v>
      </c>
      <c r="G36" t="str">
        <v>Male</v>
      </c>
      <c r="H36">
        <v>57</v>
      </c>
      <c r="I36" t="str">
        <v>Old</v>
      </c>
      <c r="J36" t="str">
        <v>Producer</v>
      </c>
      <c r="K36">
        <v>7802</v>
      </c>
      <c r="L36" t="str">
        <v>Married</v>
      </c>
      <c r="M36">
        <v>5</v>
      </c>
    </row>
    <row r="37" spans="4:13" x14ac:dyDescent="0.25">
      <c r="D37" t="str">
        <v>Vincent</v>
      </c>
      <c r="E37" t="str">
        <v>Hawkins</v>
      </c>
      <c r="F37" t="str">
        <v>Vincent Hawkins</v>
      </c>
      <c r="G37" t="str">
        <v>Male</v>
      </c>
      <c r="H37">
        <v>45</v>
      </c>
      <c r="I37" t="str">
        <v>Middle Age</v>
      </c>
      <c r="J37" t="str">
        <v>Agronomist</v>
      </c>
      <c r="K37">
        <v>9147</v>
      </c>
      <c r="L37" t="str">
        <v>Married</v>
      </c>
      <c r="M37">
        <v>5</v>
      </c>
    </row>
    <row r="38" spans="4:13" x14ac:dyDescent="0.25">
      <c r="D38" t="str">
        <v>Ashton</v>
      </c>
      <c r="E38" t="str">
        <v>Nelson</v>
      </c>
      <c r="F38" t="str">
        <v>Ashton Nelson</v>
      </c>
      <c r="G38" t="str">
        <v>Male</v>
      </c>
      <c r="H38">
        <v>40</v>
      </c>
      <c r="I38" t="str">
        <v>Middle Age</v>
      </c>
      <c r="J38" t="str">
        <v>Photographer</v>
      </c>
      <c r="K38">
        <v>1956</v>
      </c>
      <c r="L38" t="str">
        <v>Single</v>
      </c>
      <c r="M38">
        <v>0</v>
      </c>
    </row>
    <row r="39" spans="4:13" x14ac:dyDescent="0.25">
      <c r="D39" t="str">
        <v>Freddie</v>
      </c>
      <c r="E39" t="str">
        <v>Owens</v>
      </c>
      <c r="F39" t="str">
        <v>Freddie Owens</v>
      </c>
      <c r="G39" t="str">
        <v>Male</v>
      </c>
      <c r="H39">
        <v>38</v>
      </c>
      <c r="I39" t="str">
        <v>Middle Age</v>
      </c>
      <c r="J39" t="str">
        <v>Graphic Designer</v>
      </c>
      <c r="K39">
        <v>3249</v>
      </c>
      <c r="L39" t="str">
        <v>Single</v>
      </c>
      <c r="M39">
        <v>4</v>
      </c>
    </row>
    <row r="40" spans="4:13" x14ac:dyDescent="0.25">
      <c r="D40" t="str">
        <v>Victor</v>
      </c>
      <c r="E40" t="str">
        <v>Holmes</v>
      </c>
      <c r="F40" t="str">
        <v>Victor Holmes</v>
      </c>
      <c r="G40" t="str">
        <v>Male</v>
      </c>
      <c r="H40">
        <v>45</v>
      </c>
      <c r="I40" t="str">
        <v>Middle Age</v>
      </c>
      <c r="J40" t="str">
        <v>Teacher</v>
      </c>
      <c r="K40">
        <v>7436</v>
      </c>
      <c r="L40" t="str">
        <v>Married</v>
      </c>
      <c r="M40">
        <v>1</v>
      </c>
    </row>
    <row r="41" spans="4:13" x14ac:dyDescent="0.25">
      <c r="D41" t="str">
        <v>Arthur</v>
      </c>
      <c r="E41" t="str">
        <v>Murray</v>
      </c>
      <c r="F41" t="str">
        <v>Arthur Murray</v>
      </c>
      <c r="G41" t="str">
        <v>Male</v>
      </c>
      <c r="H41">
        <v>42</v>
      </c>
      <c r="I41" t="str">
        <v>Middle Age</v>
      </c>
      <c r="J41" t="str">
        <v>Lawyer</v>
      </c>
      <c r="K41">
        <v>4038</v>
      </c>
      <c r="L41" t="str">
        <v>Married</v>
      </c>
      <c r="M41">
        <v>0</v>
      </c>
    </row>
    <row r="42" spans="4:13" x14ac:dyDescent="0.25">
      <c r="D42" t="str">
        <v>Garry</v>
      </c>
      <c r="E42" t="str">
        <v>Hall</v>
      </c>
      <c r="F42" t="str">
        <v>Garry Hall</v>
      </c>
      <c r="G42" t="str">
        <v>Male</v>
      </c>
      <c r="H42">
        <v>41</v>
      </c>
      <c r="I42" t="str">
        <v>Middle Age</v>
      </c>
      <c r="J42" t="str">
        <v>Botanist</v>
      </c>
      <c r="K42">
        <v>4954</v>
      </c>
      <c r="L42" t="str">
        <v>Married</v>
      </c>
      <c r="M42">
        <v>2</v>
      </c>
    </row>
    <row r="43" spans="4:13" x14ac:dyDescent="0.25">
      <c r="D43" t="str">
        <v>Eric</v>
      </c>
      <c r="E43" t="str">
        <v>Harper</v>
      </c>
      <c r="F43" t="str">
        <v>Eric Harper</v>
      </c>
      <c r="G43" t="str">
        <v>Male</v>
      </c>
      <c r="H43">
        <v>46</v>
      </c>
      <c r="I43" t="str">
        <v>Middle Age</v>
      </c>
      <c r="J43" t="str">
        <v>Biochemist</v>
      </c>
      <c r="K43">
        <v>3940</v>
      </c>
      <c r="L43" t="str">
        <v>Married</v>
      </c>
      <c r="M43">
        <v>5</v>
      </c>
    </row>
    <row r="44" spans="4:13" x14ac:dyDescent="0.25">
      <c r="D44" t="str">
        <v>Oliver</v>
      </c>
      <c r="E44" t="str">
        <v>Cameron</v>
      </c>
      <c r="F44" t="str">
        <v>Oliver Cameron</v>
      </c>
      <c r="G44" t="str">
        <v>Male</v>
      </c>
      <c r="H44">
        <v>35</v>
      </c>
      <c r="I44" t="str">
        <v>Middle Age</v>
      </c>
      <c r="J44" t="str">
        <v>Singer</v>
      </c>
      <c r="K44">
        <v>4625</v>
      </c>
      <c r="L44" t="str">
        <v>Married</v>
      </c>
      <c r="M44">
        <v>2</v>
      </c>
    </row>
    <row r="45" spans="4:13" x14ac:dyDescent="0.25">
      <c r="D45" t="str">
        <v>Jared</v>
      </c>
      <c r="E45" t="str">
        <v>Foster</v>
      </c>
      <c r="F45" t="str">
        <v>Jared Foster</v>
      </c>
      <c r="G45" t="str">
        <v>Male</v>
      </c>
      <c r="H45">
        <v>48</v>
      </c>
      <c r="I45" t="str">
        <v>Middle Age</v>
      </c>
      <c r="J45" t="str">
        <v>Medic</v>
      </c>
      <c r="K45">
        <v>4804</v>
      </c>
      <c r="L45" t="str">
        <v>Single</v>
      </c>
      <c r="M45">
        <v>2</v>
      </c>
    </row>
    <row r="46" spans="4:13" x14ac:dyDescent="0.25">
      <c r="D46" t="str">
        <v>Spike</v>
      </c>
      <c r="E46" t="str">
        <v>Walker</v>
      </c>
      <c r="F46" t="str">
        <v>Spike Walker</v>
      </c>
      <c r="G46" t="str">
        <v>Male</v>
      </c>
      <c r="H46">
        <v>52</v>
      </c>
      <c r="I46" t="str">
        <v>Old</v>
      </c>
      <c r="J46" t="str">
        <v>Electrician</v>
      </c>
      <c r="K46">
        <v>547</v>
      </c>
      <c r="L46" t="str">
        <v>Single</v>
      </c>
      <c r="M46">
        <v>1</v>
      </c>
    </row>
    <row r="47" spans="4:13" x14ac:dyDescent="0.25">
      <c r="D47" t="str">
        <v>Harold</v>
      </c>
      <c r="E47" t="str">
        <v>Phillips</v>
      </c>
      <c r="F47" t="str">
        <v>Harold Phillips</v>
      </c>
      <c r="G47" t="str">
        <v>Male</v>
      </c>
      <c r="H47">
        <v>60</v>
      </c>
      <c r="I47" t="str">
        <v>Old</v>
      </c>
      <c r="J47" t="str">
        <v>Actor</v>
      </c>
      <c r="K47">
        <v>6130</v>
      </c>
      <c r="L47" t="str">
        <v>Single</v>
      </c>
      <c r="M47">
        <v>4</v>
      </c>
    </row>
    <row r="48" spans="4:13" x14ac:dyDescent="0.25">
      <c r="D48" t="str">
        <v>Aiden</v>
      </c>
      <c r="E48" t="str">
        <v>Nelson</v>
      </c>
      <c r="F48" t="str">
        <v>Aiden Nelson</v>
      </c>
      <c r="G48" t="str">
        <v>Male</v>
      </c>
      <c r="H48">
        <v>39</v>
      </c>
      <c r="I48" t="str">
        <v>Middle Age</v>
      </c>
      <c r="J48" t="str">
        <v>Social Worker</v>
      </c>
      <c r="K48">
        <v>2670</v>
      </c>
      <c r="L48" t="str">
        <v>Single</v>
      </c>
      <c r="M48">
        <v>0</v>
      </c>
    </row>
    <row r="49" spans="4:13" x14ac:dyDescent="0.25">
      <c r="D49" t="str">
        <v>Marcus</v>
      </c>
      <c r="E49" t="str">
        <v>Anderson</v>
      </c>
      <c r="F49" t="str">
        <v>Marcus Anderson</v>
      </c>
      <c r="G49" t="str">
        <v>Male</v>
      </c>
      <c r="H49">
        <v>33</v>
      </c>
      <c r="I49" t="str">
        <v>Middle Age</v>
      </c>
      <c r="J49" t="str">
        <v>Geologist</v>
      </c>
      <c r="K49">
        <v>4995</v>
      </c>
      <c r="L49" t="str">
        <v>Single</v>
      </c>
      <c r="M49">
        <v>0</v>
      </c>
    </row>
    <row r="50" spans="4:13" x14ac:dyDescent="0.25">
      <c r="D50" t="str">
        <v>David</v>
      </c>
      <c r="E50" t="str">
        <v>Bailey</v>
      </c>
      <c r="F50" t="str">
        <v>David Bailey</v>
      </c>
      <c r="G50" t="str">
        <v>Male</v>
      </c>
      <c r="H50">
        <v>56</v>
      </c>
      <c r="I50" t="str">
        <v>Old</v>
      </c>
      <c r="J50" t="str">
        <v>Meteorologist</v>
      </c>
      <c r="K50">
        <v>5282</v>
      </c>
      <c r="L50" t="str">
        <v>Married</v>
      </c>
      <c r="M50">
        <v>4</v>
      </c>
    </row>
    <row r="51" spans="4:13" x14ac:dyDescent="0.25">
      <c r="D51" t="str">
        <v>Dominik</v>
      </c>
      <c r="E51" t="str">
        <v>Miller</v>
      </c>
      <c r="F51" t="str">
        <v>Dominik Miller</v>
      </c>
      <c r="G51" t="str">
        <v>Male</v>
      </c>
      <c r="H51">
        <v>57</v>
      </c>
      <c r="I51" t="str">
        <v>Old</v>
      </c>
      <c r="J51" t="str">
        <v>Geologist</v>
      </c>
      <c r="K51">
        <v>2404</v>
      </c>
      <c r="L51" t="str">
        <v>Married</v>
      </c>
      <c r="M51">
        <v>2</v>
      </c>
    </row>
    <row r="52" spans="4:13" x14ac:dyDescent="0.25">
      <c r="D52" t="str">
        <v>Jack</v>
      </c>
      <c r="E52" t="str">
        <v>Brooks</v>
      </c>
      <c r="F52" t="str">
        <v>Jack Brooks</v>
      </c>
      <c r="G52" t="str">
        <v>Male</v>
      </c>
      <c r="H52">
        <v>51</v>
      </c>
      <c r="I52" t="str">
        <v>Old</v>
      </c>
      <c r="J52" t="str">
        <v>Chef</v>
      </c>
      <c r="K52">
        <v>5967</v>
      </c>
      <c r="L52" t="str">
        <v>Married</v>
      </c>
      <c r="M52">
        <v>3</v>
      </c>
    </row>
    <row r="53" spans="4:13" x14ac:dyDescent="0.25">
      <c r="D53" t="str">
        <v>Eddy</v>
      </c>
      <c r="E53" t="str">
        <v>Stevens</v>
      </c>
      <c r="F53" t="str">
        <v>Eddy Stevens</v>
      </c>
      <c r="G53" t="str">
        <v>Male</v>
      </c>
      <c r="H53">
        <v>60</v>
      </c>
      <c r="I53" t="str">
        <v>Old</v>
      </c>
      <c r="J53" t="str">
        <v>Producer</v>
      </c>
      <c r="K53">
        <v>554</v>
      </c>
      <c r="L53" t="str">
        <v>Married</v>
      </c>
      <c r="M53">
        <v>0</v>
      </c>
    </row>
    <row r="54" spans="4:13" x14ac:dyDescent="0.25">
      <c r="D54" t="str">
        <v>Ashton</v>
      </c>
      <c r="E54" t="str">
        <v>Dixon</v>
      </c>
      <c r="F54" t="str">
        <v>Ashton Dixon</v>
      </c>
      <c r="G54" t="str">
        <v>Male</v>
      </c>
      <c r="H54">
        <v>44</v>
      </c>
      <c r="I54" t="str">
        <v>Middle Age</v>
      </c>
      <c r="J54" t="str">
        <v>Firefighter</v>
      </c>
      <c r="K54">
        <v>6423</v>
      </c>
      <c r="L54" t="str">
        <v>Married</v>
      </c>
      <c r="M54">
        <v>4</v>
      </c>
    </row>
    <row r="55" spans="4:13" x14ac:dyDescent="0.25">
      <c r="D55" t="str">
        <v>Elian</v>
      </c>
      <c r="E55" t="str">
        <v>Ferguson</v>
      </c>
      <c r="F55" t="str">
        <v>Elian Ferguson</v>
      </c>
      <c r="G55" t="str">
        <v>Male</v>
      </c>
      <c r="H55">
        <v>59</v>
      </c>
      <c r="I55" t="str">
        <v>Old</v>
      </c>
      <c r="J55" t="str">
        <v>Veterinarian</v>
      </c>
      <c r="K55">
        <v>6855</v>
      </c>
      <c r="L55" t="str">
        <v>Married</v>
      </c>
      <c r="M55">
        <v>5</v>
      </c>
    </row>
    <row r="56" spans="4:13" x14ac:dyDescent="0.25">
      <c r="D56" t="str">
        <v>Michael</v>
      </c>
      <c r="E56" t="str">
        <v>Farrell</v>
      </c>
      <c r="F56" t="str">
        <v>Michael Farrell</v>
      </c>
      <c r="G56" t="str">
        <v>Male</v>
      </c>
      <c r="H56">
        <v>43</v>
      </c>
      <c r="I56" t="str">
        <v>Middle Age</v>
      </c>
      <c r="J56" t="str">
        <v>Journalist</v>
      </c>
      <c r="K56">
        <v>7363</v>
      </c>
      <c r="L56" t="str">
        <v>Married</v>
      </c>
      <c r="M56">
        <v>1</v>
      </c>
    </row>
    <row r="57" spans="4:13" x14ac:dyDescent="0.25">
      <c r="D57" t="str">
        <v>Aston</v>
      </c>
      <c r="E57" t="str">
        <v>Ellis</v>
      </c>
      <c r="F57" t="str">
        <v>Aston Ellis</v>
      </c>
      <c r="G57" t="str">
        <v>Male</v>
      </c>
      <c r="H57">
        <v>53</v>
      </c>
      <c r="I57" t="str">
        <v>Old</v>
      </c>
      <c r="J57" t="str">
        <v>Historian</v>
      </c>
      <c r="K57">
        <v>521</v>
      </c>
      <c r="L57" t="str">
        <v>Single</v>
      </c>
      <c r="M57">
        <v>4</v>
      </c>
    </row>
    <row r="58" spans="4:13" x14ac:dyDescent="0.25">
      <c r="D58" t="str">
        <v>Adrian</v>
      </c>
      <c r="E58" t="str">
        <v>Riley</v>
      </c>
      <c r="F58" t="str">
        <v>Adrian Riley</v>
      </c>
      <c r="G58" t="str">
        <v>Male</v>
      </c>
      <c r="H58">
        <v>60</v>
      </c>
      <c r="I58" t="str">
        <v>Old</v>
      </c>
      <c r="J58" t="str">
        <v>Dancer</v>
      </c>
      <c r="K58">
        <v>3670</v>
      </c>
      <c r="L58" t="str">
        <v>Single</v>
      </c>
      <c r="M58">
        <v>0</v>
      </c>
    </row>
    <row r="59" spans="4:13" x14ac:dyDescent="0.25">
      <c r="D59" t="str">
        <v>Michael</v>
      </c>
      <c r="E59" t="str">
        <v>Turner</v>
      </c>
      <c r="F59" t="str">
        <v>Michael Turner</v>
      </c>
      <c r="G59" t="str">
        <v>Male</v>
      </c>
      <c r="H59">
        <v>38</v>
      </c>
      <c r="I59" t="str">
        <v>Middle Age</v>
      </c>
      <c r="J59" t="str">
        <v>Interior Designer</v>
      </c>
      <c r="K59">
        <v>8616</v>
      </c>
      <c r="L59" t="str">
        <v>Single</v>
      </c>
      <c r="M59">
        <v>4</v>
      </c>
    </row>
    <row r="60" spans="4:13" x14ac:dyDescent="0.25">
      <c r="D60" t="str">
        <v>Robert</v>
      </c>
      <c r="E60" t="str">
        <v>Ellis</v>
      </c>
      <c r="F60" t="str">
        <v>Robert Ellis</v>
      </c>
      <c r="G60" t="str">
        <v>Male</v>
      </c>
      <c r="H60">
        <v>45</v>
      </c>
      <c r="I60" t="str">
        <v>Middle Age</v>
      </c>
      <c r="J60" t="str">
        <v>Fine Artist</v>
      </c>
      <c r="K60">
        <v>9868</v>
      </c>
      <c r="L60" t="str">
        <v>Single</v>
      </c>
      <c r="M60">
        <v>5</v>
      </c>
    </row>
    <row r="61" spans="4:13" x14ac:dyDescent="0.25">
      <c r="D61" t="str">
        <v>Roman</v>
      </c>
      <c r="E61" t="str">
        <v>Farrell</v>
      </c>
      <c r="F61" t="str">
        <v>Roman Farrell</v>
      </c>
      <c r="G61" t="str">
        <v>Male</v>
      </c>
      <c r="H61">
        <v>56</v>
      </c>
      <c r="I61" t="str">
        <v>Old</v>
      </c>
      <c r="J61" t="str">
        <v>Medic</v>
      </c>
      <c r="K61">
        <v>8309</v>
      </c>
      <c r="L61" t="str">
        <v>Single</v>
      </c>
      <c r="M61">
        <v>1</v>
      </c>
    </row>
    <row r="62" spans="4:13" x14ac:dyDescent="0.25">
      <c r="D62" t="str">
        <v>Freddie</v>
      </c>
      <c r="E62" t="str">
        <v>Anderson</v>
      </c>
      <c r="F62" t="str">
        <v>Freddie Anderson</v>
      </c>
      <c r="G62" t="str">
        <v>Male</v>
      </c>
      <c r="H62">
        <v>50</v>
      </c>
      <c r="I62" t="str">
        <v>Middle Age</v>
      </c>
      <c r="J62" t="str">
        <v>Historian</v>
      </c>
      <c r="K62">
        <v>1307</v>
      </c>
      <c r="L62" t="str">
        <v>Married</v>
      </c>
      <c r="M62">
        <v>4</v>
      </c>
    </row>
    <row r="63" spans="4:13" x14ac:dyDescent="0.25">
      <c r="D63" t="str">
        <v>Henry</v>
      </c>
      <c r="E63" t="str">
        <v>Gray</v>
      </c>
      <c r="F63" t="str">
        <v>Henry Gray</v>
      </c>
      <c r="G63" t="str">
        <v>Male</v>
      </c>
      <c r="H63">
        <v>36</v>
      </c>
      <c r="I63" t="str">
        <v>Middle Age</v>
      </c>
      <c r="J63" t="str">
        <v>Economist</v>
      </c>
      <c r="K63">
        <v>1734</v>
      </c>
      <c r="L63" t="str">
        <v>Married</v>
      </c>
      <c r="M63">
        <v>5</v>
      </c>
    </row>
    <row r="64" spans="4:13" x14ac:dyDescent="0.25">
      <c r="D64" t="str">
        <v>Arthur</v>
      </c>
      <c r="E64" t="str">
        <v>Nelson</v>
      </c>
      <c r="F64" t="str">
        <v>Arthur Nelson</v>
      </c>
      <c r="G64" t="str">
        <v>Male</v>
      </c>
      <c r="H64">
        <v>58</v>
      </c>
      <c r="I64" t="str">
        <v>Old</v>
      </c>
      <c r="J64" t="str">
        <v>Economist</v>
      </c>
      <c r="K64">
        <v>7325</v>
      </c>
      <c r="L64" t="str">
        <v>Single</v>
      </c>
      <c r="M64">
        <v>5</v>
      </c>
    </row>
    <row r="65" spans="4:13" x14ac:dyDescent="0.25">
      <c r="D65" t="str">
        <v>Thomas</v>
      </c>
      <c r="E65" t="str">
        <v>Roberts</v>
      </c>
      <c r="F65" t="str">
        <v>Thomas Roberts</v>
      </c>
      <c r="G65" t="str">
        <v>Male</v>
      </c>
      <c r="H65">
        <v>50</v>
      </c>
      <c r="I65" t="str">
        <v>Middle Age</v>
      </c>
      <c r="J65" t="str">
        <v>Electrician</v>
      </c>
      <c r="K65">
        <v>1268</v>
      </c>
      <c r="L65" t="str">
        <v>Single</v>
      </c>
      <c r="M65">
        <v>4</v>
      </c>
    </row>
    <row r="66" spans="4:13" x14ac:dyDescent="0.25">
      <c r="D66" t="str">
        <v>Alen</v>
      </c>
      <c r="E66" t="str">
        <v>Johnson</v>
      </c>
      <c r="F66" t="str">
        <v>Alen Johnson</v>
      </c>
      <c r="G66" t="str">
        <v>Male</v>
      </c>
      <c r="H66">
        <v>52</v>
      </c>
      <c r="I66" t="str">
        <v>Old</v>
      </c>
      <c r="J66" t="str">
        <v>Interior Designer</v>
      </c>
      <c r="K66">
        <v>3433</v>
      </c>
      <c r="L66" t="str">
        <v>Single</v>
      </c>
      <c r="M66">
        <v>2</v>
      </c>
    </row>
    <row r="67" spans="4:13" x14ac:dyDescent="0.25">
      <c r="D67" t="str">
        <v>Dominik</v>
      </c>
      <c r="E67" t="str">
        <v>Dixon</v>
      </c>
      <c r="F67" t="str">
        <v>Dominik Dixon</v>
      </c>
      <c r="G67" t="str">
        <v>Male</v>
      </c>
      <c r="H67">
        <v>60</v>
      </c>
      <c r="I67" t="str">
        <v>Old</v>
      </c>
      <c r="J67" t="str">
        <v>Veterinarian</v>
      </c>
      <c r="K67">
        <v>7231</v>
      </c>
      <c r="L67" t="str">
        <v>Married</v>
      </c>
      <c r="M67">
        <v>0</v>
      </c>
    </row>
    <row r="68" spans="4:13" x14ac:dyDescent="0.25">
      <c r="D68" t="str">
        <v>James</v>
      </c>
      <c r="E68" t="str">
        <v>Owens</v>
      </c>
      <c r="F68" t="str">
        <v>James Owens</v>
      </c>
      <c r="G68" t="str">
        <v>Male</v>
      </c>
      <c r="H68">
        <v>56</v>
      </c>
      <c r="I68" t="str">
        <v>Old</v>
      </c>
      <c r="J68" t="str">
        <v>Geologist</v>
      </c>
      <c r="K68">
        <v>1722</v>
      </c>
      <c r="L68" t="str">
        <v>Single</v>
      </c>
      <c r="M68">
        <v>5</v>
      </c>
    </row>
    <row r="69" spans="4:13" x14ac:dyDescent="0.25">
      <c r="D69" t="str">
        <v>Lyndon</v>
      </c>
      <c r="E69" t="str">
        <v>Adams</v>
      </c>
      <c r="F69" t="str">
        <v>Lyndon Adams</v>
      </c>
      <c r="G69" t="str">
        <v>Male</v>
      </c>
      <c r="H69">
        <v>45</v>
      </c>
      <c r="I69" t="str">
        <v>Middle Age</v>
      </c>
      <c r="J69" t="str">
        <v>Historian</v>
      </c>
      <c r="K69">
        <v>9390</v>
      </c>
      <c r="L69" t="str">
        <v>Single</v>
      </c>
      <c r="M69">
        <v>2</v>
      </c>
    </row>
    <row r="70" spans="4:13" x14ac:dyDescent="0.25">
      <c r="D70" t="str">
        <v>Aldus</v>
      </c>
      <c r="E70" t="str">
        <v>Sullivan</v>
      </c>
      <c r="F70" t="str">
        <v>Aldus Sullivan</v>
      </c>
      <c r="G70" t="str">
        <v>Male</v>
      </c>
      <c r="H70">
        <v>52</v>
      </c>
      <c r="I70" t="str">
        <v>Old</v>
      </c>
      <c r="J70" t="str">
        <v>Carpenter</v>
      </c>
      <c r="K70">
        <v>9726</v>
      </c>
      <c r="L70" t="str">
        <v>Single</v>
      </c>
      <c r="M70">
        <v>3</v>
      </c>
    </row>
    <row r="71" spans="4:13" x14ac:dyDescent="0.25">
      <c r="D71" t="str">
        <v>James</v>
      </c>
      <c r="E71" t="str">
        <v>Johnston</v>
      </c>
      <c r="F71" t="str">
        <v>James Johnston</v>
      </c>
      <c r="G71" t="str">
        <v>Male</v>
      </c>
      <c r="H71">
        <v>44</v>
      </c>
      <c r="I71" t="str">
        <v>Middle Age</v>
      </c>
      <c r="J71" t="str">
        <v>Electrician</v>
      </c>
      <c r="K71">
        <v>3402</v>
      </c>
      <c r="L71" t="str">
        <v>Single</v>
      </c>
      <c r="M71">
        <v>0</v>
      </c>
    </row>
    <row r="72" spans="4:13" x14ac:dyDescent="0.25">
      <c r="D72" t="str">
        <v>Frederick</v>
      </c>
      <c r="E72" t="str">
        <v>Clark</v>
      </c>
      <c r="F72" t="str">
        <v>Frederick Clark</v>
      </c>
      <c r="G72" t="str">
        <v>Male</v>
      </c>
      <c r="H72">
        <v>33</v>
      </c>
      <c r="I72" t="str">
        <v>Middle Age</v>
      </c>
      <c r="J72" t="str">
        <v>Botanist</v>
      </c>
      <c r="K72">
        <v>6961</v>
      </c>
      <c r="L72" t="str">
        <v>Single</v>
      </c>
      <c r="M72">
        <v>2</v>
      </c>
    </row>
    <row r="73" spans="4:13" x14ac:dyDescent="0.25">
      <c r="D73" t="str">
        <v>James</v>
      </c>
      <c r="E73" t="str">
        <v>Scott</v>
      </c>
      <c r="F73" t="str">
        <v>James Scott</v>
      </c>
      <c r="G73" t="str">
        <v>Male</v>
      </c>
      <c r="H73">
        <v>54</v>
      </c>
      <c r="I73" t="str">
        <v>Old</v>
      </c>
      <c r="J73" t="str">
        <v>Archeologist</v>
      </c>
      <c r="K73">
        <v>2558</v>
      </c>
      <c r="L73" t="str">
        <v>Married</v>
      </c>
      <c r="M73">
        <v>0</v>
      </c>
    </row>
    <row r="74" spans="4:13" x14ac:dyDescent="0.25">
      <c r="D74" t="str">
        <v>Garry</v>
      </c>
      <c r="E74" t="str">
        <v>Mason</v>
      </c>
      <c r="F74" t="str">
        <v>Garry Mason</v>
      </c>
      <c r="G74" t="str">
        <v>Male</v>
      </c>
      <c r="H74">
        <v>49</v>
      </c>
      <c r="I74" t="str">
        <v>Middle Age</v>
      </c>
      <c r="J74" t="str">
        <v>Mathematician</v>
      </c>
      <c r="K74">
        <v>3674</v>
      </c>
      <c r="L74" t="str">
        <v>Single</v>
      </c>
      <c r="M74">
        <v>0</v>
      </c>
    </row>
    <row r="75" spans="4:13" x14ac:dyDescent="0.25">
      <c r="D75" t="str">
        <v>Adison</v>
      </c>
      <c r="E75" t="str">
        <v>Miller</v>
      </c>
      <c r="F75" t="str">
        <v>Adison Miller</v>
      </c>
      <c r="G75" t="str">
        <v>Male</v>
      </c>
      <c r="H75">
        <v>32</v>
      </c>
      <c r="I75" t="str">
        <v>Middle Age</v>
      </c>
      <c r="J75" t="str">
        <v>Astronomer</v>
      </c>
      <c r="K75">
        <v>1199</v>
      </c>
      <c r="L75" t="str">
        <v>Single</v>
      </c>
      <c r="M75">
        <v>1</v>
      </c>
    </row>
    <row r="76" spans="4:13" x14ac:dyDescent="0.25">
      <c r="D76" t="str">
        <v>Julian</v>
      </c>
      <c r="E76" t="str">
        <v>Mitchell</v>
      </c>
      <c r="F76" t="str">
        <v>Julian Mitchell</v>
      </c>
      <c r="G76" t="str">
        <v>Male</v>
      </c>
      <c r="H76">
        <v>60</v>
      </c>
      <c r="I76" t="str">
        <v>Old</v>
      </c>
      <c r="J76" t="str">
        <v>Chemist</v>
      </c>
      <c r="K76">
        <v>9005</v>
      </c>
      <c r="L76" t="str">
        <v>Single</v>
      </c>
      <c r="M76">
        <v>0</v>
      </c>
    </row>
    <row r="77" spans="4:13" x14ac:dyDescent="0.25">
      <c r="D77" t="str">
        <v>Albert</v>
      </c>
      <c r="E77" t="str">
        <v>Allen</v>
      </c>
      <c r="F77" t="str">
        <v>Albert Allen</v>
      </c>
      <c r="G77" t="str">
        <v>Male</v>
      </c>
      <c r="H77">
        <v>57</v>
      </c>
      <c r="I77" t="str">
        <v>Old</v>
      </c>
      <c r="J77" t="str">
        <v>Social Worker</v>
      </c>
      <c r="K77">
        <v>8158</v>
      </c>
      <c r="L77" t="str">
        <v>Single</v>
      </c>
      <c r="M77">
        <v>1</v>
      </c>
    </row>
    <row r="78" spans="4:13" x14ac:dyDescent="0.25">
      <c r="D78" t="str">
        <v>Luke</v>
      </c>
      <c r="E78" t="str">
        <v>Morgan</v>
      </c>
      <c r="F78" t="str">
        <v>Luke Morgan</v>
      </c>
      <c r="G78" t="str">
        <v>Male</v>
      </c>
      <c r="H78">
        <v>31</v>
      </c>
      <c r="I78" t="str">
        <v>Middle Age</v>
      </c>
      <c r="J78" t="str">
        <v>Baker</v>
      </c>
      <c r="K78">
        <v>3356</v>
      </c>
      <c r="L78" t="str">
        <v>Single</v>
      </c>
      <c r="M78">
        <v>0</v>
      </c>
    </row>
    <row r="79" spans="4:13" x14ac:dyDescent="0.25">
      <c r="D79" t="str">
        <v>Oscar</v>
      </c>
      <c r="E79" t="str">
        <v>Parker</v>
      </c>
      <c r="F79" t="str">
        <v>Oscar Parker</v>
      </c>
      <c r="G79" t="str">
        <v>Male</v>
      </c>
      <c r="H79">
        <v>51</v>
      </c>
      <c r="I79" t="str">
        <v>Old</v>
      </c>
      <c r="J79" t="str">
        <v>Meteorologist</v>
      </c>
      <c r="K79">
        <v>5242</v>
      </c>
      <c r="L79" t="str">
        <v>Single</v>
      </c>
      <c r="M79">
        <v>3</v>
      </c>
    </row>
    <row r="80" spans="4:13" x14ac:dyDescent="0.25">
      <c r="D80" t="str">
        <v>Garry</v>
      </c>
      <c r="E80" t="str">
        <v>Jones</v>
      </c>
      <c r="F80" t="str">
        <v>Garry Jones</v>
      </c>
      <c r="G80" t="str">
        <v>Male</v>
      </c>
      <c r="H80">
        <v>37</v>
      </c>
      <c r="I80" t="str">
        <v>Middle Age</v>
      </c>
      <c r="J80" t="str">
        <v>Interpreter</v>
      </c>
      <c r="K80">
        <v>2469</v>
      </c>
      <c r="L80" t="str">
        <v>Married</v>
      </c>
      <c r="M80">
        <v>3</v>
      </c>
    </row>
    <row r="81" spans="4:13" x14ac:dyDescent="0.25">
      <c r="D81" t="str">
        <v>Arnold</v>
      </c>
      <c r="E81" t="str">
        <v>Myers</v>
      </c>
      <c r="F81" t="str">
        <v>Arnold Myers</v>
      </c>
      <c r="G81" t="str">
        <v>Male</v>
      </c>
      <c r="H81">
        <v>35</v>
      </c>
      <c r="I81" t="str">
        <v>Middle Age</v>
      </c>
      <c r="J81" t="str">
        <v>Graphic Designer</v>
      </c>
      <c r="K81">
        <v>1465</v>
      </c>
      <c r="L81" t="str">
        <v>Single</v>
      </c>
      <c r="M81">
        <v>0</v>
      </c>
    </row>
    <row r="82" spans="4:13" x14ac:dyDescent="0.25">
      <c r="D82" t="str">
        <v>Byron</v>
      </c>
      <c r="E82" t="str">
        <v>Morris</v>
      </c>
      <c r="F82" t="str">
        <v>Byron Morris</v>
      </c>
      <c r="G82" t="str">
        <v>Male</v>
      </c>
      <c r="H82">
        <v>43</v>
      </c>
      <c r="I82" t="str">
        <v>Middle Age</v>
      </c>
      <c r="J82" t="str">
        <v>Composer</v>
      </c>
      <c r="K82">
        <v>2382</v>
      </c>
      <c r="L82" t="str">
        <v>Married</v>
      </c>
      <c r="M82">
        <v>5</v>
      </c>
    </row>
    <row r="83" spans="4:13" x14ac:dyDescent="0.25">
      <c r="D83" t="str">
        <v>Edwin</v>
      </c>
      <c r="E83" t="str">
        <v>Hunt</v>
      </c>
      <c r="F83" t="str">
        <v>Edwin Hunt</v>
      </c>
      <c r="G83" t="str">
        <v>Male</v>
      </c>
      <c r="H83">
        <v>41</v>
      </c>
      <c r="I83" t="str">
        <v>Middle Age</v>
      </c>
      <c r="J83" t="str">
        <v>Manager</v>
      </c>
      <c r="K83">
        <v>5740</v>
      </c>
      <c r="L83" t="str">
        <v>Single</v>
      </c>
      <c r="M83">
        <v>0</v>
      </c>
    </row>
    <row r="84" spans="4:13" x14ac:dyDescent="0.25">
      <c r="D84" t="str">
        <v>Arthur</v>
      </c>
      <c r="E84" t="str">
        <v>Dixon</v>
      </c>
      <c r="F84" t="str">
        <v>Arthur Dixon</v>
      </c>
      <c r="G84" t="str">
        <v>Male</v>
      </c>
      <c r="H84">
        <v>42</v>
      </c>
      <c r="I84" t="str">
        <v>Middle Age</v>
      </c>
      <c r="J84" t="str">
        <v>Botanist</v>
      </c>
      <c r="K84">
        <v>6177</v>
      </c>
      <c r="L84" t="str">
        <v>Married</v>
      </c>
      <c r="M84">
        <v>2</v>
      </c>
    </row>
    <row r="85" spans="4:13" x14ac:dyDescent="0.25">
      <c r="D85" t="str">
        <v>Sawyer</v>
      </c>
      <c r="E85" t="str">
        <v>Harrison</v>
      </c>
      <c r="F85" t="str">
        <v>Sawyer Harrison</v>
      </c>
      <c r="G85" t="str">
        <v>Male</v>
      </c>
      <c r="H85">
        <v>54</v>
      </c>
      <c r="I85" t="str">
        <v>Old</v>
      </c>
      <c r="J85" t="str">
        <v>Chef</v>
      </c>
      <c r="K85">
        <v>6808</v>
      </c>
      <c r="L85" t="str">
        <v>Single</v>
      </c>
      <c r="M85">
        <v>0</v>
      </c>
    </row>
    <row r="86" spans="4:13" x14ac:dyDescent="0.25">
      <c r="D86" t="str">
        <v>Paul</v>
      </c>
      <c r="E86" t="str">
        <v>Ferguson</v>
      </c>
      <c r="F86" t="str">
        <v>Paul Ferguson</v>
      </c>
      <c r="G86" t="str">
        <v>Male</v>
      </c>
      <c r="H86">
        <v>36</v>
      </c>
      <c r="I86" t="str">
        <v>Middle Age</v>
      </c>
      <c r="J86" t="str">
        <v>Medic</v>
      </c>
      <c r="K86">
        <v>2204</v>
      </c>
      <c r="L86" t="str">
        <v>Married</v>
      </c>
      <c r="M86">
        <v>4</v>
      </c>
    </row>
    <row r="87" spans="4:13" x14ac:dyDescent="0.25">
      <c r="D87" t="str">
        <v>Jared</v>
      </c>
      <c r="E87" t="str">
        <v>Wright</v>
      </c>
      <c r="F87" t="str">
        <v>Jared Wright</v>
      </c>
      <c r="G87" t="str">
        <v>Male</v>
      </c>
      <c r="H87">
        <v>38</v>
      </c>
      <c r="I87" t="str">
        <v>Middle Age</v>
      </c>
      <c r="J87" t="str">
        <v>Police Officer</v>
      </c>
      <c r="K87">
        <v>9389</v>
      </c>
      <c r="L87" t="str">
        <v>Married</v>
      </c>
      <c r="M87">
        <v>0</v>
      </c>
    </row>
    <row r="88" spans="4:13" x14ac:dyDescent="0.25">
      <c r="D88" t="str">
        <v>Brad</v>
      </c>
      <c r="E88" t="str">
        <v>Allen</v>
      </c>
      <c r="F88" t="str">
        <v>Brad Allen</v>
      </c>
      <c r="G88" t="str">
        <v>Male</v>
      </c>
      <c r="H88">
        <v>31</v>
      </c>
      <c r="I88" t="str">
        <v>Middle Age</v>
      </c>
      <c r="J88" t="str">
        <v>Programmer</v>
      </c>
      <c r="K88">
        <v>4438</v>
      </c>
      <c r="L88" t="str">
        <v>Married</v>
      </c>
      <c r="M88">
        <v>3</v>
      </c>
    </row>
    <row r="89" spans="4:13" x14ac:dyDescent="0.25">
      <c r="D89" t="str">
        <v>Dexter</v>
      </c>
      <c r="E89" t="str">
        <v>Tucker</v>
      </c>
      <c r="F89" t="str">
        <v>Dexter Tucker</v>
      </c>
      <c r="G89" t="str">
        <v>Male</v>
      </c>
      <c r="H89">
        <v>50</v>
      </c>
      <c r="I89" t="str">
        <v>Middle Age</v>
      </c>
      <c r="J89" t="str">
        <v>Astronomer</v>
      </c>
      <c r="K89">
        <v>6852</v>
      </c>
      <c r="L89" t="str">
        <v>Married</v>
      </c>
      <c r="M89">
        <v>2</v>
      </c>
    </row>
    <row r="90" spans="4:13" x14ac:dyDescent="0.25">
      <c r="D90" t="str">
        <v>Leonardo</v>
      </c>
      <c r="E90" t="str">
        <v>Nelson</v>
      </c>
      <c r="F90" t="str">
        <v>Leonardo Nelson</v>
      </c>
      <c r="G90" t="str">
        <v>Male</v>
      </c>
      <c r="H90">
        <v>38</v>
      </c>
      <c r="I90" t="str">
        <v>Middle Age</v>
      </c>
      <c r="J90" t="str">
        <v>Baker</v>
      </c>
      <c r="K90">
        <v>3499</v>
      </c>
      <c r="L90" t="str">
        <v>Married</v>
      </c>
      <c r="M90">
        <v>3</v>
      </c>
    </row>
    <row r="91" spans="4:13" x14ac:dyDescent="0.25">
      <c r="D91" t="str">
        <v>Elian</v>
      </c>
      <c r="E91" t="str">
        <v>Cole</v>
      </c>
      <c r="F91" t="str">
        <v>Elian Cole</v>
      </c>
      <c r="G91" t="str">
        <v>Male</v>
      </c>
      <c r="H91">
        <v>37</v>
      </c>
      <c r="I91" t="str">
        <v>Middle Age</v>
      </c>
      <c r="J91" t="str">
        <v>Aeroplane Pilot</v>
      </c>
      <c r="K91">
        <v>6212</v>
      </c>
      <c r="L91" t="str">
        <v>Single</v>
      </c>
      <c r="M91">
        <v>3</v>
      </c>
    </row>
    <row r="92" spans="4:13" x14ac:dyDescent="0.25">
      <c r="D92" t="str">
        <v>Lenny</v>
      </c>
      <c r="E92" t="str">
        <v>Montgomery</v>
      </c>
      <c r="F92" t="str">
        <v>Lenny Montgomery</v>
      </c>
      <c r="G92" t="str">
        <v>Male</v>
      </c>
      <c r="H92">
        <v>32</v>
      </c>
      <c r="I92" t="str">
        <v>Middle Age</v>
      </c>
      <c r="J92" t="str">
        <v>Fashion Designer</v>
      </c>
      <c r="K92">
        <v>8019</v>
      </c>
      <c r="L92" t="str">
        <v>Single</v>
      </c>
      <c r="M92">
        <v>4</v>
      </c>
    </row>
    <row r="93" spans="4:13" x14ac:dyDescent="0.25">
      <c r="D93" t="str">
        <v>Roland</v>
      </c>
      <c r="E93" t="str">
        <v>Cunningham</v>
      </c>
      <c r="F93" t="str">
        <v>Roland Cunningham</v>
      </c>
      <c r="G93" t="str">
        <v>Male</v>
      </c>
      <c r="H93">
        <v>55</v>
      </c>
      <c r="I93" t="str">
        <v>Old</v>
      </c>
      <c r="J93" t="str">
        <v>Agronomist</v>
      </c>
      <c r="K93">
        <v>4171</v>
      </c>
      <c r="L93" t="str">
        <v>Married</v>
      </c>
      <c r="M93">
        <v>5</v>
      </c>
    </row>
    <row r="94" spans="4:13" x14ac:dyDescent="0.25">
      <c r="D94" t="str">
        <v>Marcus</v>
      </c>
      <c r="E94" t="str">
        <v>Miller</v>
      </c>
      <c r="F94" t="str">
        <v>Marcus Miller</v>
      </c>
      <c r="G94" t="str">
        <v>Male</v>
      </c>
      <c r="H94">
        <v>43</v>
      </c>
      <c r="I94" t="str">
        <v>Middle Age</v>
      </c>
      <c r="J94" t="str">
        <v>Composer</v>
      </c>
      <c r="K94">
        <v>1711</v>
      </c>
      <c r="L94" t="str">
        <v>Married</v>
      </c>
      <c r="M94">
        <v>5</v>
      </c>
    </row>
    <row r="95" spans="4:13" x14ac:dyDescent="0.25">
      <c r="D95" t="str">
        <v>Jordan</v>
      </c>
      <c r="E95" t="str">
        <v>Myers</v>
      </c>
      <c r="F95" t="str">
        <v>Jordan Myers</v>
      </c>
      <c r="G95" t="str">
        <v>Male</v>
      </c>
      <c r="H95">
        <v>38</v>
      </c>
      <c r="I95" t="str">
        <v>Middle Age</v>
      </c>
      <c r="J95" t="str">
        <v>Journalist</v>
      </c>
      <c r="K95">
        <v>8664</v>
      </c>
      <c r="L95" t="str">
        <v>Married</v>
      </c>
      <c r="M95">
        <v>5</v>
      </c>
    </row>
    <row r="96" spans="4:13" x14ac:dyDescent="0.25">
      <c r="D96" t="str">
        <v>Steven</v>
      </c>
      <c r="E96" t="str">
        <v>Payne</v>
      </c>
      <c r="F96" t="str">
        <v>Steven Payne</v>
      </c>
      <c r="G96" t="str">
        <v>Male</v>
      </c>
      <c r="H96">
        <v>41</v>
      </c>
      <c r="I96" t="str">
        <v>Middle Age</v>
      </c>
      <c r="J96" t="str">
        <v>Archeologist</v>
      </c>
      <c r="K96">
        <v>4136</v>
      </c>
      <c r="L96" t="str">
        <v>Single</v>
      </c>
      <c r="M96">
        <v>1</v>
      </c>
    </row>
    <row r="97" spans="4:13" x14ac:dyDescent="0.25">
      <c r="D97" t="str">
        <v>David</v>
      </c>
      <c r="E97" t="str">
        <v>Gray</v>
      </c>
      <c r="F97" t="str">
        <v>David Gray</v>
      </c>
      <c r="G97" t="str">
        <v>Male</v>
      </c>
      <c r="H97">
        <v>41</v>
      </c>
      <c r="I97" t="str">
        <v>Middle Age</v>
      </c>
      <c r="J97" t="str">
        <v>Astronomer</v>
      </c>
      <c r="K97">
        <v>8209</v>
      </c>
      <c r="L97" t="str">
        <v>Single</v>
      </c>
      <c r="M97">
        <v>2</v>
      </c>
    </row>
    <row r="98" spans="4:13" x14ac:dyDescent="0.25">
      <c r="D98" t="str">
        <v>Jack</v>
      </c>
      <c r="E98" t="str">
        <v>Anderson</v>
      </c>
      <c r="F98" t="str">
        <v>Jack Anderson</v>
      </c>
      <c r="G98" t="str">
        <v>Male</v>
      </c>
      <c r="H98">
        <v>48</v>
      </c>
      <c r="I98" t="str">
        <v>Middle Age</v>
      </c>
      <c r="J98" t="str">
        <v>Chef</v>
      </c>
      <c r="K98">
        <v>8554</v>
      </c>
      <c r="L98" t="str">
        <v>Single</v>
      </c>
      <c r="M98">
        <v>4</v>
      </c>
    </row>
    <row r="99" spans="4:13" x14ac:dyDescent="0.25">
      <c r="D99" t="str">
        <v>Ryan</v>
      </c>
      <c r="E99" t="str">
        <v>Grant</v>
      </c>
      <c r="F99" t="str">
        <v>Ryan Grant</v>
      </c>
      <c r="G99" t="str">
        <v>Male</v>
      </c>
      <c r="H99">
        <v>35</v>
      </c>
      <c r="I99" t="str">
        <v>Middle Age</v>
      </c>
      <c r="J99" t="str">
        <v>Medic</v>
      </c>
      <c r="K99">
        <v>7526</v>
      </c>
      <c r="L99" t="str">
        <v>Married</v>
      </c>
      <c r="M99">
        <v>2</v>
      </c>
    </row>
    <row r="100" spans="4:13" x14ac:dyDescent="0.25">
      <c r="D100" t="str">
        <v>Sam</v>
      </c>
      <c r="E100" t="str">
        <v>Johnston</v>
      </c>
      <c r="F100" t="str">
        <v>Sam Johnston</v>
      </c>
      <c r="G100" t="str">
        <v>Male</v>
      </c>
      <c r="H100">
        <v>40</v>
      </c>
      <c r="I100" t="str">
        <v>Middle Age</v>
      </c>
      <c r="J100" t="str">
        <v>Driver</v>
      </c>
      <c r="K100">
        <v>6717</v>
      </c>
      <c r="L100" t="str">
        <v>Single</v>
      </c>
      <c r="M100">
        <v>4</v>
      </c>
    </row>
    <row r="101" spans="4:13" x14ac:dyDescent="0.25">
      <c r="D101" t="str">
        <v>Alan</v>
      </c>
      <c r="E101" t="str">
        <v>Smith</v>
      </c>
      <c r="F101" t="str">
        <v>Alan Smith</v>
      </c>
      <c r="G101" t="str">
        <v>Male</v>
      </c>
      <c r="H101">
        <v>52</v>
      </c>
      <c r="I101" t="str">
        <v>Old</v>
      </c>
      <c r="J101" t="str">
        <v>Producer</v>
      </c>
      <c r="K101">
        <v>8050</v>
      </c>
      <c r="L101" t="str">
        <v>Single</v>
      </c>
      <c r="M101">
        <v>1</v>
      </c>
    </row>
    <row r="102" spans="4:13" x14ac:dyDescent="0.25">
      <c r="D102" t="str">
        <v>Andrew</v>
      </c>
      <c r="E102" t="str">
        <v>Mason</v>
      </c>
      <c r="F102" t="str">
        <v>Andrew Mason</v>
      </c>
      <c r="G102" t="str">
        <v>Male</v>
      </c>
      <c r="H102">
        <v>47</v>
      </c>
      <c r="I102" t="str">
        <v>Middle Age</v>
      </c>
      <c r="J102" t="str">
        <v>Jeweller</v>
      </c>
      <c r="K102">
        <v>3595</v>
      </c>
      <c r="L102" t="str">
        <v>Single</v>
      </c>
      <c r="M102">
        <v>0</v>
      </c>
    </row>
    <row r="103" spans="4:13" x14ac:dyDescent="0.25">
      <c r="D103" t="str">
        <v>Rafael</v>
      </c>
      <c r="E103" t="str">
        <v>Kelley</v>
      </c>
      <c r="F103" t="str">
        <v>Rafael Kelley</v>
      </c>
      <c r="G103" t="str">
        <v>Male</v>
      </c>
      <c r="H103">
        <v>51</v>
      </c>
      <c r="I103" t="str">
        <v>Old</v>
      </c>
      <c r="J103" t="str">
        <v>Police Officer</v>
      </c>
      <c r="K103">
        <v>4847</v>
      </c>
      <c r="L103" t="str">
        <v>Single</v>
      </c>
      <c r="M103">
        <v>3</v>
      </c>
    </row>
    <row r="104" spans="4:13" x14ac:dyDescent="0.25">
      <c r="D104" t="str">
        <v>Alen</v>
      </c>
      <c r="E104" t="str">
        <v>Harper</v>
      </c>
      <c r="F104" t="str">
        <v>Alen Harper</v>
      </c>
      <c r="G104" t="str">
        <v>Male</v>
      </c>
      <c r="H104">
        <v>40</v>
      </c>
      <c r="I104" t="str">
        <v>Middle Age</v>
      </c>
      <c r="J104" t="str">
        <v>Florist</v>
      </c>
      <c r="K104">
        <v>7382</v>
      </c>
      <c r="L104" t="str">
        <v>Single</v>
      </c>
      <c r="M104">
        <v>3</v>
      </c>
    </row>
    <row r="105" spans="4:13" x14ac:dyDescent="0.25">
      <c r="D105" t="str">
        <v>Jordan</v>
      </c>
      <c r="E105" t="str">
        <v>Chapman</v>
      </c>
      <c r="F105" t="str">
        <v>Jordan Chapman</v>
      </c>
      <c r="G105" t="str">
        <v>Male</v>
      </c>
      <c r="H105">
        <v>50</v>
      </c>
      <c r="I105" t="str">
        <v>Middle Age</v>
      </c>
      <c r="J105" t="str">
        <v>Architect</v>
      </c>
      <c r="K105">
        <v>6316</v>
      </c>
      <c r="L105" t="str">
        <v>Married</v>
      </c>
      <c r="M105">
        <v>5</v>
      </c>
    </row>
    <row r="106" spans="4:13" x14ac:dyDescent="0.25">
      <c r="D106" t="str">
        <v>Ned</v>
      </c>
      <c r="E106" t="str">
        <v>Brown</v>
      </c>
      <c r="F106" t="str">
        <v>Ned Brown</v>
      </c>
      <c r="G106" t="str">
        <v>Male</v>
      </c>
      <c r="H106">
        <v>36</v>
      </c>
      <c r="I106" t="str">
        <v>Middle Age</v>
      </c>
      <c r="J106" t="str">
        <v>Geologist</v>
      </c>
      <c r="K106">
        <v>8194</v>
      </c>
      <c r="L106" t="str">
        <v>Single</v>
      </c>
      <c r="M106">
        <v>1</v>
      </c>
    </row>
    <row r="107" spans="4:13" x14ac:dyDescent="0.25">
      <c r="D107" t="str">
        <v>Kelvin</v>
      </c>
      <c r="E107" t="str">
        <v>Campbell</v>
      </c>
      <c r="F107" t="str">
        <v>Kelvin Campbell</v>
      </c>
      <c r="G107" t="str">
        <v>Male</v>
      </c>
      <c r="H107">
        <v>49</v>
      </c>
      <c r="I107" t="str">
        <v>Middle Age</v>
      </c>
      <c r="J107" t="str">
        <v>Agronomist</v>
      </c>
      <c r="K107">
        <v>7997</v>
      </c>
      <c r="L107" t="str">
        <v>Married</v>
      </c>
      <c r="M107">
        <v>1</v>
      </c>
    </row>
    <row r="108" spans="4:13" x14ac:dyDescent="0.25">
      <c r="D108" t="str">
        <v>Alan</v>
      </c>
      <c r="E108" t="str">
        <v>Payne</v>
      </c>
      <c r="F108" t="str">
        <v>Alan Payne</v>
      </c>
      <c r="G108" t="str">
        <v>Male</v>
      </c>
      <c r="H108">
        <v>49</v>
      </c>
      <c r="I108" t="str">
        <v>Middle Age</v>
      </c>
      <c r="J108" t="str">
        <v>Archeologist</v>
      </c>
      <c r="K108">
        <v>8619</v>
      </c>
      <c r="L108" t="str">
        <v>Married</v>
      </c>
      <c r="M108">
        <v>1</v>
      </c>
    </row>
    <row r="109" spans="4:13" x14ac:dyDescent="0.25">
      <c r="D109" t="str">
        <v>Spike</v>
      </c>
      <c r="E109" t="str">
        <v>Richardson</v>
      </c>
      <c r="F109" t="str">
        <v>Spike Richardson</v>
      </c>
      <c r="G109" t="str">
        <v>Male</v>
      </c>
      <c r="H109">
        <v>57</v>
      </c>
      <c r="I109" t="str">
        <v>Old</v>
      </c>
      <c r="J109" t="str">
        <v>Chef</v>
      </c>
      <c r="K109">
        <v>9573</v>
      </c>
      <c r="L109" t="str">
        <v>Married</v>
      </c>
      <c r="M109">
        <v>1</v>
      </c>
    </row>
    <row r="110" spans="4:13" x14ac:dyDescent="0.25">
      <c r="D110" t="str">
        <v>Andrew</v>
      </c>
      <c r="E110" t="str">
        <v>Sullivan</v>
      </c>
      <c r="F110" t="str">
        <v>Andrew Sullivan</v>
      </c>
      <c r="G110" t="str">
        <v>Male</v>
      </c>
      <c r="H110">
        <v>42</v>
      </c>
      <c r="I110" t="str">
        <v>Middle Age</v>
      </c>
      <c r="J110" t="str">
        <v>Insurer</v>
      </c>
      <c r="K110">
        <v>5687</v>
      </c>
      <c r="L110" t="str">
        <v>Married</v>
      </c>
      <c r="M110">
        <v>0</v>
      </c>
    </row>
    <row r="111" spans="4:13" x14ac:dyDescent="0.25">
      <c r="D111" t="str">
        <v>Maximilian</v>
      </c>
      <c r="E111" t="str">
        <v>Crawford</v>
      </c>
      <c r="F111" t="str">
        <v>Maximilian Crawford</v>
      </c>
      <c r="G111" t="str">
        <v>Male</v>
      </c>
      <c r="H111">
        <v>32</v>
      </c>
      <c r="I111" t="str">
        <v>Middle Age</v>
      </c>
      <c r="J111" t="str">
        <v>Mechanic</v>
      </c>
      <c r="K111">
        <v>8786</v>
      </c>
      <c r="L111" t="str">
        <v>Married</v>
      </c>
      <c r="M111">
        <v>3</v>
      </c>
    </row>
    <row r="112" spans="4:13" x14ac:dyDescent="0.25">
      <c r="D112" t="str">
        <v>Robert</v>
      </c>
      <c r="E112" t="str">
        <v>Campbell</v>
      </c>
      <c r="F112" t="str">
        <v>Robert Campbell</v>
      </c>
      <c r="G112" t="str">
        <v>Male</v>
      </c>
      <c r="H112">
        <v>41</v>
      </c>
      <c r="I112" t="str">
        <v>Middle Age</v>
      </c>
      <c r="J112" t="str">
        <v>Insurer</v>
      </c>
      <c r="K112">
        <v>2654</v>
      </c>
      <c r="L112" t="str">
        <v>Married</v>
      </c>
      <c r="M112">
        <v>2</v>
      </c>
    </row>
    <row r="113" spans="4:13" x14ac:dyDescent="0.25">
      <c r="D113" t="str">
        <v>John</v>
      </c>
      <c r="E113" t="str">
        <v>Gray</v>
      </c>
      <c r="F113" t="str">
        <v>John Gray</v>
      </c>
      <c r="G113" t="str">
        <v>Male</v>
      </c>
      <c r="H113">
        <v>47</v>
      </c>
      <c r="I113" t="str">
        <v>Middle Age</v>
      </c>
      <c r="J113" t="str">
        <v>Lecturer</v>
      </c>
      <c r="K113">
        <v>6344</v>
      </c>
      <c r="L113" t="str">
        <v>Single</v>
      </c>
      <c r="M113">
        <v>2</v>
      </c>
    </row>
    <row r="114" spans="4:13" x14ac:dyDescent="0.25">
      <c r="D114" t="str">
        <v>Jared</v>
      </c>
      <c r="E114" t="str">
        <v>Hunt</v>
      </c>
      <c r="F114" t="str">
        <v>Jared Hunt</v>
      </c>
      <c r="G114" t="str">
        <v>Male</v>
      </c>
      <c r="H114">
        <v>58</v>
      </c>
      <c r="I114" t="str">
        <v>Old</v>
      </c>
      <c r="J114" t="str">
        <v>Geologist</v>
      </c>
      <c r="K114">
        <v>9246</v>
      </c>
      <c r="L114" t="str">
        <v>Married</v>
      </c>
      <c r="M114">
        <v>5</v>
      </c>
    </row>
    <row r="115" spans="4:13" x14ac:dyDescent="0.25">
      <c r="D115" t="str">
        <v>Kelvin</v>
      </c>
      <c r="E115" t="str">
        <v>Warren</v>
      </c>
      <c r="F115" t="str">
        <v>Kelvin Warren</v>
      </c>
      <c r="G115" t="str">
        <v>Male</v>
      </c>
      <c r="H115">
        <v>54</v>
      </c>
      <c r="I115" t="str">
        <v>Old</v>
      </c>
      <c r="J115" t="str">
        <v>Composer</v>
      </c>
      <c r="K115">
        <v>8443</v>
      </c>
      <c r="L115" t="str">
        <v>Married</v>
      </c>
      <c r="M115">
        <v>4</v>
      </c>
    </row>
    <row r="116" spans="4:13" x14ac:dyDescent="0.25">
      <c r="D116" t="str">
        <v>Edward</v>
      </c>
      <c r="E116" t="str">
        <v>Wilson</v>
      </c>
      <c r="F116" t="str">
        <v>Edward Wilson</v>
      </c>
      <c r="G116" t="str">
        <v>Male</v>
      </c>
      <c r="H116">
        <v>46</v>
      </c>
      <c r="I116" t="str">
        <v>Middle Age</v>
      </c>
      <c r="J116" t="str">
        <v>Archeologist</v>
      </c>
      <c r="K116">
        <v>8572</v>
      </c>
      <c r="L116" t="str">
        <v>Single</v>
      </c>
      <c r="M116">
        <v>1</v>
      </c>
    </row>
    <row r="117" spans="4:13" x14ac:dyDescent="0.25">
      <c r="D117" t="str">
        <v>Arnold</v>
      </c>
      <c r="E117" t="str">
        <v>Higgins</v>
      </c>
      <c r="F117" t="str">
        <v>Arnold Higgins</v>
      </c>
      <c r="G117" t="str">
        <v>Male</v>
      </c>
      <c r="H117">
        <v>57</v>
      </c>
      <c r="I117" t="str">
        <v>Old</v>
      </c>
      <c r="J117" t="str">
        <v>Chemist</v>
      </c>
      <c r="K117">
        <v>7500</v>
      </c>
      <c r="L117" t="str">
        <v>Single</v>
      </c>
      <c r="M117">
        <v>4</v>
      </c>
    </row>
    <row r="118" spans="4:13" x14ac:dyDescent="0.25">
      <c r="D118" t="str">
        <v>Ashton</v>
      </c>
      <c r="E118" t="str">
        <v>Parker</v>
      </c>
      <c r="F118" t="str">
        <v>Ashton Parker</v>
      </c>
      <c r="G118" t="str">
        <v>Male</v>
      </c>
      <c r="H118">
        <v>49</v>
      </c>
      <c r="I118" t="str">
        <v>Middle Age</v>
      </c>
      <c r="J118" t="str">
        <v>Manager</v>
      </c>
      <c r="K118">
        <v>2920</v>
      </c>
      <c r="L118" t="str">
        <v>Single</v>
      </c>
      <c r="M118">
        <v>4</v>
      </c>
    </row>
    <row r="119" spans="4:13" x14ac:dyDescent="0.25">
      <c r="D119" t="str">
        <v>Dexter</v>
      </c>
      <c r="E119" t="str">
        <v>Cole</v>
      </c>
      <c r="F119" t="str">
        <v>Dexter Cole</v>
      </c>
      <c r="G119" t="str">
        <v>Male</v>
      </c>
      <c r="H119">
        <v>33</v>
      </c>
      <c r="I119" t="str">
        <v>Middle Age</v>
      </c>
      <c r="J119" t="str">
        <v>Jeweller</v>
      </c>
      <c r="K119">
        <v>2826</v>
      </c>
      <c r="L119" t="str">
        <v>Single</v>
      </c>
      <c r="M119">
        <v>0</v>
      </c>
    </row>
    <row r="120" spans="4:13" x14ac:dyDescent="0.25">
      <c r="D120" t="str">
        <v>Frederick</v>
      </c>
      <c r="E120" t="str">
        <v>Parker</v>
      </c>
      <c r="F120" t="str">
        <v>Frederick Parker</v>
      </c>
      <c r="G120" t="str">
        <v>Male</v>
      </c>
      <c r="H120">
        <v>57</v>
      </c>
      <c r="I120" t="str">
        <v>Old</v>
      </c>
      <c r="J120" t="str">
        <v>Biochemist</v>
      </c>
      <c r="K120">
        <v>9129</v>
      </c>
      <c r="L120" t="str">
        <v>Single</v>
      </c>
      <c r="M120">
        <v>3</v>
      </c>
    </row>
    <row r="121" spans="4:13" x14ac:dyDescent="0.25">
      <c r="D121" t="str">
        <v>Preston</v>
      </c>
      <c r="E121" t="str">
        <v>Williams</v>
      </c>
      <c r="F121" t="str">
        <v>Preston Williams</v>
      </c>
      <c r="G121" t="str">
        <v>Male</v>
      </c>
      <c r="H121">
        <v>55</v>
      </c>
      <c r="I121" t="str">
        <v>Old</v>
      </c>
      <c r="J121" t="str">
        <v>Cook</v>
      </c>
      <c r="K121">
        <v>1464</v>
      </c>
      <c r="L121" t="str">
        <v>Married</v>
      </c>
      <c r="M121">
        <v>0</v>
      </c>
    </row>
    <row r="122" spans="4:13" x14ac:dyDescent="0.25">
      <c r="D122" t="str">
        <v>George</v>
      </c>
      <c r="E122" t="str">
        <v>Nelson</v>
      </c>
      <c r="F122" t="str">
        <v>George Nelson</v>
      </c>
      <c r="G122" t="str">
        <v>Male</v>
      </c>
      <c r="H122">
        <v>51</v>
      </c>
      <c r="I122" t="str">
        <v>Old</v>
      </c>
      <c r="J122" t="str">
        <v>Fashion Designer</v>
      </c>
      <c r="K122">
        <v>1667</v>
      </c>
      <c r="L122" t="str">
        <v>Single</v>
      </c>
      <c r="M122">
        <v>5</v>
      </c>
    </row>
    <row r="123" spans="4:13" x14ac:dyDescent="0.25">
      <c r="D123" t="str">
        <v>Paul</v>
      </c>
      <c r="E123" t="str">
        <v>Harrison</v>
      </c>
      <c r="F123" t="str">
        <v>Paul Harrison</v>
      </c>
      <c r="G123" t="str">
        <v>Male</v>
      </c>
      <c r="H123">
        <v>34</v>
      </c>
      <c r="I123" t="str">
        <v>Middle Age</v>
      </c>
      <c r="J123" t="str">
        <v>Graphic Designer</v>
      </c>
      <c r="K123">
        <v>6988</v>
      </c>
      <c r="L123" t="str">
        <v>Married</v>
      </c>
      <c r="M123">
        <v>4</v>
      </c>
    </row>
    <row r="124" spans="4:13" x14ac:dyDescent="0.25">
      <c r="D124" t="str">
        <v>Ryan</v>
      </c>
      <c r="E124" t="str">
        <v>Parker</v>
      </c>
      <c r="F124" t="str">
        <v>Ryan Parker</v>
      </c>
      <c r="G124" t="str">
        <v>Male</v>
      </c>
      <c r="H124">
        <v>40</v>
      </c>
      <c r="I124" t="str">
        <v>Middle Age</v>
      </c>
      <c r="J124" t="str">
        <v>Fine Artist</v>
      </c>
      <c r="K124">
        <v>2601</v>
      </c>
      <c r="L124" t="str">
        <v>Married</v>
      </c>
      <c r="M124">
        <v>5</v>
      </c>
    </row>
    <row r="125" spans="4:13" x14ac:dyDescent="0.25">
      <c r="D125" t="str">
        <v>Ted</v>
      </c>
      <c r="E125" t="str">
        <v>Watson</v>
      </c>
      <c r="F125" t="str">
        <v>Ted Watson</v>
      </c>
      <c r="G125" t="str">
        <v>Male</v>
      </c>
      <c r="H125">
        <v>36</v>
      </c>
      <c r="I125" t="str">
        <v>Middle Age</v>
      </c>
      <c r="J125" t="str">
        <v>Engineer</v>
      </c>
      <c r="K125">
        <v>2691</v>
      </c>
      <c r="L125" t="str">
        <v>Single</v>
      </c>
      <c r="M125">
        <v>5</v>
      </c>
    </row>
    <row r="126" spans="4:13" x14ac:dyDescent="0.25">
      <c r="D126" t="str">
        <v>Albert</v>
      </c>
      <c r="E126" t="str">
        <v>Robinson</v>
      </c>
      <c r="F126" t="str">
        <v>Albert Robinson</v>
      </c>
      <c r="G126" t="str">
        <v>Male</v>
      </c>
      <c r="H126">
        <v>31</v>
      </c>
      <c r="I126" t="str">
        <v>Middle Age</v>
      </c>
      <c r="J126" t="str">
        <v>Botanist</v>
      </c>
      <c r="K126">
        <v>671</v>
      </c>
      <c r="L126" t="str">
        <v>Single</v>
      </c>
      <c r="M126">
        <v>1</v>
      </c>
    </row>
    <row r="127" spans="4:13" x14ac:dyDescent="0.25">
      <c r="D127" t="str">
        <v>Dale</v>
      </c>
      <c r="E127" t="str">
        <v>Elliott</v>
      </c>
      <c r="F127" t="str">
        <v>Dale Elliott</v>
      </c>
      <c r="G127" t="str">
        <v>Male</v>
      </c>
      <c r="H127">
        <v>44</v>
      </c>
      <c r="I127" t="str">
        <v>Middle Age</v>
      </c>
      <c r="J127" t="str">
        <v>Interior Designer</v>
      </c>
      <c r="K127">
        <v>5309</v>
      </c>
      <c r="L127" t="str">
        <v>Single</v>
      </c>
      <c r="M127">
        <v>5</v>
      </c>
    </row>
    <row r="128" spans="4:13" x14ac:dyDescent="0.25">
      <c r="D128" t="str">
        <v>Edgar</v>
      </c>
      <c r="E128" t="str">
        <v>Barnes</v>
      </c>
      <c r="F128" t="str">
        <v>Edgar Barnes</v>
      </c>
      <c r="G128" t="str">
        <v>Male</v>
      </c>
      <c r="H128">
        <v>54</v>
      </c>
      <c r="I128" t="str">
        <v>Old</v>
      </c>
      <c r="J128" t="str">
        <v>Teacher</v>
      </c>
      <c r="K128">
        <v>8068</v>
      </c>
      <c r="L128" t="str">
        <v>Single</v>
      </c>
      <c r="M128">
        <v>4</v>
      </c>
    </row>
    <row r="129" spans="4:13" x14ac:dyDescent="0.25">
      <c r="D129" t="str">
        <v>Sawyer</v>
      </c>
      <c r="E129" t="str">
        <v>Wright</v>
      </c>
      <c r="F129" t="str">
        <v>Sawyer Wright</v>
      </c>
      <c r="G129" t="str">
        <v>Male</v>
      </c>
      <c r="H129">
        <v>32</v>
      </c>
      <c r="I129" t="str">
        <v>Middle Age</v>
      </c>
      <c r="J129" t="str">
        <v>Singer</v>
      </c>
      <c r="K129">
        <v>6181</v>
      </c>
      <c r="L129" t="str">
        <v>Married</v>
      </c>
      <c r="M129">
        <v>4</v>
      </c>
    </row>
    <row r="130" spans="4:13" x14ac:dyDescent="0.25">
      <c r="D130" t="str">
        <v>Jared</v>
      </c>
      <c r="E130" t="str">
        <v>Perkins</v>
      </c>
      <c r="F130" t="str">
        <v>Jared Perkins</v>
      </c>
      <c r="G130" t="str">
        <v>Male</v>
      </c>
      <c r="H130">
        <v>45</v>
      </c>
      <c r="I130" t="str">
        <v>Middle Age</v>
      </c>
      <c r="J130" t="str">
        <v>Fashion Designer</v>
      </c>
      <c r="K130">
        <v>4075</v>
      </c>
      <c r="L130" t="str">
        <v>Married</v>
      </c>
      <c r="M130">
        <v>1</v>
      </c>
    </row>
    <row r="131" spans="4:13" x14ac:dyDescent="0.25">
      <c r="D131" t="str">
        <v>Aiden</v>
      </c>
      <c r="E131" t="str">
        <v>Armstrong</v>
      </c>
      <c r="F131" t="str">
        <v>Aiden Armstrong</v>
      </c>
      <c r="G131" t="str">
        <v>Male</v>
      </c>
      <c r="H131">
        <v>39</v>
      </c>
      <c r="I131" t="str">
        <v>Middle Age</v>
      </c>
      <c r="J131" t="str">
        <v>Engineer</v>
      </c>
      <c r="K131">
        <v>9370</v>
      </c>
      <c r="L131" t="str">
        <v>Single</v>
      </c>
      <c r="M131">
        <v>3</v>
      </c>
    </row>
    <row r="132" spans="4:13" x14ac:dyDescent="0.25">
      <c r="D132" t="str">
        <v>Vincent</v>
      </c>
      <c r="E132" t="str">
        <v>Armstrong</v>
      </c>
      <c r="F132" t="str">
        <v>Vincent Armstrong</v>
      </c>
      <c r="G132" t="str">
        <v>Male</v>
      </c>
      <c r="H132">
        <v>33</v>
      </c>
      <c r="I132" t="str">
        <v>Middle Age</v>
      </c>
      <c r="J132" t="str">
        <v>Engineer</v>
      </c>
      <c r="K132">
        <v>6306</v>
      </c>
      <c r="L132" t="str">
        <v>Married</v>
      </c>
      <c r="M132">
        <v>0</v>
      </c>
    </row>
    <row r="133" spans="4:13" x14ac:dyDescent="0.25">
      <c r="D133" t="str">
        <v>Kelvin</v>
      </c>
      <c r="E133" t="str">
        <v>Edwards</v>
      </c>
      <c r="F133" t="str">
        <v>Kelvin Edwards</v>
      </c>
      <c r="G133" t="str">
        <v>Male</v>
      </c>
      <c r="H133">
        <v>36</v>
      </c>
      <c r="I133" t="str">
        <v>Middle Age</v>
      </c>
      <c r="J133" t="str">
        <v>Astronomer</v>
      </c>
      <c r="K133">
        <v>2810</v>
      </c>
      <c r="L133" t="str">
        <v>Married</v>
      </c>
      <c r="M133">
        <v>3</v>
      </c>
    </row>
    <row r="134" spans="4:13" x14ac:dyDescent="0.25">
      <c r="D134" t="str">
        <v>Julian</v>
      </c>
      <c r="E134" t="str">
        <v>Watson</v>
      </c>
      <c r="F134" t="str">
        <v>Julian Watson</v>
      </c>
      <c r="G134" t="str">
        <v>Male</v>
      </c>
      <c r="H134">
        <v>45</v>
      </c>
      <c r="I134" t="str">
        <v>Middle Age</v>
      </c>
      <c r="J134" t="str">
        <v>Florist</v>
      </c>
      <c r="K134">
        <v>3195</v>
      </c>
      <c r="L134" t="str">
        <v>Married</v>
      </c>
      <c r="M134">
        <v>5</v>
      </c>
    </row>
    <row r="135" spans="4:13" x14ac:dyDescent="0.25">
      <c r="D135" t="str">
        <v>Chester</v>
      </c>
      <c r="E135" t="str">
        <v>Sullivan</v>
      </c>
      <c r="F135" t="str">
        <v>Chester Sullivan</v>
      </c>
      <c r="G135" t="str">
        <v>Male</v>
      </c>
      <c r="H135">
        <v>44</v>
      </c>
      <c r="I135" t="str">
        <v>Middle Age</v>
      </c>
      <c r="J135" t="str">
        <v>Architect</v>
      </c>
      <c r="K135">
        <v>6793</v>
      </c>
      <c r="L135" t="str">
        <v>Single</v>
      </c>
      <c r="M135">
        <v>3</v>
      </c>
    </row>
    <row r="136" spans="4:13" x14ac:dyDescent="0.25">
      <c r="D136" t="str">
        <v>Ashton</v>
      </c>
      <c r="E136" t="str">
        <v>Miller</v>
      </c>
      <c r="F136" t="str">
        <v>Ashton Miller</v>
      </c>
      <c r="G136" t="str">
        <v>Male</v>
      </c>
      <c r="H136">
        <v>54</v>
      </c>
      <c r="I136" t="str">
        <v>Old</v>
      </c>
      <c r="J136" t="str">
        <v>Journalist</v>
      </c>
      <c r="K136">
        <v>4723</v>
      </c>
      <c r="L136" t="str">
        <v>Married</v>
      </c>
      <c r="M136">
        <v>1</v>
      </c>
    </row>
    <row r="137" spans="4:13" x14ac:dyDescent="0.25">
      <c r="D137" t="str">
        <v>Lucas</v>
      </c>
      <c r="E137" t="str">
        <v>Chapman</v>
      </c>
      <c r="F137" t="str">
        <v>Lucas Chapman</v>
      </c>
      <c r="G137" t="str">
        <v>Male</v>
      </c>
      <c r="H137">
        <v>60</v>
      </c>
      <c r="I137" t="str">
        <v>Old</v>
      </c>
      <c r="J137" t="str">
        <v>Scientist</v>
      </c>
      <c r="K137">
        <v>1198</v>
      </c>
      <c r="L137" t="str">
        <v>Single</v>
      </c>
      <c r="M137">
        <v>2</v>
      </c>
    </row>
    <row r="138" spans="4:13" x14ac:dyDescent="0.25">
      <c r="D138" t="str">
        <v>Carlos</v>
      </c>
      <c r="E138" t="str">
        <v>Watson</v>
      </c>
      <c r="F138" t="str">
        <v>Carlos Watson</v>
      </c>
      <c r="G138" t="str">
        <v>Male</v>
      </c>
      <c r="H138">
        <v>51</v>
      </c>
      <c r="I138" t="str">
        <v>Old</v>
      </c>
      <c r="J138" t="str">
        <v>Insurer</v>
      </c>
      <c r="K138">
        <v>2127</v>
      </c>
      <c r="L138" t="str">
        <v>Single</v>
      </c>
      <c r="M138">
        <v>2</v>
      </c>
    </row>
    <row r="139" spans="4:13" x14ac:dyDescent="0.25">
      <c r="D139" t="str">
        <v>Vincent</v>
      </c>
      <c r="E139" t="str">
        <v>Foster</v>
      </c>
      <c r="F139" t="str">
        <v>Vincent Foster</v>
      </c>
      <c r="G139" t="str">
        <v>Male</v>
      </c>
      <c r="H139">
        <v>31</v>
      </c>
      <c r="I139" t="str">
        <v>Middle Age</v>
      </c>
      <c r="J139" t="str">
        <v>Agronomist</v>
      </c>
      <c r="K139">
        <v>1175</v>
      </c>
      <c r="L139" t="str">
        <v>Single</v>
      </c>
      <c r="M139">
        <v>3</v>
      </c>
    </row>
    <row r="140" spans="4:13" x14ac:dyDescent="0.25">
      <c r="D140" t="str">
        <v>Thomas</v>
      </c>
      <c r="E140" t="str">
        <v>Harris</v>
      </c>
      <c r="F140" t="str">
        <v>Thomas Harris</v>
      </c>
      <c r="G140" t="str">
        <v>Male</v>
      </c>
      <c r="H140">
        <v>36</v>
      </c>
      <c r="I140" t="str">
        <v>Middle Age</v>
      </c>
      <c r="J140" t="str">
        <v>Chef</v>
      </c>
      <c r="K140">
        <v>6811</v>
      </c>
      <c r="L140" t="str">
        <v>Married</v>
      </c>
      <c r="M140">
        <v>1</v>
      </c>
    </row>
    <row r="141" spans="4:13" x14ac:dyDescent="0.25">
      <c r="D141" t="str">
        <v>Edwin</v>
      </c>
      <c r="E141" t="str">
        <v>Douglas</v>
      </c>
      <c r="F141" t="str">
        <v>Edwin Douglas</v>
      </c>
      <c r="G141" t="str">
        <v>Male</v>
      </c>
      <c r="H141">
        <v>46</v>
      </c>
      <c r="I141" t="str">
        <v>Middle Age</v>
      </c>
      <c r="J141" t="str">
        <v>Medic</v>
      </c>
      <c r="K141">
        <v>1881</v>
      </c>
      <c r="L141" t="str">
        <v>Married</v>
      </c>
      <c r="M141">
        <v>5</v>
      </c>
    </row>
    <row r="142" spans="4:13" x14ac:dyDescent="0.25">
      <c r="D142" t="str">
        <v>Kristian</v>
      </c>
      <c r="E142" t="str">
        <v>Riley</v>
      </c>
      <c r="F142" t="str">
        <v>Kristian Riley</v>
      </c>
      <c r="G142" t="str">
        <v>Male</v>
      </c>
      <c r="H142">
        <v>40</v>
      </c>
      <c r="I142" t="str">
        <v>Middle Age</v>
      </c>
      <c r="J142" t="str">
        <v>Economist</v>
      </c>
      <c r="K142">
        <v>4086</v>
      </c>
      <c r="L142" t="str">
        <v>Married</v>
      </c>
      <c r="M142">
        <v>3</v>
      </c>
    </row>
    <row r="143" spans="4:13" x14ac:dyDescent="0.25">
      <c r="D143" t="str">
        <v>Preston</v>
      </c>
      <c r="E143" t="str">
        <v>Moore</v>
      </c>
      <c r="F143" t="str">
        <v>Preston Moore</v>
      </c>
      <c r="G143" t="str">
        <v>Male</v>
      </c>
      <c r="H143">
        <v>57</v>
      </c>
      <c r="I143" t="str">
        <v>Old</v>
      </c>
      <c r="J143" t="str">
        <v>Archeologist</v>
      </c>
      <c r="K143">
        <v>9332</v>
      </c>
      <c r="L143" t="str">
        <v>Married</v>
      </c>
      <c r="M143">
        <v>1</v>
      </c>
    </row>
    <row r="144" spans="4:13" x14ac:dyDescent="0.25">
      <c r="D144" t="str">
        <v>Marcus</v>
      </c>
      <c r="E144" t="str">
        <v>Roberts</v>
      </c>
      <c r="F144" t="str">
        <v>Marcus Roberts</v>
      </c>
      <c r="G144" t="str">
        <v>Male</v>
      </c>
      <c r="H144">
        <v>42</v>
      </c>
      <c r="I144" t="str">
        <v>Middle Age</v>
      </c>
      <c r="J144" t="str">
        <v>Composer</v>
      </c>
      <c r="K144">
        <v>8015</v>
      </c>
      <c r="L144" t="str">
        <v>Single</v>
      </c>
      <c r="M144">
        <v>5</v>
      </c>
    </row>
    <row r="145" spans="4:13" x14ac:dyDescent="0.25">
      <c r="D145" t="str">
        <v>Roland</v>
      </c>
      <c r="E145" t="str">
        <v>Watson</v>
      </c>
      <c r="F145" t="str">
        <v>Roland Watson</v>
      </c>
      <c r="G145" t="str">
        <v>Male</v>
      </c>
      <c r="H145">
        <v>42</v>
      </c>
      <c r="I145" t="str">
        <v>Middle Age</v>
      </c>
      <c r="J145" t="str">
        <v>Insurer</v>
      </c>
      <c r="K145">
        <v>9377</v>
      </c>
      <c r="L145" t="str">
        <v>Single</v>
      </c>
      <c r="M145">
        <v>3</v>
      </c>
    </row>
    <row r="146" spans="4:13" x14ac:dyDescent="0.25">
      <c r="D146" t="str">
        <v>Lucas</v>
      </c>
      <c r="E146" t="str">
        <v>Kelly</v>
      </c>
      <c r="F146" t="str">
        <v>Lucas Kelly</v>
      </c>
      <c r="G146" t="str">
        <v>Male</v>
      </c>
      <c r="H146">
        <v>48</v>
      </c>
      <c r="I146" t="str">
        <v>Middle Age</v>
      </c>
      <c r="J146" t="str">
        <v>Graphic Designer</v>
      </c>
      <c r="K146">
        <v>5213</v>
      </c>
      <c r="L146" t="str">
        <v>Single</v>
      </c>
      <c r="M146">
        <v>3</v>
      </c>
    </row>
    <row r="147" spans="4:13" x14ac:dyDescent="0.25">
      <c r="D147" t="str">
        <v>Sam</v>
      </c>
      <c r="E147" t="str">
        <v>Brooks</v>
      </c>
      <c r="F147" t="str">
        <v>Sam Brooks</v>
      </c>
      <c r="G147" t="str">
        <v>Male</v>
      </c>
      <c r="H147">
        <v>35</v>
      </c>
      <c r="I147" t="str">
        <v>Middle Age</v>
      </c>
      <c r="J147" t="str">
        <v>Astronomer</v>
      </c>
      <c r="K147">
        <v>3641</v>
      </c>
      <c r="L147" t="str">
        <v>Single</v>
      </c>
      <c r="M147">
        <v>2</v>
      </c>
    </row>
    <row r="148" spans="4:13" x14ac:dyDescent="0.25">
      <c r="D148" t="str">
        <v>David</v>
      </c>
      <c r="E148" t="str">
        <v>Barrett</v>
      </c>
      <c r="F148" t="str">
        <v>David Barrett</v>
      </c>
      <c r="G148" t="str">
        <v>Male</v>
      </c>
      <c r="H148">
        <v>42</v>
      </c>
      <c r="I148" t="str">
        <v>Middle Age</v>
      </c>
      <c r="J148" t="str">
        <v>Lecturer</v>
      </c>
      <c r="K148">
        <v>7295</v>
      </c>
      <c r="L148" t="str">
        <v>Married</v>
      </c>
      <c r="M148">
        <v>5</v>
      </c>
    </row>
    <row r="149" spans="4:13" x14ac:dyDescent="0.25">
      <c r="D149" t="str">
        <v>Steven</v>
      </c>
      <c r="E149" t="str">
        <v>Kelly</v>
      </c>
      <c r="F149" t="str">
        <v>Steven Kelly</v>
      </c>
      <c r="G149" t="str">
        <v>Male</v>
      </c>
      <c r="H149">
        <v>40</v>
      </c>
      <c r="I149" t="str">
        <v>Middle Age</v>
      </c>
      <c r="J149" t="str">
        <v>Police Officer</v>
      </c>
      <c r="K149">
        <v>6173</v>
      </c>
      <c r="L149" t="str">
        <v>Single</v>
      </c>
      <c r="M149">
        <v>2</v>
      </c>
    </row>
    <row r="150" spans="4:13" x14ac:dyDescent="0.25">
      <c r="D150" t="str">
        <v>Walter</v>
      </c>
      <c r="E150" t="str">
        <v>Warren</v>
      </c>
      <c r="F150" t="str">
        <v>Walter Warren</v>
      </c>
      <c r="G150" t="str">
        <v>Male</v>
      </c>
      <c r="H150">
        <v>32</v>
      </c>
      <c r="I150" t="str">
        <v>Middle Age</v>
      </c>
      <c r="J150" t="str">
        <v>Physicist</v>
      </c>
      <c r="K150">
        <v>3726</v>
      </c>
      <c r="L150" t="str">
        <v>Single</v>
      </c>
      <c r="M150">
        <v>5</v>
      </c>
    </row>
    <row r="151" spans="4:13" x14ac:dyDescent="0.25">
      <c r="D151" t="str">
        <v>Justin</v>
      </c>
      <c r="E151" t="str">
        <v>Dixon</v>
      </c>
      <c r="F151" t="str">
        <v>Justin Dixon</v>
      </c>
      <c r="G151" t="str">
        <v>Male</v>
      </c>
      <c r="H151">
        <v>33</v>
      </c>
      <c r="I151" t="str">
        <v>Middle Age</v>
      </c>
      <c r="J151" t="str">
        <v>Biochemist</v>
      </c>
      <c r="K151">
        <v>6838</v>
      </c>
      <c r="L151" t="str">
        <v>Married</v>
      </c>
      <c r="M151">
        <v>1</v>
      </c>
    </row>
    <row r="152" spans="4:13" x14ac:dyDescent="0.25">
      <c r="D152" t="str">
        <v>Mike</v>
      </c>
      <c r="E152" t="str">
        <v>Henderson</v>
      </c>
      <c r="F152" t="str">
        <v>Mike Henderson</v>
      </c>
      <c r="G152" t="str">
        <v>Male</v>
      </c>
      <c r="H152">
        <v>50</v>
      </c>
      <c r="I152" t="str">
        <v>Middle Age</v>
      </c>
      <c r="J152" t="str">
        <v>Police Officer</v>
      </c>
      <c r="K152">
        <v>9570</v>
      </c>
      <c r="L152" t="str">
        <v>Married</v>
      </c>
      <c r="M152">
        <v>5</v>
      </c>
    </row>
    <row r="153" spans="4:13" x14ac:dyDescent="0.25">
      <c r="D153" t="str">
        <v>Alford</v>
      </c>
      <c r="E153" t="str">
        <v>Elliott</v>
      </c>
      <c r="F153" t="str">
        <v>Alford Elliott</v>
      </c>
      <c r="G153" t="str">
        <v>Male</v>
      </c>
      <c r="H153">
        <v>49</v>
      </c>
      <c r="I153" t="str">
        <v>Middle Age</v>
      </c>
      <c r="J153" t="str">
        <v>Salesman</v>
      </c>
      <c r="K153">
        <v>4748</v>
      </c>
      <c r="L153" t="str">
        <v>Married</v>
      </c>
      <c r="M153">
        <v>0</v>
      </c>
    </row>
    <row r="154" spans="4:13" x14ac:dyDescent="0.25">
      <c r="D154" t="str">
        <v>Arthur</v>
      </c>
      <c r="E154" t="str">
        <v>Watson</v>
      </c>
      <c r="F154" t="str">
        <v>Arthur Watson</v>
      </c>
      <c r="G154" t="str">
        <v>Male</v>
      </c>
      <c r="H154">
        <v>52</v>
      </c>
      <c r="I154" t="str">
        <v>Old</v>
      </c>
      <c r="J154" t="str">
        <v>Programmer</v>
      </c>
      <c r="K154">
        <v>1476</v>
      </c>
      <c r="L154" t="str">
        <v>Single</v>
      </c>
      <c r="M154">
        <v>1</v>
      </c>
    </row>
    <row r="155" spans="4:13" x14ac:dyDescent="0.25">
      <c r="D155" t="str">
        <v>Carlos</v>
      </c>
      <c r="E155" t="str">
        <v>Hunt</v>
      </c>
      <c r="F155" t="str">
        <v>Carlos Hunt</v>
      </c>
      <c r="G155" t="str">
        <v>Male</v>
      </c>
      <c r="H155">
        <v>42</v>
      </c>
      <c r="I155" t="str">
        <v>Middle Age</v>
      </c>
      <c r="J155" t="str">
        <v>Agronomist</v>
      </c>
      <c r="K155">
        <v>2229</v>
      </c>
      <c r="L155" t="str">
        <v>Single</v>
      </c>
      <c r="M155">
        <v>3</v>
      </c>
    </row>
    <row r="156" spans="4:13" x14ac:dyDescent="0.25">
      <c r="D156" t="str">
        <v>Julian</v>
      </c>
      <c r="E156" t="str">
        <v>Scott</v>
      </c>
      <c r="F156" t="str">
        <v>Julian Scott</v>
      </c>
      <c r="G156" t="str">
        <v>Male</v>
      </c>
      <c r="H156">
        <v>40</v>
      </c>
      <c r="I156" t="str">
        <v>Middle Age</v>
      </c>
      <c r="J156" t="str">
        <v>Scientist</v>
      </c>
      <c r="K156">
        <v>3353</v>
      </c>
      <c r="L156" t="str">
        <v>Married</v>
      </c>
      <c r="M156">
        <v>5</v>
      </c>
    </row>
    <row r="157" spans="4:13" x14ac:dyDescent="0.25">
      <c r="D157" t="str">
        <v>Adison</v>
      </c>
      <c r="E157" t="str">
        <v>Bailey</v>
      </c>
      <c r="F157" t="str">
        <v>Adison Bailey</v>
      </c>
      <c r="G157" t="str">
        <v>Male</v>
      </c>
      <c r="H157">
        <v>44</v>
      </c>
      <c r="I157" t="str">
        <v>Middle Age</v>
      </c>
      <c r="J157" t="str">
        <v>Mechanic</v>
      </c>
      <c r="K157">
        <v>9417</v>
      </c>
      <c r="L157" t="str">
        <v>Married</v>
      </c>
      <c r="M157">
        <v>1</v>
      </c>
    </row>
    <row r="158" spans="4:13" x14ac:dyDescent="0.25">
      <c r="D158" t="str">
        <v>Arthur</v>
      </c>
      <c r="E158" t="str">
        <v>Myers</v>
      </c>
      <c r="F158" t="str">
        <v>Arthur Myers</v>
      </c>
      <c r="G158" t="str">
        <v>Male</v>
      </c>
      <c r="H158">
        <v>54</v>
      </c>
      <c r="I158" t="str">
        <v>Old</v>
      </c>
      <c r="J158" t="str">
        <v>Meteorologist</v>
      </c>
      <c r="K158">
        <v>5880</v>
      </c>
      <c r="L158" t="str">
        <v>Single</v>
      </c>
      <c r="M158">
        <v>5</v>
      </c>
    </row>
    <row r="159" spans="4:13" x14ac:dyDescent="0.25">
      <c r="D159" t="str">
        <v>Tyler</v>
      </c>
      <c r="E159" t="str">
        <v>Andrews</v>
      </c>
      <c r="F159" t="str">
        <v>Tyler Andrews</v>
      </c>
      <c r="G159" t="str">
        <v>Male</v>
      </c>
      <c r="H159">
        <v>33</v>
      </c>
      <c r="I159" t="str">
        <v>Middle Age</v>
      </c>
      <c r="J159" t="str">
        <v>Engineer</v>
      </c>
      <c r="K159">
        <v>5199</v>
      </c>
      <c r="L159" t="str">
        <v>Single</v>
      </c>
      <c r="M159">
        <v>2</v>
      </c>
    </row>
    <row r="160" spans="4:13" x14ac:dyDescent="0.25">
      <c r="D160" t="str">
        <v>Arthur</v>
      </c>
      <c r="E160" t="str">
        <v>Kelley</v>
      </c>
      <c r="F160" t="str">
        <v>Arthur Kelley</v>
      </c>
      <c r="G160" t="str">
        <v>Male</v>
      </c>
      <c r="H160">
        <v>49</v>
      </c>
      <c r="I160" t="str">
        <v>Middle Age</v>
      </c>
      <c r="J160" t="str">
        <v>Agronomist</v>
      </c>
      <c r="K160">
        <v>1056</v>
      </c>
      <c r="L160" t="str">
        <v>Single</v>
      </c>
      <c r="M160">
        <v>2</v>
      </c>
    </row>
    <row r="161" spans="4:13" x14ac:dyDescent="0.25">
      <c r="D161" t="str">
        <v>Michael</v>
      </c>
      <c r="E161" t="str">
        <v>Alexander</v>
      </c>
      <c r="F161" t="str">
        <v>Michael Alexander</v>
      </c>
      <c r="G161" t="str">
        <v>Male</v>
      </c>
      <c r="H161">
        <v>50</v>
      </c>
      <c r="I161" t="str">
        <v>Middle Age</v>
      </c>
      <c r="J161" t="str">
        <v>Pharmacist</v>
      </c>
      <c r="K161">
        <v>7188</v>
      </c>
      <c r="L161" t="str">
        <v>Single</v>
      </c>
      <c r="M161">
        <v>4</v>
      </c>
    </row>
    <row r="162" spans="4:13" x14ac:dyDescent="0.25">
      <c r="D162" t="str">
        <v>James</v>
      </c>
      <c r="E162" t="str">
        <v>Williams</v>
      </c>
      <c r="F162" t="str">
        <v>James Williams</v>
      </c>
      <c r="G162" t="str">
        <v>Male</v>
      </c>
      <c r="H162">
        <v>46</v>
      </c>
      <c r="I162" t="str">
        <v>Middle Age</v>
      </c>
      <c r="J162" t="str">
        <v>Mathematician</v>
      </c>
      <c r="K162">
        <v>616</v>
      </c>
      <c r="L162" t="str">
        <v>Married</v>
      </c>
      <c r="M162">
        <v>0</v>
      </c>
    </row>
    <row r="163" spans="4:13" x14ac:dyDescent="0.25">
      <c r="D163" t="str">
        <v>Chester</v>
      </c>
      <c r="E163" t="str">
        <v>Casey</v>
      </c>
      <c r="F163" t="str">
        <v>Chester Casey</v>
      </c>
      <c r="G163" t="str">
        <v>Male</v>
      </c>
      <c r="H163">
        <v>44</v>
      </c>
      <c r="I163" t="str">
        <v>Middle Age</v>
      </c>
      <c r="J163" t="str">
        <v>Chemist</v>
      </c>
      <c r="K163">
        <v>4771</v>
      </c>
      <c r="L163" t="str">
        <v>Married</v>
      </c>
      <c r="M163">
        <v>2</v>
      </c>
    </row>
    <row r="164" spans="4:13" x14ac:dyDescent="0.25">
      <c r="D164" t="str">
        <v>Robert</v>
      </c>
      <c r="E164" t="str">
        <v>Adams</v>
      </c>
      <c r="F164" t="str">
        <v>Robert Adams</v>
      </c>
      <c r="G164" t="str">
        <v>Male</v>
      </c>
      <c r="H164">
        <v>39</v>
      </c>
      <c r="I164" t="str">
        <v>Middle Age</v>
      </c>
      <c r="J164" t="str">
        <v>Lecturer</v>
      </c>
      <c r="K164">
        <v>1015</v>
      </c>
      <c r="L164" t="str">
        <v>Married</v>
      </c>
      <c r="M164">
        <v>3</v>
      </c>
    </row>
    <row r="165" spans="4:13" x14ac:dyDescent="0.25">
      <c r="D165" t="str">
        <v>Adrian</v>
      </c>
      <c r="E165" t="str">
        <v>Farrell</v>
      </c>
      <c r="F165" t="str">
        <v>Adrian Farrell</v>
      </c>
      <c r="G165" t="str">
        <v>Male</v>
      </c>
      <c r="H165">
        <v>39</v>
      </c>
      <c r="I165" t="str">
        <v>Middle Age</v>
      </c>
      <c r="J165" t="str">
        <v>Carpenter</v>
      </c>
      <c r="K165">
        <v>4177</v>
      </c>
      <c r="L165" t="str">
        <v>Single</v>
      </c>
      <c r="M165">
        <v>2</v>
      </c>
    </row>
    <row r="166" spans="4:13" x14ac:dyDescent="0.25">
      <c r="D166" t="str">
        <v>George</v>
      </c>
      <c r="E166" t="str">
        <v>Adams</v>
      </c>
      <c r="F166" t="str">
        <v>George Adams</v>
      </c>
      <c r="G166" t="str">
        <v>Male</v>
      </c>
      <c r="H166">
        <v>44</v>
      </c>
      <c r="I166" t="str">
        <v>Middle Age</v>
      </c>
      <c r="J166" t="str">
        <v>Interpreter</v>
      </c>
      <c r="K166">
        <v>3563</v>
      </c>
      <c r="L166" t="str">
        <v>Single</v>
      </c>
      <c r="M166">
        <v>5</v>
      </c>
    </row>
    <row r="167" spans="4:13" x14ac:dyDescent="0.25">
      <c r="D167" t="str">
        <v>Albert</v>
      </c>
      <c r="E167" t="str">
        <v>Cameron</v>
      </c>
      <c r="F167" t="str">
        <v>Albert Cameron</v>
      </c>
      <c r="G167" t="str">
        <v>Male</v>
      </c>
      <c r="H167">
        <v>55</v>
      </c>
      <c r="I167" t="str">
        <v>Old</v>
      </c>
      <c r="J167" t="str">
        <v>Carpenter</v>
      </c>
      <c r="K167">
        <v>1728</v>
      </c>
      <c r="L167" t="str">
        <v>Married</v>
      </c>
      <c r="M167">
        <v>4</v>
      </c>
    </row>
    <row r="168" spans="4:13" x14ac:dyDescent="0.25">
      <c r="D168" t="str">
        <v>Thomas</v>
      </c>
      <c r="E168" t="str">
        <v>Hill</v>
      </c>
      <c r="F168" t="str">
        <v>Thomas Hill</v>
      </c>
      <c r="G168" t="str">
        <v>Male</v>
      </c>
      <c r="H168">
        <v>53</v>
      </c>
      <c r="I168" t="str">
        <v>Old</v>
      </c>
      <c r="J168" t="str">
        <v>Singer</v>
      </c>
      <c r="K168">
        <v>4255</v>
      </c>
      <c r="L168" t="str">
        <v>Married</v>
      </c>
      <c r="M168">
        <v>1</v>
      </c>
    </row>
    <row r="169" spans="4:13" x14ac:dyDescent="0.25">
      <c r="D169" t="str">
        <v>Thomas</v>
      </c>
      <c r="E169" t="str">
        <v>Harper</v>
      </c>
      <c r="F169" t="str">
        <v>Thomas Harper</v>
      </c>
      <c r="G169" t="str">
        <v>Male</v>
      </c>
      <c r="H169">
        <v>44</v>
      </c>
      <c r="I169" t="str">
        <v>Middle Age</v>
      </c>
      <c r="J169" t="str">
        <v>Historian</v>
      </c>
      <c r="K169">
        <v>4210</v>
      </c>
      <c r="L169" t="str">
        <v>Married</v>
      </c>
      <c r="M169">
        <v>2</v>
      </c>
    </row>
    <row r="170" spans="4:13" x14ac:dyDescent="0.25">
      <c r="D170" t="str">
        <v>Alan</v>
      </c>
      <c r="E170" t="str">
        <v>Watson</v>
      </c>
      <c r="F170" t="str">
        <v>Alan Watson</v>
      </c>
      <c r="G170" t="str">
        <v>Male</v>
      </c>
      <c r="H170">
        <v>46</v>
      </c>
      <c r="I170" t="str">
        <v>Middle Age</v>
      </c>
      <c r="J170" t="str">
        <v>Mathematician</v>
      </c>
      <c r="K170">
        <v>4792</v>
      </c>
      <c r="L170" t="str">
        <v>Single</v>
      </c>
      <c r="M170">
        <v>1</v>
      </c>
    </row>
    <row r="171" spans="4:13" x14ac:dyDescent="0.25">
      <c r="D171" t="str">
        <v>Alan</v>
      </c>
      <c r="E171" t="str">
        <v>Payne</v>
      </c>
      <c r="F171" t="str">
        <v>Alan Payne</v>
      </c>
      <c r="G171" t="str">
        <v>Male</v>
      </c>
      <c r="H171">
        <v>44</v>
      </c>
      <c r="I171" t="str">
        <v>Middle Age</v>
      </c>
      <c r="J171" t="str">
        <v>Insurer</v>
      </c>
      <c r="K171">
        <v>2732</v>
      </c>
      <c r="L171" t="str">
        <v>Married</v>
      </c>
      <c r="M171">
        <v>3</v>
      </c>
    </row>
    <row r="172" spans="4:13" x14ac:dyDescent="0.25">
      <c r="D172" t="str">
        <v>Albert</v>
      </c>
      <c r="E172" t="str">
        <v>Myers</v>
      </c>
      <c r="F172" t="str">
        <v>Albert Myers</v>
      </c>
      <c r="G172" t="str">
        <v>Male</v>
      </c>
      <c r="H172">
        <v>32</v>
      </c>
      <c r="I172" t="str">
        <v>Middle Age</v>
      </c>
      <c r="J172" t="str">
        <v>Accountant</v>
      </c>
      <c r="K172">
        <v>2842</v>
      </c>
      <c r="L172" t="str">
        <v>Single</v>
      </c>
      <c r="M172">
        <v>3</v>
      </c>
    </row>
    <row r="173" spans="4:13" x14ac:dyDescent="0.25">
      <c r="D173" t="str">
        <v>Maximilian</v>
      </c>
      <c r="E173" t="str">
        <v>Perry</v>
      </c>
      <c r="F173" t="str">
        <v>Maximilian Perry</v>
      </c>
      <c r="G173" t="str">
        <v>Male</v>
      </c>
      <c r="H173">
        <v>51</v>
      </c>
      <c r="I173" t="str">
        <v>Old</v>
      </c>
      <c r="J173" t="str">
        <v>Baker</v>
      </c>
      <c r="K173">
        <v>9745</v>
      </c>
      <c r="L173" t="str">
        <v>Married</v>
      </c>
      <c r="M173">
        <v>2</v>
      </c>
    </row>
    <row r="174" spans="4:13" x14ac:dyDescent="0.25">
      <c r="D174" t="str">
        <v>James</v>
      </c>
      <c r="E174" t="str">
        <v>Harrison</v>
      </c>
      <c r="F174" t="str">
        <v>James Harrison</v>
      </c>
      <c r="G174" t="str">
        <v>Male</v>
      </c>
      <c r="H174">
        <v>54</v>
      </c>
      <c r="I174" t="str">
        <v>Old</v>
      </c>
      <c r="J174" t="str">
        <v>Scientist</v>
      </c>
      <c r="K174">
        <v>5610</v>
      </c>
      <c r="L174" t="str">
        <v>Single</v>
      </c>
      <c r="M174">
        <v>5</v>
      </c>
    </row>
    <row r="175" spans="4:13" x14ac:dyDescent="0.25">
      <c r="D175" t="str">
        <v>Alen</v>
      </c>
      <c r="E175" t="str">
        <v>Hill</v>
      </c>
      <c r="F175" t="str">
        <v>Alen Hill</v>
      </c>
      <c r="G175" t="str">
        <v>Male</v>
      </c>
      <c r="H175">
        <v>55</v>
      </c>
      <c r="I175" t="str">
        <v>Old</v>
      </c>
      <c r="J175" t="str">
        <v>Auditor</v>
      </c>
      <c r="K175">
        <v>3761</v>
      </c>
      <c r="L175" t="str">
        <v>Married</v>
      </c>
      <c r="M175">
        <v>1</v>
      </c>
    </row>
    <row r="176" spans="4:13" x14ac:dyDescent="0.25">
      <c r="D176" t="str">
        <v>Elian</v>
      </c>
      <c r="E176" t="str">
        <v>Stevens</v>
      </c>
      <c r="F176" t="str">
        <v>Elian Stevens</v>
      </c>
      <c r="G176" t="str">
        <v>Male</v>
      </c>
      <c r="H176">
        <v>60</v>
      </c>
      <c r="I176" t="str">
        <v>Old</v>
      </c>
      <c r="J176" t="str">
        <v>Economist</v>
      </c>
      <c r="K176">
        <v>8318</v>
      </c>
      <c r="L176" t="str">
        <v>Single</v>
      </c>
      <c r="M176">
        <v>2</v>
      </c>
    </row>
    <row r="177" spans="4:13" x14ac:dyDescent="0.25">
      <c r="D177" t="str">
        <v>Reid</v>
      </c>
      <c r="E177" t="str">
        <v>Fowler</v>
      </c>
      <c r="F177" t="str">
        <v>Reid Fowler</v>
      </c>
      <c r="G177" t="str">
        <v>Male</v>
      </c>
      <c r="H177">
        <v>55</v>
      </c>
      <c r="I177" t="str">
        <v>Old</v>
      </c>
      <c r="J177" t="str">
        <v>Journalist</v>
      </c>
      <c r="K177">
        <v>6753</v>
      </c>
      <c r="L177" t="str">
        <v>Single</v>
      </c>
      <c r="M177">
        <v>1</v>
      </c>
    </row>
    <row r="178" spans="4:13" x14ac:dyDescent="0.25">
      <c r="D178" t="str">
        <v>Owen</v>
      </c>
      <c r="E178" t="str">
        <v>Baker</v>
      </c>
      <c r="F178" t="str">
        <v>Owen Baker</v>
      </c>
      <c r="G178" t="str">
        <v>Male</v>
      </c>
      <c r="H178">
        <v>53</v>
      </c>
      <c r="I178" t="str">
        <v>Old</v>
      </c>
      <c r="J178" t="str">
        <v>Firefighter</v>
      </c>
      <c r="K178">
        <v>4373</v>
      </c>
      <c r="L178" t="str">
        <v>Single</v>
      </c>
      <c r="M178">
        <v>4</v>
      </c>
    </row>
    <row r="179" spans="4:13" x14ac:dyDescent="0.25">
      <c r="D179" t="str">
        <v>Fenton</v>
      </c>
      <c r="E179" t="str">
        <v>Davis</v>
      </c>
      <c r="F179" t="str">
        <v>Fenton Davis</v>
      </c>
      <c r="G179" t="str">
        <v>Male</v>
      </c>
      <c r="H179">
        <v>35</v>
      </c>
      <c r="I179" t="str">
        <v>Middle Age</v>
      </c>
      <c r="J179" t="str">
        <v>Historian</v>
      </c>
      <c r="K179">
        <v>6097</v>
      </c>
      <c r="L179" t="str">
        <v>Single</v>
      </c>
      <c r="M179">
        <v>3</v>
      </c>
    </row>
    <row r="180" spans="4:13" x14ac:dyDescent="0.25">
      <c r="D180" t="str">
        <v>Frederick</v>
      </c>
      <c r="E180" t="str">
        <v>Martin</v>
      </c>
      <c r="F180" t="str">
        <v>Frederick Martin</v>
      </c>
      <c r="G180" t="str">
        <v>Male</v>
      </c>
      <c r="H180">
        <v>46</v>
      </c>
      <c r="I180" t="str">
        <v>Middle Age</v>
      </c>
      <c r="J180" t="str">
        <v>Electrician</v>
      </c>
      <c r="K180">
        <v>8508</v>
      </c>
      <c r="L180" t="str">
        <v>Married</v>
      </c>
      <c r="M180">
        <v>3</v>
      </c>
    </row>
    <row r="181" spans="4:13" x14ac:dyDescent="0.25">
      <c r="D181" t="str">
        <v>Preston</v>
      </c>
      <c r="E181" t="str">
        <v>Barrett</v>
      </c>
      <c r="F181" t="str">
        <v>Preston Barrett</v>
      </c>
      <c r="G181" t="str">
        <v>Male</v>
      </c>
      <c r="H181">
        <v>44</v>
      </c>
      <c r="I181" t="str">
        <v>Middle Age</v>
      </c>
      <c r="J181" t="str">
        <v>Botanist</v>
      </c>
      <c r="K181">
        <v>1602</v>
      </c>
      <c r="L181" t="str">
        <v>Single</v>
      </c>
      <c r="M181">
        <v>0</v>
      </c>
    </row>
    <row r="182" spans="4:13" x14ac:dyDescent="0.25">
      <c r="D182" t="str">
        <v>Ned</v>
      </c>
      <c r="E182" t="str">
        <v>Brown</v>
      </c>
      <c r="F182" t="str">
        <v>Ned Brown</v>
      </c>
      <c r="G182" t="str">
        <v>Male</v>
      </c>
      <c r="H182">
        <v>35</v>
      </c>
      <c r="I182" t="str">
        <v>Middle Age</v>
      </c>
      <c r="J182" t="str">
        <v>Electrician</v>
      </c>
      <c r="K182">
        <v>9296</v>
      </c>
      <c r="L182" t="str">
        <v>Married</v>
      </c>
      <c r="M182">
        <v>5</v>
      </c>
    </row>
    <row r="183" spans="4:13" x14ac:dyDescent="0.25">
      <c r="D183" t="str">
        <v>Dainton</v>
      </c>
      <c r="E183" t="str">
        <v>Robinson</v>
      </c>
      <c r="F183" t="str">
        <v>Dainton Robinson</v>
      </c>
      <c r="G183" t="str">
        <v>Male</v>
      </c>
      <c r="H183">
        <v>31</v>
      </c>
      <c r="I183" t="str">
        <v>Middle Age</v>
      </c>
      <c r="J183" t="str">
        <v>Agronomist</v>
      </c>
      <c r="K183">
        <v>2958</v>
      </c>
      <c r="L183" t="str">
        <v>Married</v>
      </c>
      <c r="M183">
        <v>1</v>
      </c>
    </row>
    <row r="184" spans="4:13" x14ac:dyDescent="0.25">
      <c r="D184" t="str">
        <v>Dominik</v>
      </c>
      <c r="E184" t="str">
        <v>Andrews</v>
      </c>
      <c r="F184" t="str">
        <v>Dominik Andrews</v>
      </c>
      <c r="G184" t="str">
        <v>Male</v>
      </c>
      <c r="H184">
        <v>59</v>
      </c>
      <c r="I184" t="str">
        <v>Old</v>
      </c>
      <c r="J184" t="str">
        <v>Driver</v>
      </c>
      <c r="K184">
        <v>4486</v>
      </c>
      <c r="L184" t="str">
        <v>Married</v>
      </c>
      <c r="M184">
        <v>1</v>
      </c>
    </row>
    <row r="185" spans="4:13" x14ac:dyDescent="0.25">
      <c r="D185" t="str">
        <v>Nicholas</v>
      </c>
      <c r="E185" t="str">
        <v>Turner</v>
      </c>
      <c r="F185" t="str">
        <v>Nicholas Turner</v>
      </c>
      <c r="G185" t="str">
        <v>Male</v>
      </c>
      <c r="H185">
        <v>59</v>
      </c>
      <c r="I185" t="str">
        <v>Old</v>
      </c>
      <c r="J185" t="str">
        <v>Composer</v>
      </c>
      <c r="K185">
        <v>7464</v>
      </c>
      <c r="L185" t="str">
        <v>Married</v>
      </c>
      <c r="M185">
        <v>5</v>
      </c>
    </row>
    <row r="186" spans="4:13" x14ac:dyDescent="0.25">
      <c r="D186" t="str">
        <v>Ashton</v>
      </c>
      <c r="E186" t="str">
        <v>Russell</v>
      </c>
      <c r="F186" t="str">
        <v>Ashton Russell</v>
      </c>
      <c r="G186" t="str">
        <v>Male</v>
      </c>
      <c r="H186">
        <v>35</v>
      </c>
      <c r="I186" t="str">
        <v>Middle Age</v>
      </c>
      <c r="J186" t="str">
        <v>Chef</v>
      </c>
      <c r="K186">
        <v>3682</v>
      </c>
      <c r="L186" t="str">
        <v>Single</v>
      </c>
      <c r="M186">
        <v>4</v>
      </c>
    </row>
    <row r="187" spans="4:13" x14ac:dyDescent="0.25">
      <c r="D187" t="str">
        <v>Byron</v>
      </c>
      <c r="E187" t="str">
        <v>Chapman</v>
      </c>
      <c r="F187" t="str">
        <v>Byron Chapman</v>
      </c>
      <c r="G187" t="str">
        <v>Male</v>
      </c>
      <c r="H187">
        <v>42</v>
      </c>
      <c r="I187" t="str">
        <v>Middle Age</v>
      </c>
      <c r="J187" t="str">
        <v>Actor</v>
      </c>
      <c r="K187">
        <v>9544</v>
      </c>
      <c r="L187" t="str">
        <v>Married</v>
      </c>
      <c r="M187">
        <v>4</v>
      </c>
    </row>
    <row r="188" spans="4:13" x14ac:dyDescent="0.25">
      <c r="D188" t="str">
        <v>Aston</v>
      </c>
      <c r="E188" t="str">
        <v>Baker</v>
      </c>
      <c r="F188" t="str">
        <v>Aston Baker</v>
      </c>
      <c r="G188" t="str">
        <v>Male</v>
      </c>
      <c r="H188">
        <v>52</v>
      </c>
      <c r="I188" t="str">
        <v>Old</v>
      </c>
      <c r="J188" t="str">
        <v>Pharmacist</v>
      </c>
      <c r="K188">
        <v>2516</v>
      </c>
      <c r="L188" t="str">
        <v>Married</v>
      </c>
      <c r="M188">
        <v>2</v>
      </c>
    </row>
    <row r="189" spans="4:13" x14ac:dyDescent="0.25">
      <c r="D189" t="str">
        <v>Bruce</v>
      </c>
      <c r="E189" t="str">
        <v>Parker</v>
      </c>
      <c r="F189" t="str">
        <v>Bruce Parker</v>
      </c>
      <c r="G189" t="str">
        <v>Male</v>
      </c>
      <c r="H189">
        <v>51</v>
      </c>
      <c r="I189" t="str">
        <v>Old</v>
      </c>
      <c r="J189" t="str">
        <v>Medic</v>
      </c>
      <c r="K189">
        <v>8701</v>
      </c>
      <c r="L189" t="str">
        <v>Single</v>
      </c>
      <c r="M189">
        <v>2</v>
      </c>
    </row>
    <row r="190" spans="4:13" x14ac:dyDescent="0.25">
      <c r="D190" t="str">
        <v>Roland</v>
      </c>
      <c r="E190" t="str">
        <v>Crawford</v>
      </c>
      <c r="F190" t="str">
        <v>Roland Crawford</v>
      </c>
      <c r="G190" t="str">
        <v>Male</v>
      </c>
      <c r="H190">
        <v>40</v>
      </c>
      <c r="I190" t="str">
        <v>Middle Age</v>
      </c>
      <c r="J190" t="str">
        <v>Singer</v>
      </c>
      <c r="K190">
        <v>1962</v>
      </c>
      <c r="L190" t="str">
        <v>Married</v>
      </c>
      <c r="M190">
        <v>2</v>
      </c>
    </row>
    <row r="191" spans="4:13" x14ac:dyDescent="0.25">
      <c r="D191" t="str">
        <v>Max</v>
      </c>
      <c r="E191" t="str">
        <v>Grant</v>
      </c>
      <c r="F191" t="str">
        <v>Max Grant</v>
      </c>
      <c r="G191" t="str">
        <v>Male</v>
      </c>
      <c r="H191">
        <v>44</v>
      </c>
      <c r="I191" t="str">
        <v>Middle Age</v>
      </c>
      <c r="J191" t="str">
        <v>Insurer</v>
      </c>
      <c r="K191">
        <v>5798</v>
      </c>
      <c r="L191" t="str">
        <v>Married</v>
      </c>
      <c r="M191">
        <v>4</v>
      </c>
    </row>
    <row r="192" spans="4:13" x14ac:dyDescent="0.25">
      <c r="D192" t="str">
        <v>Arthur</v>
      </c>
      <c r="E192" t="str">
        <v>Nelson</v>
      </c>
      <c r="F192" t="str">
        <v>Arthur Nelson</v>
      </c>
      <c r="G192" t="str">
        <v>Male</v>
      </c>
      <c r="H192">
        <v>53</v>
      </c>
      <c r="I192" t="str">
        <v>Old</v>
      </c>
      <c r="J192" t="str">
        <v>Producer</v>
      </c>
      <c r="K192">
        <v>8258</v>
      </c>
      <c r="L192" t="str">
        <v>Single</v>
      </c>
      <c r="M192">
        <v>2</v>
      </c>
    </row>
    <row r="193" spans="4:13" x14ac:dyDescent="0.25">
      <c r="D193" t="str">
        <v>Carl</v>
      </c>
      <c r="E193" t="str">
        <v>Morgan</v>
      </c>
      <c r="F193" t="str">
        <v>Carl Morgan</v>
      </c>
      <c r="G193" t="str">
        <v>Male</v>
      </c>
      <c r="H193">
        <v>34</v>
      </c>
      <c r="I193" t="str">
        <v>Middle Age</v>
      </c>
      <c r="J193" t="str">
        <v>Electrician</v>
      </c>
      <c r="K193">
        <v>4312</v>
      </c>
      <c r="L193" t="str">
        <v>Single</v>
      </c>
      <c r="M193">
        <v>2</v>
      </c>
    </row>
    <row r="194" spans="4:13" x14ac:dyDescent="0.25">
      <c r="D194" t="str">
        <v>Stuart</v>
      </c>
      <c r="E194" t="str">
        <v>Owens</v>
      </c>
      <c r="F194" t="str">
        <v>Stuart Owens</v>
      </c>
      <c r="G194" t="str">
        <v>Male</v>
      </c>
      <c r="H194">
        <v>38</v>
      </c>
      <c r="I194" t="str">
        <v>Middle Age</v>
      </c>
      <c r="J194" t="str">
        <v>Accountant</v>
      </c>
      <c r="K194">
        <v>2537</v>
      </c>
      <c r="L194" t="str">
        <v>Single</v>
      </c>
      <c r="M194">
        <v>5</v>
      </c>
    </row>
    <row r="195" spans="4:13" x14ac:dyDescent="0.25">
      <c r="D195" t="str">
        <v>Harold</v>
      </c>
      <c r="E195" t="str">
        <v>Sullivan</v>
      </c>
      <c r="F195" t="str">
        <v>Harold Sullivan</v>
      </c>
      <c r="G195" t="str">
        <v>Male</v>
      </c>
      <c r="H195">
        <v>38</v>
      </c>
      <c r="I195" t="str">
        <v>Middle Age</v>
      </c>
      <c r="J195" t="str">
        <v>Manager</v>
      </c>
      <c r="K195">
        <v>2547</v>
      </c>
      <c r="L195" t="str">
        <v>Married</v>
      </c>
      <c r="M195">
        <v>1</v>
      </c>
    </row>
    <row r="196" spans="4:13" x14ac:dyDescent="0.25">
      <c r="D196" t="str">
        <v>Julian</v>
      </c>
      <c r="E196" t="str">
        <v>Phillips</v>
      </c>
      <c r="F196" t="str">
        <v>Julian Phillips</v>
      </c>
      <c r="G196" t="str">
        <v>Male</v>
      </c>
      <c r="H196">
        <v>50</v>
      </c>
      <c r="I196" t="str">
        <v>Middle Age</v>
      </c>
      <c r="J196" t="str">
        <v>Electrician</v>
      </c>
      <c r="K196">
        <v>9443</v>
      </c>
      <c r="L196" t="str">
        <v>Married</v>
      </c>
      <c r="M196">
        <v>5</v>
      </c>
    </row>
    <row r="197" spans="4:13" x14ac:dyDescent="0.25">
      <c r="D197" t="str">
        <v>Alen</v>
      </c>
      <c r="E197" t="str">
        <v>Owens</v>
      </c>
      <c r="F197" t="str">
        <v>Alen Owens</v>
      </c>
      <c r="G197" t="str">
        <v>Male</v>
      </c>
      <c r="H197">
        <v>44</v>
      </c>
      <c r="I197" t="str">
        <v>Middle Age</v>
      </c>
      <c r="J197" t="str">
        <v>Salesman</v>
      </c>
      <c r="K197">
        <v>3001</v>
      </c>
      <c r="L197" t="str">
        <v>Single</v>
      </c>
      <c r="M197">
        <v>3</v>
      </c>
    </row>
    <row r="198" spans="4:13" x14ac:dyDescent="0.25">
      <c r="D198" t="str">
        <v>Robert</v>
      </c>
      <c r="E198" t="str">
        <v>Harper</v>
      </c>
      <c r="F198" t="str">
        <v>Robert Harper</v>
      </c>
      <c r="G198" t="str">
        <v>Male</v>
      </c>
      <c r="H198">
        <v>43</v>
      </c>
      <c r="I198" t="str">
        <v>Middle Age</v>
      </c>
      <c r="J198" t="str">
        <v>Police Officer</v>
      </c>
      <c r="K198">
        <v>8386</v>
      </c>
      <c r="L198" t="str">
        <v>Married</v>
      </c>
      <c r="M198">
        <v>3</v>
      </c>
    </row>
    <row r="199" spans="4:13" x14ac:dyDescent="0.25">
      <c r="D199" t="str">
        <v>Alen</v>
      </c>
      <c r="E199" t="str">
        <v>Lloyd</v>
      </c>
      <c r="F199" t="str">
        <v>Alen Lloyd</v>
      </c>
      <c r="G199" t="str">
        <v>Male</v>
      </c>
      <c r="H199">
        <v>49</v>
      </c>
      <c r="I199" t="str">
        <v>Middle Age</v>
      </c>
      <c r="J199" t="str">
        <v>Medic</v>
      </c>
      <c r="K199">
        <v>1719</v>
      </c>
      <c r="L199" t="str">
        <v>Married</v>
      </c>
      <c r="M199">
        <v>1</v>
      </c>
    </row>
    <row r="200" spans="4:13" x14ac:dyDescent="0.25">
      <c r="D200" t="str">
        <v>Eric</v>
      </c>
      <c r="E200" t="str">
        <v>Thomas</v>
      </c>
      <c r="F200" t="str">
        <v>Eric Thomas</v>
      </c>
      <c r="G200" t="str">
        <v>Male</v>
      </c>
      <c r="H200">
        <v>51</v>
      </c>
      <c r="I200" t="str">
        <v>Old</v>
      </c>
      <c r="J200" t="str">
        <v>Driver</v>
      </c>
      <c r="K200">
        <v>715</v>
      </c>
      <c r="L200" t="str">
        <v>Married</v>
      </c>
      <c r="M200">
        <v>2</v>
      </c>
    </row>
    <row r="201" spans="4:13" x14ac:dyDescent="0.25">
      <c r="D201" t="str">
        <v>Roland</v>
      </c>
      <c r="E201" t="str">
        <v>Harrison</v>
      </c>
      <c r="F201" t="str">
        <v>Roland Harrison</v>
      </c>
      <c r="G201" t="str">
        <v>Male</v>
      </c>
      <c r="H201">
        <v>39</v>
      </c>
      <c r="I201" t="str">
        <v>Middle Age</v>
      </c>
      <c r="J201" t="str">
        <v>Archeologist</v>
      </c>
      <c r="K201">
        <v>6877</v>
      </c>
      <c r="L201" t="str">
        <v>Single</v>
      </c>
      <c r="M201">
        <v>0</v>
      </c>
    </row>
    <row r="202" spans="4:13" x14ac:dyDescent="0.25">
      <c r="D202" t="str">
        <v>Edwin</v>
      </c>
      <c r="E202" t="str">
        <v>Carroll</v>
      </c>
      <c r="F202" t="str">
        <v>Edwin Carroll</v>
      </c>
      <c r="G202" t="str">
        <v>Male</v>
      </c>
      <c r="H202">
        <v>60</v>
      </c>
      <c r="I202" t="str">
        <v>Old</v>
      </c>
      <c r="J202" t="str">
        <v>Agronomist</v>
      </c>
      <c r="K202">
        <v>4981</v>
      </c>
      <c r="L202" t="str">
        <v>Married</v>
      </c>
      <c r="M202">
        <v>1</v>
      </c>
    </row>
    <row r="203" spans="4:13" x14ac:dyDescent="0.25">
      <c r="D203" t="str">
        <v>Ryan</v>
      </c>
      <c r="E203" t="str">
        <v>Adams</v>
      </c>
      <c r="F203" t="str">
        <v>Ryan Adams</v>
      </c>
      <c r="G203" t="str">
        <v>Male</v>
      </c>
      <c r="H203">
        <v>44</v>
      </c>
      <c r="I203" t="str">
        <v>Middle Age</v>
      </c>
      <c r="J203" t="str">
        <v>Insurer</v>
      </c>
      <c r="K203">
        <v>599</v>
      </c>
      <c r="L203" t="str">
        <v>Single</v>
      </c>
      <c r="M203">
        <v>2</v>
      </c>
    </row>
    <row r="204" spans="4:13" x14ac:dyDescent="0.25">
      <c r="D204" t="str">
        <v>Oscar</v>
      </c>
      <c r="E204" t="str">
        <v>Myers</v>
      </c>
      <c r="F204" t="str">
        <v>Oscar Myers</v>
      </c>
      <c r="G204" t="str">
        <v>Male</v>
      </c>
      <c r="H204">
        <v>51</v>
      </c>
      <c r="I204" t="str">
        <v>Old</v>
      </c>
      <c r="J204" t="str">
        <v>Physicist</v>
      </c>
      <c r="K204">
        <v>9792</v>
      </c>
      <c r="L204" t="str">
        <v>Married</v>
      </c>
      <c r="M204">
        <v>4</v>
      </c>
    </row>
    <row r="205" spans="4:13" x14ac:dyDescent="0.25">
      <c r="D205" t="str">
        <v>Ryan</v>
      </c>
      <c r="E205" t="str">
        <v>Morrison</v>
      </c>
      <c r="F205" t="str">
        <v>Ryan Morrison</v>
      </c>
      <c r="G205" t="str">
        <v>Male</v>
      </c>
      <c r="H205">
        <v>55</v>
      </c>
      <c r="I205" t="str">
        <v>Old</v>
      </c>
      <c r="J205" t="str">
        <v>Fashion Designer</v>
      </c>
      <c r="K205">
        <v>721</v>
      </c>
      <c r="L205" t="str">
        <v>Married</v>
      </c>
      <c r="M205">
        <v>0</v>
      </c>
    </row>
    <row r="206" spans="4:13" x14ac:dyDescent="0.25">
      <c r="D206" t="str">
        <v>David</v>
      </c>
      <c r="E206" t="str">
        <v>Campbell</v>
      </c>
      <c r="F206" t="str">
        <v>David Campbell</v>
      </c>
      <c r="G206" t="str">
        <v>Male</v>
      </c>
      <c r="H206">
        <v>54</v>
      </c>
      <c r="I206" t="str">
        <v>Old</v>
      </c>
      <c r="J206" t="str">
        <v>Interior Designer</v>
      </c>
      <c r="K206">
        <v>2988</v>
      </c>
      <c r="L206" t="str">
        <v>Single</v>
      </c>
      <c r="M206">
        <v>0</v>
      </c>
    </row>
    <row r="207" spans="4:13" x14ac:dyDescent="0.25">
      <c r="D207" t="str">
        <v>Alexander</v>
      </c>
      <c r="E207" t="str">
        <v>Richardson</v>
      </c>
      <c r="F207" t="str">
        <v>Alexander Richardson</v>
      </c>
      <c r="G207" t="str">
        <v>Male</v>
      </c>
      <c r="H207">
        <v>45</v>
      </c>
      <c r="I207" t="str">
        <v>Middle Age</v>
      </c>
      <c r="J207" t="str">
        <v>Accountant</v>
      </c>
      <c r="K207">
        <v>675</v>
      </c>
      <c r="L207" t="str">
        <v>Married</v>
      </c>
      <c r="M207">
        <v>4</v>
      </c>
    </row>
    <row r="208" spans="4:13" x14ac:dyDescent="0.25">
      <c r="D208" t="str">
        <v>Nicholas</v>
      </c>
      <c r="E208" t="str">
        <v>Hall</v>
      </c>
      <c r="F208" t="str">
        <v>Nicholas Hall</v>
      </c>
      <c r="G208" t="str">
        <v>Male</v>
      </c>
      <c r="H208">
        <v>50</v>
      </c>
      <c r="I208" t="str">
        <v>Middle Age</v>
      </c>
      <c r="J208" t="str">
        <v>Medic</v>
      </c>
      <c r="K208">
        <v>4774</v>
      </c>
      <c r="L208" t="str">
        <v>Single</v>
      </c>
      <c r="M208">
        <v>4</v>
      </c>
    </row>
    <row r="209" spans="4:13" x14ac:dyDescent="0.25">
      <c r="D209" t="str">
        <v>Leonardo</v>
      </c>
      <c r="E209" t="str">
        <v>Myers</v>
      </c>
      <c r="F209" t="str">
        <v>Leonardo Myers</v>
      </c>
      <c r="G209" t="str">
        <v>Male</v>
      </c>
      <c r="H209">
        <v>46</v>
      </c>
      <c r="I209" t="str">
        <v>Middle Age</v>
      </c>
      <c r="J209" t="str">
        <v>Mathematician</v>
      </c>
      <c r="K209">
        <v>3647</v>
      </c>
      <c r="L209" t="str">
        <v>Single</v>
      </c>
      <c r="M209">
        <v>3</v>
      </c>
    </row>
    <row r="210" spans="4:13" x14ac:dyDescent="0.25">
      <c r="D210" t="str">
        <v>Julian</v>
      </c>
      <c r="E210" t="str">
        <v>Barrett</v>
      </c>
      <c r="F210" t="str">
        <v>Julian Barrett</v>
      </c>
      <c r="G210" t="str">
        <v>Male</v>
      </c>
      <c r="H210">
        <v>37</v>
      </c>
      <c r="I210" t="str">
        <v>Middle Age</v>
      </c>
      <c r="J210" t="str">
        <v>Programmer</v>
      </c>
      <c r="K210">
        <v>3381</v>
      </c>
      <c r="L210" t="str">
        <v>Single</v>
      </c>
      <c r="M210">
        <v>5</v>
      </c>
    </row>
    <row r="211" spans="4:13" x14ac:dyDescent="0.25">
      <c r="D211" t="str">
        <v>Daryl</v>
      </c>
      <c r="E211" t="str">
        <v>Turner</v>
      </c>
      <c r="F211" t="str">
        <v>Daryl Turner</v>
      </c>
      <c r="G211" t="str">
        <v>Male</v>
      </c>
      <c r="H211">
        <v>37</v>
      </c>
      <c r="I211" t="str">
        <v>Middle Age</v>
      </c>
      <c r="J211" t="str">
        <v>Archeologist</v>
      </c>
      <c r="K211">
        <v>7376</v>
      </c>
      <c r="L211" t="str">
        <v>Single</v>
      </c>
      <c r="M211">
        <v>0</v>
      </c>
    </row>
    <row r="212" spans="4:13" x14ac:dyDescent="0.25">
      <c r="D212" t="str">
        <v>Jordan</v>
      </c>
      <c r="E212" t="str">
        <v>Martin</v>
      </c>
      <c r="F212" t="str">
        <v>Jordan Martin</v>
      </c>
      <c r="G212" t="str">
        <v>Male</v>
      </c>
      <c r="H212">
        <v>42</v>
      </c>
      <c r="I212" t="str">
        <v>Middle Age</v>
      </c>
      <c r="J212" t="str">
        <v>Florist</v>
      </c>
      <c r="K212">
        <v>2770</v>
      </c>
      <c r="L212" t="str">
        <v>Married</v>
      </c>
      <c r="M212">
        <v>4</v>
      </c>
    </row>
    <row r="213" spans="4:13" x14ac:dyDescent="0.25">
      <c r="D213" t="str">
        <v>Frederick</v>
      </c>
      <c r="E213" t="str">
        <v>Wilson</v>
      </c>
      <c r="F213" t="str">
        <v>Frederick Wilson</v>
      </c>
      <c r="G213" t="str">
        <v>Male</v>
      </c>
      <c r="H213">
        <v>59</v>
      </c>
      <c r="I213" t="str">
        <v>Old</v>
      </c>
      <c r="J213" t="str">
        <v>Archeologist</v>
      </c>
      <c r="K213">
        <v>4035</v>
      </c>
      <c r="L213" t="str">
        <v>Single</v>
      </c>
      <c r="M213">
        <v>2</v>
      </c>
    </row>
    <row r="214" spans="4:13" x14ac:dyDescent="0.25">
      <c r="D214" t="str">
        <v>Preston</v>
      </c>
      <c r="E214" t="str">
        <v>Hill</v>
      </c>
      <c r="F214" t="str">
        <v>Preston Hill</v>
      </c>
      <c r="G214" t="str">
        <v>Male</v>
      </c>
      <c r="H214">
        <v>35</v>
      </c>
      <c r="I214" t="str">
        <v>Middle Age</v>
      </c>
      <c r="J214" t="str">
        <v>Aeroplane Pilot</v>
      </c>
      <c r="K214">
        <v>586</v>
      </c>
      <c r="L214" t="str">
        <v>Married</v>
      </c>
      <c r="M214">
        <v>5</v>
      </c>
    </row>
    <row r="215" spans="4:13" x14ac:dyDescent="0.25">
      <c r="D215" t="str">
        <v>Dominik</v>
      </c>
      <c r="E215" t="str">
        <v>Foster</v>
      </c>
      <c r="F215" t="str">
        <v>Dominik Foster</v>
      </c>
      <c r="G215" t="str">
        <v>Male</v>
      </c>
      <c r="H215">
        <v>41</v>
      </c>
      <c r="I215" t="str">
        <v>Middle Age</v>
      </c>
      <c r="J215" t="str">
        <v>Engineer</v>
      </c>
      <c r="K215">
        <v>9431</v>
      </c>
      <c r="L215" t="str">
        <v>Married</v>
      </c>
      <c r="M215">
        <v>1</v>
      </c>
    </row>
    <row r="216" spans="4:13" x14ac:dyDescent="0.25">
      <c r="D216" t="str">
        <v>Aiden</v>
      </c>
      <c r="E216" t="str">
        <v>Carter</v>
      </c>
      <c r="F216" t="str">
        <v>Aiden Carter</v>
      </c>
      <c r="G216" t="str">
        <v>Male</v>
      </c>
      <c r="H216">
        <v>37</v>
      </c>
      <c r="I216" t="str">
        <v>Middle Age</v>
      </c>
      <c r="J216" t="str">
        <v>Biochemist</v>
      </c>
      <c r="K216">
        <v>3844</v>
      </c>
      <c r="L216" t="str">
        <v>Married</v>
      </c>
      <c r="M216">
        <v>0</v>
      </c>
    </row>
    <row r="217" spans="4:13" x14ac:dyDescent="0.25">
      <c r="D217" t="str">
        <v>Edgar</v>
      </c>
      <c r="E217" t="str">
        <v>Owens</v>
      </c>
      <c r="F217" t="str">
        <v>Edgar Owens</v>
      </c>
      <c r="G217" t="str">
        <v>Male</v>
      </c>
      <c r="H217">
        <v>44</v>
      </c>
      <c r="I217" t="str">
        <v>Middle Age</v>
      </c>
      <c r="J217" t="str">
        <v>Programmer</v>
      </c>
      <c r="K217">
        <v>5623</v>
      </c>
      <c r="L217" t="str">
        <v>Single</v>
      </c>
      <c r="M217">
        <v>4</v>
      </c>
    </row>
    <row r="218" spans="4:13" x14ac:dyDescent="0.25">
      <c r="D218" t="str">
        <v>Abraham</v>
      </c>
      <c r="E218" t="str">
        <v>Perry</v>
      </c>
      <c r="F218" t="str">
        <v>Abraham Perry</v>
      </c>
      <c r="G218" t="str">
        <v>Male</v>
      </c>
      <c r="H218">
        <v>40</v>
      </c>
      <c r="I218" t="str">
        <v>Middle Age</v>
      </c>
      <c r="J218" t="str">
        <v>Accountant</v>
      </c>
      <c r="K218">
        <v>6540</v>
      </c>
      <c r="L218" t="str">
        <v>Married</v>
      </c>
      <c r="M218">
        <v>3</v>
      </c>
    </row>
    <row r="219" spans="4:13" x14ac:dyDescent="0.25">
      <c r="D219" t="str">
        <v>Wilson</v>
      </c>
      <c r="E219" t="str">
        <v>West</v>
      </c>
      <c r="F219" t="str">
        <v>Wilson West</v>
      </c>
      <c r="G219" t="str">
        <v>Male</v>
      </c>
      <c r="H219">
        <v>42</v>
      </c>
      <c r="I219" t="str">
        <v>Middle Age</v>
      </c>
      <c r="J219" t="str">
        <v>Cook</v>
      </c>
      <c r="K219">
        <v>4006</v>
      </c>
      <c r="L219" t="str">
        <v>Married</v>
      </c>
      <c r="M219">
        <v>3</v>
      </c>
    </row>
    <row r="220" spans="4:13" x14ac:dyDescent="0.25">
      <c r="D220" t="str">
        <v>Michael</v>
      </c>
      <c r="E220" t="str">
        <v>Harper</v>
      </c>
      <c r="F220" t="str">
        <v>Michael Harper</v>
      </c>
      <c r="G220" t="str">
        <v>Male</v>
      </c>
      <c r="H220">
        <v>58</v>
      </c>
      <c r="I220" t="str">
        <v>Old</v>
      </c>
      <c r="J220" t="str">
        <v>Accountant</v>
      </c>
      <c r="K220">
        <v>8863</v>
      </c>
      <c r="L220" t="str">
        <v>Married</v>
      </c>
      <c r="M220">
        <v>2</v>
      </c>
    </row>
    <row r="221" spans="4:13" x14ac:dyDescent="0.25">
      <c r="D221" t="str">
        <v>Bruce</v>
      </c>
      <c r="E221" t="str">
        <v>Hall</v>
      </c>
      <c r="F221" t="str">
        <v>Bruce Hall</v>
      </c>
      <c r="G221" t="str">
        <v>Male</v>
      </c>
      <c r="H221">
        <v>58</v>
      </c>
      <c r="I221" t="str">
        <v>Old</v>
      </c>
      <c r="J221" t="str">
        <v>Manager</v>
      </c>
      <c r="K221">
        <v>8625</v>
      </c>
      <c r="L221" t="str">
        <v>Single</v>
      </c>
      <c r="M221">
        <v>3</v>
      </c>
    </row>
    <row r="222" spans="4:13" x14ac:dyDescent="0.25">
      <c r="D222" t="str">
        <v>Leonardo</v>
      </c>
      <c r="E222" t="str">
        <v>Montgomery</v>
      </c>
      <c r="F222" t="str">
        <v>Leonardo Montgomery</v>
      </c>
      <c r="G222" t="str">
        <v>Male</v>
      </c>
      <c r="H222">
        <v>40</v>
      </c>
      <c r="I222" t="str">
        <v>Middle Age</v>
      </c>
      <c r="J222" t="str">
        <v>Firefighter</v>
      </c>
      <c r="K222">
        <v>6422</v>
      </c>
      <c r="L222" t="str">
        <v>Single</v>
      </c>
      <c r="M222">
        <v>5</v>
      </c>
    </row>
    <row r="223" spans="4:13" x14ac:dyDescent="0.25">
      <c r="D223" t="str">
        <v>Wilson</v>
      </c>
      <c r="E223" t="str">
        <v>Stewart</v>
      </c>
      <c r="F223" t="str">
        <v>Wilson Stewart</v>
      </c>
      <c r="G223" t="str">
        <v>Male</v>
      </c>
      <c r="H223">
        <v>50</v>
      </c>
      <c r="I223" t="str">
        <v>Middle Age</v>
      </c>
      <c r="J223" t="str">
        <v>Biochemist</v>
      </c>
      <c r="K223">
        <v>7680</v>
      </c>
      <c r="L223" t="str">
        <v>Single</v>
      </c>
      <c r="M223">
        <v>1</v>
      </c>
    </row>
    <row r="224" spans="4:13" x14ac:dyDescent="0.25">
      <c r="D224" t="str">
        <v>Antony</v>
      </c>
      <c r="E224" t="str">
        <v>Mitchell</v>
      </c>
      <c r="F224" t="str">
        <v>Antony Mitchell</v>
      </c>
      <c r="G224" t="str">
        <v>Male</v>
      </c>
      <c r="H224">
        <v>43</v>
      </c>
      <c r="I224" t="str">
        <v>Middle Age</v>
      </c>
      <c r="J224" t="str">
        <v>Lecturer</v>
      </c>
      <c r="K224">
        <v>3582</v>
      </c>
      <c r="L224" t="str">
        <v>Single</v>
      </c>
      <c r="M224">
        <v>2</v>
      </c>
    </row>
    <row r="225" spans="4:13" x14ac:dyDescent="0.25">
      <c r="D225" t="str">
        <v>Nicholas</v>
      </c>
      <c r="E225" t="str">
        <v>Russell</v>
      </c>
      <c r="F225" t="str">
        <v>Nicholas Russell</v>
      </c>
      <c r="G225" t="str">
        <v>Male</v>
      </c>
      <c r="H225">
        <v>38</v>
      </c>
      <c r="I225" t="str">
        <v>Middle Age</v>
      </c>
      <c r="J225" t="str">
        <v>Pharmacist</v>
      </c>
      <c r="K225">
        <v>6459</v>
      </c>
      <c r="L225" t="str">
        <v>Single</v>
      </c>
      <c r="M225">
        <v>4</v>
      </c>
    </row>
    <row r="226" spans="4:13" x14ac:dyDescent="0.25">
      <c r="D226" t="str">
        <v>Wilson</v>
      </c>
      <c r="E226" t="str">
        <v>Brooks</v>
      </c>
      <c r="F226" t="str">
        <v>Wilson Brooks</v>
      </c>
      <c r="G226" t="str">
        <v>Male</v>
      </c>
      <c r="H226">
        <v>55</v>
      </c>
      <c r="I226" t="str">
        <v>Old</v>
      </c>
      <c r="J226" t="str">
        <v>Social Worker</v>
      </c>
      <c r="K226">
        <v>3270</v>
      </c>
      <c r="L226" t="str">
        <v>Single</v>
      </c>
      <c r="M226">
        <v>0</v>
      </c>
    </row>
    <row r="227" spans="4:13" x14ac:dyDescent="0.25">
      <c r="D227" t="str">
        <v>Sawyer</v>
      </c>
      <c r="E227" t="str">
        <v>Wright</v>
      </c>
      <c r="F227" t="str">
        <v>Sawyer Wright</v>
      </c>
      <c r="G227" t="str">
        <v>Male</v>
      </c>
      <c r="H227">
        <v>51</v>
      </c>
      <c r="I227" t="str">
        <v>Old</v>
      </c>
      <c r="J227" t="str">
        <v>Mathematician</v>
      </c>
      <c r="K227">
        <v>2671</v>
      </c>
      <c r="L227" t="str">
        <v>Single</v>
      </c>
      <c r="M227">
        <v>4</v>
      </c>
    </row>
    <row r="228" spans="4:13" x14ac:dyDescent="0.25">
      <c r="D228" t="str">
        <v>Kristian</v>
      </c>
      <c r="E228" t="str">
        <v>Hunt</v>
      </c>
      <c r="F228" t="str">
        <v>Kristian Hunt</v>
      </c>
      <c r="G228" t="str">
        <v>Male</v>
      </c>
      <c r="H228">
        <v>50</v>
      </c>
      <c r="I228" t="str">
        <v>Middle Age</v>
      </c>
      <c r="J228" t="str">
        <v>Composer</v>
      </c>
      <c r="K228">
        <v>7468</v>
      </c>
      <c r="L228" t="str">
        <v>Single</v>
      </c>
      <c r="M228">
        <v>2</v>
      </c>
    </row>
    <row r="229" spans="4:13" x14ac:dyDescent="0.25">
      <c r="D229" t="str">
        <v>Chester</v>
      </c>
      <c r="E229" t="str">
        <v>Moore</v>
      </c>
      <c r="F229" t="str">
        <v>Chester Moore</v>
      </c>
      <c r="G229" t="str">
        <v>Male</v>
      </c>
      <c r="H229">
        <v>59</v>
      </c>
      <c r="I229" t="str">
        <v>Old</v>
      </c>
      <c r="J229" t="str">
        <v>Electrician</v>
      </c>
      <c r="K229">
        <v>8541</v>
      </c>
      <c r="L229" t="str">
        <v>Single</v>
      </c>
      <c r="M229">
        <v>0</v>
      </c>
    </row>
    <row r="230" spans="4:13" x14ac:dyDescent="0.25">
      <c r="D230" t="str">
        <v>Wilson</v>
      </c>
      <c r="E230" t="str">
        <v>Davis</v>
      </c>
      <c r="F230" t="str">
        <v>Wilson Davis</v>
      </c>
      <c r="G230" t="str">
        <v>Male</v>
      </c>
      <c r="H230">
        <v>47</v>
      </c>
      <c r="I230" t="str">
        <v>Middle Age</v>
      </c>
      <c r="J230" t="str">
        <v>Police Officer</v>
      </c>
      <c r="K230">
        <v>9297</v>
      </c>
      <c r="L230" t="str">
        <v>Married</v>
      </c>
      <c r="M230">
        <v>2</v>
      </c>
    </row>
    <row r="231" spans="4:13" x14ac:dyDescent="0.25">
      <c r="D231" t="str">
        <v>Henry</v>
      </c>
      <c r="E231" t="str">
        <v>Craig</v>
      </c>
      <c r="F231" t="str">
        <v>Henry Craig</v>
      </c>
      <c r="G231" t="str">
        <v>Male</v>
      </c>
      <c r="H231">
        <v>33</v>
      </c>
      <c r="I231" t="str">
        <v>Middle Age</v>
      </c>
      <c r="J231" t="str">
        <v>Agronomist</v>
      </c>
      <c r="K231">
        <v>9717</v>
      </c>
      <c r="L231" t="str">
        <v>Single</v>
      </c>
      <c r="M231">
        <v>2</v>
      </c>
    </row>
    <row r="232" spans="4:13" x14ac:dyDescent="0.25">
      <c r="D232" t="str">
        <v>George</v>
      </c>
      <c r="E232" t="str">
        <v>Thompson</v>
      </c>
      <c r="F232" t="str">
        <v>George Thompson</v>
      </c>
      <c r="G232" t="str">
        <v>Male</v>
      </c>
      <c r="H232">
        <v>40</v>
      </c>
      <c r="I232" t="str">
        <v>Middle Age</v>
      </c>
      <c r="J232" t="str">
        <v>Lecturer</v>
      </c>
      <c r="K232">
        <v>7298</v>
      </c>
      <c r="L232" t="str">
        <v>Married</v>
      </c>
      <c r="M232">
        <v>1</v>
      </c>
    </row>
    <row r="233" spans="4:13" x14ac:dyDescent="0.25">
      <c r="D233" t="str">
        <v>Richard</v>
      </c>
      <c r="E233" t="str">
        <v>Owens</v>
      </c>
      <c r="F233" t="str">
        <v>Richard Owens</v>
      </c>
      <c r="G233" t="str">
        <v>Male</v>
      </c>
      <c r="H233">
        <v>58</v>
      </c>
      <c r="I233" t="str">
        <v>Old</v>
      </c>
      <c r="J233" t="str">
        <v>Botanist</v>
      </c>
      <c r="K233">
        <v>1844</v>
      </c>
      <c r="L233" t="str">
        <v>Single</v>
      </c>
      <c r="M233">
        <v>3</v>
      </c>
    </row>
    <row r="234" spans="4:13" x14ac:dyDescent="0.25">
      <c r="D234" t="str">
        <v>Reid</v>
      </c>
      <c r="E234" t="str">
        <v>Armstrong</v>
      </c>
      <c r="F234" t="str">
        <v>Reid Armstrong</v>
      </c>
      <c r="G234" t="str">
        <v>Male</v>
      </c>
      <c r="H234">
        <v>43</v>
      </c>
      <c r="I234" t="str">
        <v>Middle Age</v>
      </c>
      <c r="J234" t="str">
        <v>Dancer</v>
      </c>
      <c r="K234">
        <v>8271</v>
      </c>
      <c r="L234" t="str">
        <v>Married</v>
      </c>
      <c r="M234">
        <v>3</v>
      </c>
    </row>
    <row r="235" spans="4:13" x14ac:dyDescent="0.25">
      <c r="D235" t="str">
        <v>Fenton</v>
      </c>
      <c r="E235" t="str">
        <v>Williams</v>
      </c>
      <c r="F235" t="str">
        <v>Fenton Williams</v>
      </c>
      <c r="G235" t="str">
        <v>Male</v>
      </c>
      <c r="H235">
        <v>47</v>
      </c>
      <c r="I235" t="str">
        <v>Middle Age</v>
      </c>
      <c r="J235" t="str">
        <v>Teacher</v>
      </c>
      <c r="K235">
        <v>5949</v>
      </c>
      <c r="L235" t="str">
        <v>Single</v>
      </c>
      <c r="M235">
        <v>0</v>
      </c>
    </row>
    <row r="236" spans="4:13" x14ac:dyDescent="0.25">
      <c r="D236" t="str">
        <v>George</v>
      </c>
      <c r="E236" t="str">
        <v>Mitchell</v>
      </c>
      <c r="F236" t="str">
        <v>George Mitchell</v>
      </c>
      <c r="G236" t="str">
        <v>Male</v>
      </c>
      <c r="H236">
        <v>46</v>
      </c>
      <c r="I236" t="str">
        <v>Middle Age</v>
      </c>
      <c r="J236" t="str">
        <v>Journalist</v>
      </c>
      <c r="K236">
        <v>1822</v>
      </c>
      <c r="L236" t="str">
        <v>Married</v>
      </c>
      <c r="M236">
        <v>2</v>
      </c>
    </row>
    <row r="237" spans="4:13" x14ac:dyDescent="0.25">
      <c r="D237" t="str">
        <v>Clark</v>
      </c>
      <c r="E237" t="str">
        <v>West</v>
      </c>
      <c r="F237" t="str">
        <v>Clark West</v>
      </c>
      <c r="G237" t="str">
        <v>Male</v>
      </c>
      <c r="H237">
        <v>50</v>
      </c>
      <c r="I237" t="str">
        <v>Middle Age</v>
      </c>
      <c r="J237" t="str">
        <v>Teacher</v>
      </c>
      <c r="K237">
        <v>4124</v>
      </c>
      <c r="L237" t="str">
        <v>Married</v>
      </c>
      <c r="M237">
        <v>3</v>
      </c>
    </row>
    <row r="238" spans="4:13" x14ac:dyDescent="0.25">
      <c r="D238" t="str">
        <v>Adison</v>
      </c>
      <c r="E238" t="str">
        <v>Williams</v>
      </c>
      <c r="F238" t="str">
        <v>Adison Williams</v>
      </c>
      <c r="G238" t="str">
        <v>Male</v>
      </c>
      <c r="H238">
        <v>31</v>
      </c>
      <c r="I238" t="str">
        <v>Middle Age</v>
      </c>
      <c r="J238" t="str">
        <v>Cook</v>
      </c>
      <c r="K238">
        <v>1114</v>
      </c>
      <c r="L238" t="str">
        <v>Single</v>
      </c>
      <c r="M238">
        <v>0</v>
      </c>
    </row>
    <row r="239" spans="4:13" x14ac:dyDescent="0.25">
      <c r="D239" t="str">
        <v>Dale</v>
      </c>
      <c r="E239" t="str">
        <v>Hawkins</v>
      </c>
      <c r="F239" t="str">
        <v>Dale Hawkins</v>
      </c>
      <c r="G239" t="str">
        <v>Male</v>
      </c>
      <c r="H239">
        <v>46</v>
      </c>
      <c r="I239" t="str">
        <v>Middle Age</v>
      </c>
      <c r="J239" t="str">
        <v>Pharmacist</v>
      </c>
      <c r="K239">
        <v>5984</v>
      </c>
      <c r="L239" t="str">
        <v>Single</v>
      </c>
      <c r="M239">
        <v>0</v>
      </c>
    </row>
    <row r="240" spans="4:13" x14ac:dyDescent="0.25">
      <c r="D240" t="str">
        <v>Walter</v>
      </c>
      <c r="E240" t="str">
        <v>Ryan</v>
      </c>
      <c r="F240" t="str">
        <v>Walter Ryan</v>
      </c>
      <c r="G240" t="str">
        <v>Male</v>
      </c>
      <c r="H240">
        <v>36</v>
      </c>
      <c r="I240" t="str">
        <v>Middle Age</v>
      </c>
      <c r="J240" t="str">
        <v>Engineer</v>
      </c>
      <c r="K240">
        <v>6355</v>
      </c>
      <c r="L240" t="str">
        <v>Single</v>
      </c>
      <c r="M240">
        <v>1</v>
      </c>
    </row>
    <row r="241" spans="4:13" x14ac:dyDescent="0.25">
      <c r="D241" t="str">
        <v>Eddy</v>
      </c>
      <c r="E241" t="str">
        <v>Farrell</v>
      </c>
      <c r="F241" t="str">
        <v>Eddy Farrell</v>
      </c>
      <c r="G241" t="str">
        <v>Male</v>
      </c>
      <c r="H241">
        <v>39</v>
      </c>
      <c r="I241" t="str">
        <v>Middle Age</v>
      </c>
      <c r="J241" t="str">
        <v>Architect</v>
      </c>
      <c r="K241">
        <v>7506</v>
      </c>
      <c r="L241" t="str">
        <v>Single</v>
      </c>
      <c r="M241">
        <v>1</v>
      </c>
    </row>
    <row r="242" spans="4:13" x14ac:dyDescent="0.25">
      <c r="D242" t="str">
        <v>Jordan</v>
      </c>
      <c r="E242" t="str">
        <v>Montgomery</v>
      </c>
      <c r="F242" t="str">
        <v>Jordan Montgomery</v>
      </c>
      <c r="G242" t="str">
        <v>Male</v>
      </c>
      <c r="H242">
        <v>53</v>
      </c>
      <c r="I242" t="str">
        <v>Old</v>
      </c>
      <c r="J242" t="str">
        <v>Economist</v>
      </c>
      <c r="K242">
        <v>3217</v>
      </c>
      <c r="L242" t="str">
        <v>Married</v>
      </c>
      <c r="M242">
        <v>0</v>
      </c>
    </row>
    <row r="243" spans="4:13" x14ac:dyDescent="0.25">
      <c r="D243" t="str">
        <v>Byron</v>
      </c>
      <c r="E243" t="str">
        <v>Thomas</v>
      </c>
      <c r="F243" t="str">
        <v>Byron Thomas</v>
      </c>
      <c r="G243" t="str">
        <v>Male</v>
      </c>
      <c r="H243">
        <v>45</v>
      </c>
      <c r="I243" t="str">
        <v>Middle Age</v>
      </c>
      <c r="J243" t="str">
        <v>Teacher</v>
      </c>
      <c r="K243">
        <v>8088</v>
      </c>
      <c r="L243" t="str">
        <v>Single</v>
      </c>
      <c r="M243">
        <v>4</v>
      </c>
    </row>
    <row r="244" spans="4:13" x14ac:dyDescent="0.25">
      <c r="D244" t="str">
        <v>John</v>
      </c>
      <c r="E244" t="str">
        <v>Edwards</v>
      </c>
      <c r="F244" t="str">
        <v>John Edwards</v>
      </c>
      <c r="G244" t="str">
        <v>Male</v>
      </c>
      <c r="H244">
        <v>48</v>
      </c>
      <c r="I244" t="str">
        <v>Middle Age</v>
      </c>
      <c r="J244" t="str">
        <v>Biochemist</v>
      </c>
      <c r="K244">
        <v>5530</v>
      </c>
      <c r="L244" t="str">
        <v>Married</v>
      </c>
      <c r="M244">
        <v>5</v>
      </c>
    </row>
    <row r="245" spans="4:13" x14ac:dyDescent="0.25">
      <c r="D245" t="str">
        <v>Robert</v>
      </c>
      <c r="E245" t="str">
        <v>Morrison</v>
      </c>
      <c r="F245" t="str">
        <v>Robert Morrison</v>
      </c>
      <c r="G245" t="str">
        <v>Male</v>
      </c>
      <c r="H245">
        <v>56</v>
      </c>
      <c r="I245" t="str">
        <v>Old</v>
      </c>
      <c r="J245" t="str">
        <v>Fashion Designer</v>
      </c>
      <c r="K245">
        <v>1955</v>
      </c>
      <c r="L245" t="str">
        <v>Married</v>
      </c>
      <c r="M245">
        <v>3</v>
      </c>
    </row>
    <row r="246" spans="4:13" x14ac:dyDescent="0.25">
      <c r="D246" t="str">
        <v>Blake</v>
      </c>
      <c r="E246" t="str">
        <v>Bennett</v>
      </c>
      <c r="F246" t="str">
        <v>Blake Bennett</v>
      </c>
      <c r="G246" t="str">
        <v>Male</v>
      </c>
      <c r="H246">
        <v>51</v>
      </c>
      <c r="I246" t="str">
        <v>Old</v>
      </c>
      <c r="J246" t="str">
        <v>Photographer</v>
      </c>
      <c r="K246">
        <v>834</v>
      </c>
      <c r="L246" t="str">
        <v>Single</v>
      </c>
      <c r="M246">
        <v>3</v>
      </c>
    </row>
    <row r="247" spans="4:13" x14ac:dyDescent="0.25">
      <c r="D247" t="str">
        <v>Justin</v>
      </c>
      <c r="E247" t="str">
        <v>Taylor</v>
      </c>
      <c r="F247" t="str">
        <v>Justin Taylor</v>
      </c>
      <c r="G247" t="str">
        <v>Male</v>
      </c>
      <c r="H247">
        <v>41</v>
      </c>
      <c r="I247" t="str">
        <v>Middle Age</v>
      </c>
      <c r="J247" t="str">
        <v>Biochemist</v>
      </c>
      <c r="K247">
        <v>695</v>
      </c>
      <c r="L247" t="str">
        <v>Single</v>
      </c>
      <c r="M247">
        <v>1</v>
      </c>
    </row>
    <row r="248" spans="4:13" x14ac:dyDescent="0.25">
      <c r="D248" t="str">
        <v>Haris</v>
      </c>
      <c r="E248" t="str">
        <v>Elliott</v>
      </c>
      <c r="F248" t="str">
        <v>Haris Elliott</v>
      </c>
      <c r="G248" t="str">
        <v>Male</v>
      </c>
      <c r="H248">
        <v>55</v>
      </c>
      <c r="I248" t="str">
        <v>Old</v>
      </c>
      <c r="J248" t="str">
        <v>Biochemist</v>
      </c>
      <c r="K248">
        <v>2322</v>
      </c>
      <c r="L248" t="str">
        <v>Married</v>
      </c>
      <c r="M248">
        <v>1</v>
      </c>
    </row>
    <row r="249" spans="4:13" x14ac:dyDescent="0.25">
      <c r="D249" t="str">
        <v>Kristian</v>
      </c>
      <c r="E249" t="str">
        <v>Walker</v>
      </c>
      <c r="F249" t="str">
        <v>Kristian Walker</v>
      </c>
      <c r="G249" t="str">
        <v>Male</v>
      </c>
      <c r="H249">
        <v>59</v>
      </c>
      <c r="I249" t="str">
        <v>Old</v>
      </c>
      <c r="J249" t="str">
        <v>Photographer</v>
      </c>
      <c r="K249">
        <v>1739</v>
      </c>
      <c r="L249" t="str">
        <v>Married</v>
      </c>
      <c r="M249">
        <v>1</v>
      </c>
    </row>
    <row r="250" spans="4:13" x14ac:dyDescent="0.25">
      <c r="D250" t="str">
        <v>Ned</v>
      </c>
      <c r="E250" t="str">
        <v>Farrell</v>
      </c>
      <c r="F250" t="str">
        <v>Ned Farrell</v>
      </c>
      <c r="G250" t="str">
        <v>Male</v>
      </c>
      <c r="H250">
        <v>52</v>
      </c>
      <c r="I250" t="str">
        <v>Old</v>
      </c>
      <c r="J250" t="str">
        <v>Physicist</v>
      </c>
      <c r="K250">
        <v>2828</v>
      </c>
      <c r="L250" t="str">
        <v>Married</v>
      </c>
      <c r="M250">
        <v>0</v>
      </c>
    </row>
    <row r="251" spans="4:13" x14ac:dyDescent="0.25">
      <c r="D251" t="str">
        <v>Justin</v>
      </c>
      <c r="E251" t="str">
        <v>Mason</v>
      </c>
      <c r="F251" t="str">
        <v>Justin Mason</v>
      </c>
      <c r="G251" t="str">
        <v>Male</v>
      </c>
      <c r="H251">
        <v>57</v>
      </c>
      <c r="I251" t="str">
        <v>Old</v>
      </c>
      <c r="J251" t="str">
        <v>Engineer</v>
      </c>
      <c r="K251">
        <v>2065</v>
      </c>
      <c r="L251" t="str">
        <v>Single</v>
      </c>
      <c r="M251">
        <v>0</v>
      </c>
    </row>
    <row r="252" spans="4:13" x14ac:dyDescent="0.25">
      <c r="D252" t="str">
        <v>Clark</v>
      </c>
      <c r="E252" t="str">
        <v>Hawkins</v>
      </c>
      <c r="F252" t="str">
        <v>Clark Hawkins</v>
      </c>
      <c r="G252" t="str">
        <v>Male</v>
      </c>
      <c r="H252">
        <v>53</v>
      </c>
      <c r="I252" t="str">
        <v>Old</v>
      </c>
      <c r="J252" t="str">
        <v>Architect</v>
      </c>
      <c r="K252">
        <v>2915</v>
      </c>
      <c r="L252" t="str">
        <v>Married</v>
      </c>
      <c r="M252">
        <v>2</v>
      </c>
    </row>
    <row r="253" spans="4:13" x14ac:dyDescent="0.25">
      <c r="D253" t="str">
        <v>Alfred</v>
      </c>
      <c r="E253" t="str">
        <v>Riley</v>
      </c>
      <c r="F253" t="str">
        <v>Alfred Riley</v>
      </c>
      <c r="G253" t="str">
        <v>Male</v>
      </c>
      <c r="H253">
        <v>48</v>
      </c>
      <c r="I253" t="str">
        <v>Middle Age</v>
      </c>
      <c r="J253" t="str">
        <v>Interior Designer</v>
      </c>
      <c r="K253">
        <v>4434</v>
      </c>
      <c r="L253" t="str">
        <v>Married</v>
      </c>
      <c r="M253">
        <v>2</v>
      </c>
    </row>
    <row r="254" spans="4:13" x14ac:dyDescent="0.25">
      <c r="D254" t="str">
        <v>Adison</v>
      </c>
      <c r="E254" t="str">
        <v>Bailey</v>
      </c>
      <c r="F254" t="str">
        <v>Adison Bailey</v>
      </c>
      <c r="G254" t="str">
        <v>Male</v>
      </c>
      <c r="H254">
        <v>32</v>
      </c>
      <c r="I254" t="str">
        <v>Middle Age</v>
      </c>
      <c r="J254" t="str">
        <v>Composer</v>
      </c>
      <c r="K254">
        <v>8239</v>
      </c>
      <c r="L254" t="str">
        <v>Married</v>
      </c>
      <c r="M254">
        <v>4</v>
      </c>
    </row>
    <row r="255" spans="4:13" x14ac:dyDescent="0.25">
      <c r="D255" t="str">
        <v>Owen</v>
      </c>
      <c r="E255" t="str">
        <v>Barrett</v>
      </c>
      <c r="F255" t="str">
        <v>Owen Barrett</v>
      </c>
      <c r="G255" t="str">
        <v>Male</v>
      </c>
      <c r="H255">
        <v>40</v>
      </c>
      <c r="I255" t="str">
        <v>Middle Age</v>
      </c>
      <c r="J255" t="str">
        <v>Geologist</v>
      </c>
      <c r="K255">
        <v>1173</v>
      </c>
      <c r="L255" t="str">
        <v>Married</v>
      </c>
      <c r="M255">
        <v>5</v>
      </c>
    </row>
    <row r="256" spans="4:13" x14ac:dyDescent="0.25">
      <c r="D256" t="str">
        <v>Antony</v>
      </c>
      <c r="E256" t="str">
        <v>West</v>
      </c>
      <c r="F256" t="str">
        <v>Antony West</v>
      </c>
      <c r="G256" t="str">
        <v>Male</v>
      </c>
      <c r="H256">
        <v>53</v>
      </c>
      <c r="I256" t="str">
        <v>Old</v>
      </c>
      <c r="J256" t="str">
        <v>Pharmacist</v>
      </c>
      <c r="K256">
        <v>2492</v>
      </c>
      <c r="L256" t="str">
        <v>Married</v>
      </c>
      <c r="M256">
        <v>1</v>
      </c>
    </row>
    <row r="257" spans="4:13" x14ac:dyDescent="0.25">
      <c r="D257" t="str">
        <v>Alford</v>
      </c>
      <c r="E257" t="str">
        <v>Hall</v>
      </c>
      <c r="F257" t="str">
        <v>Alford Hall</v>
      </c>
      <c r="G257" t="str">
        <v>Male</v>
      </c>
      <c r="H257">
        <v>58</v>
      </c>
      <c r="I257" t="str">
        <v>Old</v>
      </c>
      <c r="J257" t="str">
        <v>Historian</v>
      </c>
      <c r="K257">
        <v>5176</v>
      </c>
      <c r="L257" t="str">
        <v>Married</v>
      </c>
      <c r="M257">
        <v>1</v>
      </c>
    </row>
    <row r="258" spans="4:13" x14ac:dyDescent="0.25">
      <c r="D258" t="str">
        <v>Nicholas</v>
      </c>
      <c r="E258" t="str">
        <v>Warren</v>
      </c>
      <c r="F258" t="str">
        <v>Nicholas Warren</v>
      </c>
      <c r="G258" t="str">
        <v>Male</v>
      </c>
      <c r="H258">
        <v>54</v>
      </c>
      <c r="I258" t="str">
        <v>Old</v>
      </c>
      <c r="J258" t="str">
        <v>Baker</v>
      </c>
      <c r="K258">
        <v>1488</v>
      </c>
      <c r="L258" t="str">
        <v>Single</v>
      </c>
      <c r="M258">
        <v>5</v>
      </c>
    </row>
    <row r="259" spans="4:13" x14ac:dyDescent="0.25">
      <c r="D259" t="str">
        <v>William</v>
      </c>
      <c r="E259" t="str">
        <v>Carroll</v>
      </c>
      <c r="F259" t="str">
        <v>William Carroll</v>
      </c>
      <c r="G259" t="str">
        <v>Male</v>
      </c>
      <c r="H259">
        <v>42</v>
      </c>
      <c r="I259" t="str">
        <v>Middle Age</v>
      </c>
      <c r="J259" t="str">
        <v>Programmer</v>
      </c>
      <c r="K259">
        <v>6569</v>
      </c>
      <c r="L259" t="str">
        <v>Married</v>
      </c>
      <c r="M259">
        <v>5</v>
      </c>
    </row>
    <row r="260" spans="4:13" x14ac:dyDescent="0.25">
      <c r="D260" t="str">
        <v>Alfred</v>
      </c>
      <c r="E260" t="str">
        <v>Henderson</v>
      </c>
      <c r="F260" t="str">
        <v>Alfred Henderson</v>
      </c>
      <c r="G260" t="str">
        <v>Male</v>
      </c>
      <c r="H260">
        <v>47</v>
      </c>
      <c r="I260" t="str">
        <v>Middle Age</v>
      </c>
      <c r="J260" t="str">
        <v>Electrician</v>
      </c>
      <c r="K260">
        <v>3925</v>
      </c>
      <c r="L260" t="str">
        <v>Single</v>
      </c>
      <c r="M260">
        <v>0</v>
      </c>
    </row>
    <row r="261" spans="4:13" x14ac:dyDescent="0.25">
      <c r="D261" t="str">
        <v>Ryan</v>
      </c>
      <c r="E261" t="str">
        <v>Roberts</v>
      </c>
      <c r="F261" t="str">
        <v>Ryan Roberts</v>
      </c>
      <c r="G261" t="str">
        <v>Male</v>
      </c>
      <c r="H261">
        <v>32</v>
      </c>
      <c r="I261" t="str">
        <v>Middle Age</v>
      </c>
      <c r="J261" t="str">
        <v>Salesman</v>
      </c>
      <c r="K261">
        <v>5172</v>
      </c>
      <c r="L261" t="str">
        <v>Married</v>
      </c>
      <c r="M261">
        <v>5</v>
      </c>
    </row>
    <row r="262" spans="4:13" x14ac:dyDescent="0.25">
      <c r="D262" t="str">
        <v>Blake</v>
      </c>
      <c r="E262" t="str">
        <v>Morgan</v>
      </c>
      <c r="F262" t="str">
        <v>Blake Morgan</v>
      </c>
      <c r="G262" t="str">
        <v>Male</v>
      </c>
      <c r="H262">
        <v>42</v>
      </c>
      <c r="I262" t="str">
        <v>Middle Age</v>
      </c>
      <c r="J262" t="str">
        <v>Mathematician</v>
      </c>
      <c r="K262">
        <v>8359</v>
      </c>
      <c r="L262" t="str">
        <v>Single</v>
      </c>
      <c r="M262">
        <v>5</v>
      </c>
    </row>
    <row r="263" spans="4:13" x14ac:dyDescent="0.25">
      <c r="D263" t="str">
        <v>Alford</v>
      </c>
      <c r="E263" t="str">
        <v>Myers</v>
      </c>
      <c r="F263" t="str">
        <v>Alford Myers</v>
      </c>
      <c r="G263" t="str">
        <v>Male</v>
      </c>
      <c r="H263">
        <v>57</v>
      </c>
      <c r="I263" t="str">
        <v>Old</v>
      </c>
      <c r="J263" t="str">
        <v>Auditor</v>
      </c>
      <c r="K263">
        <v>1181</v>
      </c>
      <c r="L263" t="str">
        <v>Married</v>
      </c>
      <c r="M263">
        <v>0</v>
      </c>
    </row>
    <row r="264" spans="4:13" x14ac:dyDescent="0.25">
      <c r="D264" t="str">
        <v>Preston</v>
      </c>
      <c r="E264" t="str">
        <v>Mason</v>
      </c>
      <c r="F264" t="str">
        <v>Preston Mason</v>
      </c>
      <c r="G264" t="str">
        <v>Male</v>
      </c>
      <c r="H264">
        <v>38</v>
      </c>
      <c r="I264" t="str">
        <v>Middle Age</v>
      </c>
      <c r="J264" t="str">
        <v>Electrician</v>
      </c>
      <c r="K264">
        <v>4817</v>
      </c>
      <c r="L264" t="str">
        <v>Married</v>
      </c>
      <c r="M264">
        <v>0</v>
      </c>
    </row>
    <row r="265" spans="4:13" x14ac:dyDescent="0.25">
      <c r="D265" t="str">
        <v>Alexander</v>
      </c>
      <c r="E265" t="str">
        <v>Allen</v>
      </c>
      <c r="F265" t="str">
        <v>Alexander Allen</v>
      </c>
      <c r="G265" t="str">
        <v>Male</v>
      </c>
      <c r="H265">
        <v>47</v>
      </c>
      <c r="I265" t="str">
        <v>Middle Age</v>
      </c>
      <c r="J265" t="str">
        <v>Carpenter</v>
      </c>
      <c r="K265">
        <v>4877</v>
      </c>
      <c r="L265" t="str">
        <v>Single</v>
      </c>
      <c r="M265">
        <v>3</v>
      </c>
    </row>
    <row r="266" spans="4:13" x14ac:dyDescent="0.25">
      <c r="D266" t="str">
        <v>Reid</v>
      </c>
      <c r="E266" t="str">
        <v>West</v>
      </c>
      <c r="F266" t="str">
        <v>Reid West</v>
      </c>
      <c r="G266" t="str">
        <v>Male</v>
      </c>
      <c r="H266">
        <v>43</v>
      </c>
      <c r="I266" t="str">
        <v>Middle Age</v>
      </c>
      <c r="J266" t="str">
        <v>Archeologist</v>
      </c>
      <c r="K266">
        <v>6052</v>
      </c>
      <c r="L266" t="str">
        <v>Married</v>
      </c>
      <c r="M266">
        <v>5</v>
      </c>
    </row>
    <row r="267" spans="4:13" x14ac:dyDescent="0.25">
      <c r="D267" t="str">
        <v>Oliver</v>
      </c>
      <c r="E267" t="str">
        <v>Mitchell</v>
      </c>
      <c r="F267" t="str">
        <v>Oliver Mitchell</v>
      </c>
      <c r="G267" t="str">
        <v>Male</v>
      </c>
      <c r="H267">
        <v>35</v>
      </c>
      <c r="I267" t="str">
        <v>Middle Age</v>
      </c>
      <c r="J267" t="str">
        <v>Astronomer</v>
      </c>
      <c r="K267">
        <v>9621</v>
      </c>
      <c r="L267" t="str">
        <v>Married</v>
      </c>
      <c r="M267">
        <v>0</v>
      </c>
    </row>
    <row r="268" spans="4:13" x14ac:dyDescent="0.25">
      <c r="D268" t="str">
        <v>Edgar</v>
      </c>
      <c r="E268" t="str">
        <v>Carter</v>
      </c>
      <c r="F268" t="str">
        <v>Edgar Carter</v>
      </c>
      <c r="G268" t="str">
        <v>Male</v>
      </c>
      <c r="H268">
        <v>49</v>
      </c>
      <c r="I268" t="str">
        <v>Middle Age</v>
      </c>
      <c r="J268" t="str">
        <v>Journalist</v>
      </c>
      <c r="K268">
        <v>6984</v>
      </c>
      <c r="L268" t="str">
        <v>Single</v>
      </c>
      <c r="M268">
        <v>3</v>
      </c>
    </row>
    <row r="269" spans="4:13" x14ac:dyDescent="0.25">
      <c r="D269" t="str">
        <v>Garry</v>
      </c>
      <c r="E269" t="str">
        <v>Higgins</v>
      </c>
      <c r="F269" t="str">
        <v>Garry Higgins</v>
      </c>
      <c r="G269" t="str">
        <v>Male</v>
      </c>
      <c r="H269">
        <v>33</v>
      </c>
      <c r="I269" t="str">
        <v>Middle Age</v>
      </c>
      <c r="J269" t="str">
        <v>Driver</v>
      </c>
      <c r="K269">
        <v>1012</v>
      </c>
      <c r="L269" t="str">
        <v>Single</v>
      </c>
      <c r="M269">
        <v>3</v>
      </c>
    </row>
    <row r="270" spans="4:13" x14ac:dyDescent="0.25">
      <c r="D270" t="str">
        <v>Julian</v>
      </c>
      <c r="E270" t="str">
        <v>Reed</v>
      </c>
      <c r="F270" t="str">
        <v>Julian Reed</v>
      </c>
      <c r="G270" t="str">
        <v>Male</v>
      </c>
      <c r="H270">
        <v>41</v>
      </c>
      <c r="I270" t="str">
        <v>Middle Age</v>
      </c>
      <c r="J270" t="str">
        <v>Interpreter</v>
      </c>
      <c r="K270">
        <v>9971</v>
      </c>
      <c r="L270" t="str">
        <v>Married</v>
      </c>
      <c r="M270">
        <v>4</v>
      </c>
    </row>
    <row r="271" spans="4:13" x14ac:dyDescent="0.25">
      <c r="D271" t="str">
        <v>Byron</v>
      </c>
      <c r="E271" t="str">
        <v>Bennett</v>
      </c>
      <c r="F271" t="str">
        <v>Byron Bennett</v>
      </c>
      <c r="G271" t="str">
        <v>Male</v>
      </c>
      <c r="H271">
        <v>51</v>
      </c>
      <c r="I271" t="str">
        <v>Old</v>
      </c>
      <c r="J271" t="str">
        <v>Lecturer</v>
      </c>
      <c r="K271">
        <v>8075</v>
      </c>
      <c r="L271" t="str">
        <v>Single</v>
      </c>
      <c r="M271">
        <v>0</v>
      </c>
    </row>
    <row r="272" spans="4:13" x14ac:dyDescent="0.25">
      <c r="D272" t="str">
        <v>Spike</v>
      </c>
      <c r="E272" t="str">
        <v>Adams</v>
      </c>
      <c r="F272" t="str">
        <v>Spike Adams</v>
      </c>
      <c r="G272" t="str">
        <v>Male</v>
      </c>
      <c r="H272">
        <v>50</v>
      </c>
      <c r="I272" t="str">
        <v>Middle Age</v>
      </c>
      <c r="J272" t="str">
        <v>Lecturer</v>
      </c>
      <c r="K272">
        <v>4120</v>
      </c>
      <c r="L272" t="str">
        <v>Married</v>
      </c>
      <c r="M272">
        <v>4</v>
      </c>
    </row>
    <row r="273" spans="4:13" x14ac:dyDescent="0.25">
      <c r="D273" t="str">
        <v>Ryan</v>
      </c>
      <c r="E273" t="str">
        <v>Harrison</v>
      </c>
      <c r="F273" t="str">
        <v>Ryan Harrison</v>
      </c>
      <c r="G273" t="str">
        <v>Male</v>
      </c>
      <c r="H273">
        <v>50</v>
      </c>
      <c r="I273" t="str">
        <v>Middle Age</v>
      </c>
      <c r="J273" t="str">
        <v>Florist</v>
      </c>
      <c r="K273">
        <v>2287</v>
      </c>
      <c r="L273" t="str">
        <v>Married</v>
      </c>
      <c r="M273">
        <v>1</v>
      </c>
    </row>
    <row r="274" spans="4:13" x14ac:dyDescent="0.25">
      <c r="D274" t="str">
        <v>Jack</v>
      </c>
      <c r="E274" t="str">
        <v>Henderson</v>
      </c>
      <c r="F274" t="str">
        <v>Jack Henderson</v>
      </c>
      <c r="G274" t="str">
        <v>Male</v>
      </c>
      <c r="H274">
        <v>58</v>
      </c>
      <c r="I274" t="str">
        <v>Old</v>
      </c>
      <c r="J274" t="str">
        <v>Scientist</v>
      </c>
      <c r="K274">
        <v>7987</v>
      </c>
      <c r="L274" t="str">
        <v>Married</v>
      </c>
      <c r="M274">
        <v>3</v>
      </c>
    </row>
    <row r="275" spans="4:13" x14ac:dyDescent="0.25">
      <c r="D275" t="str">
        <v>Paul</v>
      </c>
      <c r="E275" t="str">
        <v>Sullivan</v>
      </c>
      <c r="F275" t="str">
        <v>Paul Sullivan</v>
      </c>
      <c r="G275" t="str">
        <v>Male</v>
      </c>
      <c r="H275">
        <v>51</v>
      </c>
      <c r="I275" t="str">
        <v>Old</v>
      </c>
      <c r="J275" t="str">
        <v>Actor</v>
      </c>
      <c r="K275">
        <v>3364</v>
      </c>
      <c r="L275" t="str">
        <v>Married</v>
      </c>
      <c r="M275">
        <v>0</v>
      </c>
    </row>
    <row r="276" spans="4:13" x14ac:dyDescent="0.25">
      <c r="D276" t="str">
        <v>Elian</v>
      </c>
      <c r="E276" t="str">
        <v>Riley</v>
      </c>
      <c r="F276" t="str">
        <v>Elian Riley</v>
      </c>
      <c r="G276" t="str">
        <v>Male</v>
      </c>
      <c r="H276">
        <v>50</v>
      </c>
      <c r="I276" t="str">
        <v>Middle Age</v>
      </c>
      <c r="J276" t="str">
        <v>Lawyer</v>
      </c>
      <c r="K276">
        <v>5999</v>
      </c>
      <c r="L276" t="str">
        <v>Married</v>
      </c>
      <c r="M276">
        <v>5</v>
      </c>
    </row>
    <row r="277" spans="4:13" x14ac:dyDescent="0.25">
      <c r="D277" t="str">
        <v>Henry</v>
      </c>
      <c r="E277" t="str">
        <v>Richardson</v>
      </c>
      <c r="F277" t="str">
        <v>Henry Richardson</v>
      </c>
      <c r="G277" t="str">
        <v>Male</v>
      </c>
      <c r="H277">
        <v>45</v>
      </c>
      <c r="I277" t="str">
        <v>Middle Age</v>
      </c>
      <c r="J277" t="str">
        <v>Graphic Designer</v>
      </c>
      <c r="K277">
        <v>3334</v>
      </c>
      <c r="L277" t="str">
        <v>Married</v>
      </c>
      <c r="M277">
        <v>2</v>
      </c>
    </row>
    <row r="278" spans="4:13" x14ac:dyDescent="0.25">
      <c r="D278" t="str">
        <v>Byron</v>
      </c>
      <c r="E278" t="str">
        <v>Casey</v>
      </c>
      <c r="F278" t="str">
        <v>Byron Casey</v>
      </c>
      <c r="G278" t="str">
        <v>Male</v>
      </c>
      <c r="H278">
        <v>57</v>
      </c>
      <c r="I278" t="str">
        <v>Old</v>
      </c>
      <c r="J278" t="str">
        <v>Biochemist</v>
      </c>
      <c r="K278">
        <v>2218</v>
      </c>
      <c r="L278" t="str">
        <v>Married</v>
      </c>
      <c r="M278">
        <v>5</v>
      </c>
    </row>
    <row r="279" spans="4:13" x14ac:dyDescent="0.25">
      <c r="D279" t="str">
        <v>Dominik</v>
      </c>
      <c r="E279" t="str">
        <v>Edwards</v>
      </c>
      <c r="F279" t="str">
        <v>Dominik Edwards</v>
      </c>
      <c r="G279" t="str">
        <v>Male</v>
      </c>
      <c r="H279">
        <v>59</v>
      </c>
      <c r="I279" t="str">
        <v>Old</v>
      </c>
      <c r="J279" t="str">
        <v>Producer</v>
      </c>
      <c r="K279">
        <v>6699</v>
      </c>
      <c r="L279" t="str">
        <v>Married</v>
      </c>
      <c r="M279">
        <v>1</v>
      </c>
    </row>
    <row r="280" spans="4:13" x14ac:dyDescent="0.25">
      <c r="D280" t="str">
        <v>Patrick</v>
      </c>
      <c r="E280" t="str">
        <v>Grant</v>
      </c>
      <c r="F280" t="str">
        <v>Patrick Grant</v>
      </c>
      <c r="G280" t="str">
        <v>Male</v>
      </c>
      <c r="H280">
        <v>59</v>
      </c>
      <c r="I280" t="str">
        <v>Old</v>
      </c>
      <c r="J280" t="str">
        <v>Salesman</v>
      </c>
      <c r="K280">
        <v>5102</v>
      </c>
      <c r="L280" t="str">
        <v>Single</v>
      </c>
      <c r="M280">
        <v>0</v>
      </c>
    </row>
    <row r="281" spans="4:13" x14ac:dyDescent="0.25">
      <c r="D281" t="str">
        <v>Michael</v>
      </c>
      <c r="E281" t="str">
        <v>Johnson</v>
      </c>
      <c r="F281" t="str">
        <v>Michael Johnson</v>
      </c>
      <c r="G281" t="str">
        <v>Male</v>
      </c>
      <c r="H281">
        <v>45</v>
      </c>
      <c r="I281" t="str">
        <v>Middle Age</v>
      </c>
      <c r="J281" t="str">
        <v>Lawyer</v>
      </c>
      <c r="K281">
        <v>5343</v>
      </c>
      <c r="L281" t="str">
        <v>Married</v>
      </c>
      <c r="M281">
        <v>5</v>
      </c>
    </row>
    <row r="282" spans="4:13" x14ac:dyDescent="0.25">
      <c r="D282" t="str">
        <v>George</v>
      </c>
      <c r="E282" t="str">
        <v>Tucker</v>
      </c>
      <c r="F282" t="str">
        <v>George Tucker</v>
      </c>
      <c r="G282" t="str">
        <v>Male</v>
      </c>
      <c r="H282">
        <v>39</v>
      </c>
      <c r="I282" t="str">
        <v>Middle Age</v>
      </c>
      <c r="J282" t="str">
        <v>Physicist</v>
      </c>
      <c r="K282">
        <v>918</v>
      </c>
      <c r="L282" t="str">
        <v>Married</v>
      </c>
      <c r="M282">
        <v>1</v>
      </c>
    </row>
    <row r="283" spans="4:13" x14ac:dyDescent="0.25">
      <c r="D283" t="str">
        <v>Daryl</v>
      </c>
      <c r="E283" t="str">
        <v>Carroll</v>
      </c>
      <c r="F283" t="str">
        <v>Daryl Carroll</v>
      </c>
      <c r="G283" t="str">
        <v>Male</v>
      </c>
      <c r="H283">
        <v>36</v>
      </c>
      <c r="I283" t="str">
        <v>Middle Age</v>
      </c>
      <c r="J283" t="str">
        <v>Geologist</v>
      </c>
      <c r="K283">
        <v>7866</v>
      </c>
      <c r="L283" t="str">
        <v>Married</v>
      </c>
      <c r="M283">
        <v>4</v>
      </c>
    </row>
    <row r="284" spans="4:13" x14ac:dyDescent="0.25">
      <c r="D284" t="str">
        <v>Kevin</v>
      </c>
      <c r="E284" t="str">
        <v>Grant</v>
      </c>
      <c r="F284" t="str">
        <v>Kevin Grant</v>
      </c>
      <c r="G284" t="str">
        <v>Male</v>
      </c>
      <c r="H284">
        <v>35</v>
      </c>
      <c r="I284" t="str">
        <v>Middle Age</v>
      </c>
      <c r="J284" t="str">
        <v>Composer</v>
      </c>
      <c r="K284">
        <v>7033</v>
      </c>
      <c r="L284" t="str">
        <v>Single</v>
      </c>
      <c r="M284">
        <v>2</v>
      </c>
    </row>
    <row r="285" spans="4:13" x14ac:dyDescent="0.25">
      <c r="D285" t="str">
        <v>Edwin</v>
      </c>
      <c r="E285" t="str">
        <v>Baker</v>
      </c>
      <c r="F285" t="str">
        <v>Edwin Baker</v>
      </c>
      <c r="G285" t="str">
        <v>Male</v>
      </c>
      <c r="H285">
        <v>55</v>
      </c>
      <c r="I285" t="str">
        <v>Old</v>
      </c>
      <c r="J285" t="str">
        <v>Physicist</v>
      </c>
      <c r="K285">
        <v>6182</v>
      </c>
      <c r="L285" t="str">
        <v>Married</v>
      </c>
      <c r="M285">
        <v>1</v>
      </c>
    </row>
    <row r="286" spans="4:13" x14ac:dyDescent="0.25">
      <c r="D286" t="str">
        <v>Adrian</v>
      </c>
      <c r="E286" t="str">
        <v>Ferguson</v>
      </c>
      <c r="F286" t="str">
        <v>Adrian Ferguson</v>
      </c>
      <c r="G286" t="str">
        <v>Male</v>
      </c>
      <c r="H286">
        <v>55</v>
      </c>
      <c r="I286" t="str">
        <v>Old</v>
      </c>
      <c r="J286" t="str">
        <v>Firefighter</v>
      </c>
      <c r="K286">
        <v>7993</v>
      </c>
      <c r="L286" t="str">
        <v>Single</v>
      </c>
      <c r="M286">
        <v>1</v>
      </c>
    </row>
    <row r="287" spans="4:13" x14ac:dyDescent="0.25">
      <c r="D287" t="str">
        <v>William</v>
      </c>
      <c r="E287" t="str">
        <v>Lloyd</v>
      </c>
      <c r="F287" t="str">
        <v>William Lloyd</v>
      </c>
      <c r="G287" t="str">
        <v>Male</v>
      </c>
      <c r="H287">
        <v>31</v>
      </c>
      <c r="I287" t="str">
        <v>Middle Age</v>
      </c>
      <c r="J287" t="str">
        <v>Geologist</v>
      </c>
      <c r="K287">
        <v>2151</v>
      </c>
      <c r="L287" t="str">
        <v>Married</v>
      </c>
      <c r="M287">
        <v>1</v>
      </c>
    </row>
    <row r="288" spans="4:13" x14ac:dyDescent="0.25">
      <c r="D288" t="str">
        <v>Ryan</v>
      </c>
      <c r="E288" t="str">
        <v>Phillips</v>
      </c>
      <c r="F288" t="str">
        <v>Ryan Phillips</v>
      </c>
      <c r="G288" t="str">
        <v>Male</v>
      </c>
      <c r="H288">
        <v>39</v>
      </c>
      <c r="I288" t="str">
        <v>Middle Age</v>
      </c>
      <c r="J288" t="str">
        <v>Meteorologist</v>
      </c>
      <c r="K288">
        <v>5222</v>
      </c>
      <c r="L288" t="str">
        <v>Single</v>
      </c>
      <c r="M288">
        <v>1</v>
      </c>
    </row>
    <row r="289" spans="4:13" x14ac:dyDescent="0.25">
      <c r="D289" t="str">
        <v>Freddie</v>
      </c>
      <c r="E289" t="str">
        <v>Warren</v>
      </c>
      <c r="F289" t="str">
        <v>Freddie Warren</v>
      </c>
      <c r="G289" t="str">
        <v>Male</v>
      </c>
      <c r="H289">
        <v>42</v>
      </c>
      <c r="I289" t="str">
        <v>Middle Age</v>
      </c>
      <c r="J289" t="str">
        <v>Insurer</v>
      </c>
      <c r="K289">
        <v>966</v>
      </c>
      <c r="L289" t="str">
        <v>Married</v>
      </c>
      <c r="M289">
        <v>4</v>
      </c>
    </row>
    <row r="290" spans="4:13" x14ac:dyDescent="0.25">
      <c r="D290" t="str">
        <v>Tony</v>
      </c>
      <c r="E290" t="str">
        <v>Carroll</v>
      </c>
      <c r="F290" t="str">
        <v>Tony Carroll</v>
      </c>
      <c r="G290" t="str">
        <v>Male</v>
      </c>
      <c r="H290">
        <v>35</v>
      </c>
      <c r="I290" t="str">
        <v>Middle Age</v>
      </c>
      <c r="J290" t="str">
        <v>Dancer</v>
      </c>
      <c r="K290">
        <v>3358</v>
      </c>
      <c r="L290" t="str">
        <v>Single</v>
      </c>
      <c r="M290">
        <v>4</v>
      </c>
    </row>
    <row r="291" spans="4:13" x14ac:dyDescent="0.25">
      <c r="D291" t="str">
        <v>Adrian</v>
      </c>
      <c r="E291" t="str">
        <v>Wilson</v>
      </c>
      <c r="F291" t="str">
        <v>Adrian Wilson</v>
      </c>
      <c r="G291" t="str">
        <v>Male</v>
      </c>
      <c r="H291">
        <v>32</v>
      </c>
      <c r="I291" t="str">
        <v>Middle Age</v>
      </c>
      <c r="J291" t="str">
        <v>Dancer</v>
      </c>
      <c r="K291">
        <v>7586</v>
      </c>
      <c r="L291" t="str">
        <v>Single</v>
      </c>
      <c r="M291">
        <v>5</v>
      </c>
    </row>
    <row r="292" spans="4:13" x14ac:dyDescent="0.25">
      <c r="D292" t="str">
        <v>Roland</v>
      </c>
      <c r="E292" t="str">
        <v>Taylor</v>
      </c>
      <c r="F292" t="str">
        <v>Roland Taylor</v>
      </c>
      <c r="G292" t="str">
        <v>Male</v>
      </c>
      <c r="H292">
        <v>51</v>
      </c>
      <c r="I292" t="str">
        <v>Old</v>
      </c>
      <c r="J292" t="str">
        <v>Meteorologist</v>
      </c>
      <c r="K292">
        <v>7352</v>
      </c>
      <c r="L292" t="str">
        <v>Married</v>
      </c>
      <c r="M292">
        <v>5</v>
      </c>
    </row>
    <row r="293" spans="4:13" x14ac:dyDescent="0.25">
      <c r="D293" t="str">
        <v>Charlie</v>
      </c>
      <c r="E293" t="str">
        <v>Wells</v>
      </c>
      <c r="F293" t="str">
        <v>Charlie Wells</v>
      </c>
      <c r="G293" t="str">
        <v>Male</v>
      </c>
      <c r="H293">
        <v>55</v>
      </c>
      <c r="I293" t="str">
        <v>Old</v>
      </c>
      <c r="J293" t="str">
        <v>Botanist</v>
      </c>
      <c r="K293">
        <v>4418</v>
      </c>
      <c r="L293" t="str">
        <v>Single</v>
      </c>
      <c r="M293">
        <v>3</v>
      </c>
    </row>
    <row r="294" spans="4:13" x14ac:dyDescent="0.25">
      <c r="D294" t="str">
        <v>Ryan</v>
      </c>
      <c r="E294" t="str">
        <v>Gibson</v>
      </c>
      <c r="F294" t="str">
        <v>Ryan Gibson</v>
      </c>
      <c r="G294" t="str">
        <v>Male</v>
      </c>
      <c r="H294">
        <v>59</v>
      </c>
      <c r="I294" t="str">
        <v>Old</v>
      </c>
      <c r="J294" t="str">
        <v>Veterinarian</v>
      </c>
      <c r="K294">
        <v>3181</v>
      </c>
      <c r="L294" t="str">
        <v>Married</v>
      </c>
      <c r="M294">
        <v>3</v>
      </c>
    </row>
    <row r="295" spans="4:13" x14ac:dyDescent="0.25">
      <c r="D295" t="str">
        <v>Clark</v>
      </c>
      <c r="E295" t="str">
        <v>Gibson</v>
      </c>
      <c r="F295" t="str">
        <v>Clark Gibson</v>
      </c>
      <c r="G295" t="str">
        <v>Male</v>
      </c>
      <c r="H295">
        <v>55</v>
      </c>
      <c r="I295" t="str">
        <v>Old</v>
      </c>
      <c r="J295" t="str">
        <v>Electrician</v>
      </c>
      <c r="K295">
        <v>739</v>
      </c>
      <c r="L295" t="str">
        <v>Married</v>
      </c>
      <c r="M295">
        <v>2</v>
      </c>
    </row>
    <row r="296" spans="4:13" x14ac:dyDescent="0.25">
      <c r="D296" t="str">
        <v>Marcus</v>
      </c>
      <c r="E296" t="str">
        <v>Nelson</v>
      </c>
      <c r="F296" t="str">
        <v>Marcus Nelson</v>
      </c>
      <c r="G296" t="str">
        <v>Male</v>
      </c>
      <c r="H296">
        <v>43</v>
      </c>
      <c r="I296" t="str">
        <v>Middle Age</v>
      </c>
      <c r="J296" t="str">
        <v>Archeologist</v>
      </c>
      <c r="K296">
        <v>9191</v>
      </c>
      <c r="L296" t="str">
        <v>Married</v>
      </c>
      <c r="M296">
        <v>1</v>
      </c>
    </row>
    <row r="297" spans="4:13" x14ac:dyDescent="0.25">
      <c r="D297" t="str">
        <v>Alen</v>
      </c>
      <c r="E297" t="str">
        <v>Carroll</v>
      </c>
      <c r="F297" t="str">
        <v>Alen Carroll</v>
      </c>
      <c r="G297" t="str">
        <v>Male</v>
      </c>
      <c r="H297">
        <v>51</v>
      </c>
      <c r="I297" t="str">
        <v>Old</v>
      </c>
      <c r="J297" t="str">
        <v>Chef</v>
      </c>
      <c r="K297">
        <v>3573</v>
      </c>
      <c r="L297" t="str">
        <v>Single</v>
      </c>
      <c r="M297">
        <v>0</v>
      </c>
    </row>
    <row r="298" spans="4:13" x14ac:dyDescent="0.25">
      <c r="D298" t="str">
        <v>Frederick</v>
      </c>
      <c r="E298" t="str">
        <v>Ryan</v>
      </c>
      <c r="F298" t="str">
        <v>Frederick Ryan</v>
      </c>
      <c r="G298" t="str">
        <v>Male</v>
      </c>
      <c r="H298">
        <v>56</v>
      </c>
      <c r="I298" t="str">
        <v>Old</v>
      </c>
      <c r="J298" t="str">
        <v>Fashion Designer</v>
      </c>
      <c r="K298">
        <v>6234</v>
      </c>
      <c r="L298" t="str">
        <v>Married</v>
      </c>
      <c r="M298">
        <v>1</v>
      </c>
    </row>
    <row r="299" spans="4:13" x14ac:dyDescent="0.25">
      <c r="D299" t="str">
        <v>Garry</v>
      </c>
      <c r="E299" t="str">
        <v>Turner</v>
      </c>
      <c r="F299" t="str">
        <v>Garry Turner</v>
      </c>
      <c r="G299" t="str">
        <v>Male</v>
      </c>
      <c r="H299">
        <v>45</v>
      </c>
      <c r="I299" t="str">
        <v>Middle Age</v>
      </c>
      <c r="J299" t="str">
        <v>Chemist</v>
      </c>
      <c r="K299">
        <v>6702</v>
      </c>
      <c r="L299" t="str">
        <v>Married</v>
      </c>
      <c r="M299">
        <v>4</v>
      </c>
    </row>
    <row r="300" spans="4:13" x14ac:dyDescent="0.25">
      <c r="D300" t="str">
        <v>Chester</v>
      </c>
      <c r="E300" t="str">
        <v>Ryan</v>
      </c>
      <c r="F300" t="str">
        <v>Chester Ryan</v>
      </c>
      <c r="G300" t="str">
        <v>Male</v>
      </c>
      <c r="H300">
        <v>55</v>
      </c>
      <c r="I300" t="str">
        <v>Old</v>
      </c>
      <c r="J300" t="str">
        <v>Florist</v>
      </c>
      <c r="K300">
        <v>3976</v>
      </c>
      <c r="L300" t="str">
        <v>Married</v>
      </c>
      <c r="M300">
        <v>3</v>
      </c>
    </row>
    <row r="301" spans="4:13" x14ac:dyDescent="0.25">
      <c r="D301" t="str">
        <v>Justin</v>
      </c>
      <c r="E301" t="str">
        <v>Cole</v>
      </c>
      <c r="F301" t="str">
        <v>Justin Cole</v>
      </c>
      <c r="G301" t="str">
        <v>Male</v>
      </c>
      <c r="H301">
        <v>56</v>
      </c>
      <c r="I301" t="str">
        <v>Old</v>
      </c>
      <c r="J301" t="str">
        <v>Accountant</v>
      </c>
      <c r="K301">
        <v>8853</v>
      </c>
      <c r="L301" t="str">
        <v>Single</v>
      </c>
      <c r="M301">
        <v>3</v>
      </c>
    </row>
    <row r="302" spans="4:13" x14ac:dyDescent="0.25">
      <c r="D302" t="str">
        <v>Ned</v>
      </c>
      <c r="E302" t="str">
        <v>Thompson</v>
      </c>
      <c r="F302" t="str">
        <v>Ned Thompson</v>
      </c>
      <c r="G302" t="str">
        <v>Male</v>
      </c>
      <c r="H302">
        <v>34</v>
      </c>
      <c r="I302" t="str">
        <v>Middle Age</v>
      </c>
      <c r="J302" t="str">
        <v>Agronomist</v>
      </c>
      <c r="K302">
        <v>8227</v>
      </c>
      <c r="L302" t="str">
        <v>Married</v>
      </c>
      <c r="M302">
        <v>4</v>
      </c>
    </row>
    <row r="303" spans="4:13" x14ac:dyDescent="0.25">
      <c r="D303" t="str">
        <v>Clark</v>
      </c>
      <c r="E303" t="str">
        <v>Stewart</v>
      </c>
      <c r="F303" t="str">
        <v>Clark Stewart</v>
      </c>
      <c r="G303" t="str">
        <v>Male</v>
      </c>
      <c r="H303">
        <v>45</v>
      </c>
      <c r="I303" t="str">
        <v>Middle Age</v>
      </c>
      <c r="J303" t="str">
        <v>Mechanic</v>
      </c>
      <c r="K303">
        <v>6553</v>
      </c>
      <c r="L303" t="str">
        <v>Married</v>
      </c>
      <c r="M303">
        <v>4</v>
      </c>
    </row>
    <row r="304" spans="4:13" x14ac:dyDescent="0.25">
      <c r="D304" t="str">
        <v>Vincent</v>
      </c>
      <c r="E304" t="str">
        <v>Montgomery</v>
      </c>
      <c r="F304" t="str">
        <v>Vincent Montgomery</v>
      </c>
      <c r="G304" t="str">
        <v>Male</v>
      </c>
      <c r="H304">
        <v>39</v>
      </c>
      <c r="I304" t="str">
        <v>Middle Age</v>
      </c>
      <c r="J304" t="str">
        <v>Composer</v>
      </c>
      <c r="K304">
        <v>1665</v>
      </c>
      <c r="L304" t="str">
        <v>Married</v>
      </c>
      <c r="M304">
        <v>0</v>
      </c>
    </row>
    <row r="305" spans="4:13" x14ac:dyDescent="0.25">
      <c r="D305" t="str">
        <v>Alford</v>
      </c>
      <c r="E305" t="str">
        <v>Mason</v>
      </c>
      <c r="F305" t="str">
        <v>Alford Mason</v>
      </c>
      <c r="G305" t="str">
        <v>Male</v>
      </c>
      <c r="H305">
        <v>54</v>
      </c>
      <c r="I305" t="str">
        <v>Old</v>
      </c>
      <c r="J305" t="str">
        <v>Producer</v>
      </c>
      <c r="K305">
        <v>3509</v>
      </c>
      <c r="L305" t="str">
        <v>Married</v>
      </c>
      <c r="M305">
        <v>4</v>
      </c>
    </row>
    <row r="306" spans="4:13" x14ac:dyDescent="0.25">
      <c r="D306" t="str">
        <v>Edward</v>
      </c>
      <c r="E306" t="str">
        <v>Elliott</v>
      </c>
      <c r="F306" t="str">
        <v>Edward Elliott</v>
      </c>
      <c r="G306" t="str">
        <v>Male</v>
      </c>
      <c r="H306">
        <v>59</v>
      </c>
      <c r="I306" t="str">
        <v>Old</v>
      </c>
      <c r="J306" t="str">
        <v>Hairdresser</v>
      </c>
      <c r="K306">
        <v>1574</v>
      </c>
      <c r="L306" t="str">
        <v>Married</v>
      </c>
      <c r="M306">
        <v>3</v>
      </c>
    </row>
    <row r="307" spans="4:13" x14ac:dyDescent="0.25">
      <c r="D307" t="str">
        <v>Roman</v>
      </c>
      <c r="E307" t="str">
        <v>Foster</v>
      </c>
      <c r="F307" t="str">
        <v>Roman Foster</v>
      </c>
      <c r="G307" t="str">
        <v>Male</v>
      </c>
      <c r="H307">
        <v>33</v>
      </c>
      <c r="I307" t="str">
        <v>Middle Age</v>
      </c>
      <c r="J307" t="str">
        <v>Lecturer</v>
      </c>
      <c r="K307">
        <v>4644</v>
      </c>
      <c r="L307" t="str">
        <v>Single</v>
      </c>
      <c r="M307">
        <v>0</v>
      </c>
    </row>
    <row r="308" spans="4:13" x14ac:dyDescent="0.25">
      <c r="D308" t="str">
        <v>Harold</v>
      </c>
      <c r="E308" t="str">
        <v>Barnes</v>
      </c>
      <c r="F308" t="str">
        <v>Harold Barnes</v>
      </c>
      <c r="G308" t="str">
        <v>Male</v>
      </c>
      <c r="H308">
        <v>50</v>
      </c>
      <c r="I308" t="str">
        <v>Middle Age</v>
      </c>
      <c r="J308" t="str">
        <v>Lecturer</v>
      </c>
      <c r="K308">
        <v>8282</v>
      </c>
      <c r="L308" t="str">
        <v>Married</v>
      </c>
      <c r="M308">
        <v>0</v>
      </c>
    </row>
    <row r="309" spans="4:13" x14ac:dyDescent="0.25">
      <c r="D309" t="str">
        <v>Thomas</v>
      </c>
      <c r="E309" t="str">
        <v>Wilson</v>
      </c>
      <c r="F309" t="str">
        <v>Thomas Wilson</v>
      </c>
      <c r="G309" t="str">
        <v>Male</v>
      </c>
      <c r="H309">
        <v>47</v>
      </c>
      <c r="I309" t="str">
        <v>Middle Age</v>
      </c>
      <c r="J309" t="str">
        <v>Salesman</v>
      </c>
      <c r="K309">
        <v>4959</v>
      </c>
      <c r="L309" t="str">
        <v>Married</v>
      </c>
      <c r="M309">
        <v>4</v>
      </c>
    </row>
    <row r="310" spans="4:13" x14ac:dyDescent="0.25">
      <c r="D310" t="str">
        <v>Edward</v>
      </c>
      <c r="E310" t="str">
        <v>Kelly</v>
      </c>
      <c r="F310" t="str">
        <v>Edward Kelly</v>
      </c>
      <c r="G310" t="str">
        <v>Male</v>
      </c>
      <c r="H310">
        <v>50</v>
      </c>
      <c r="I310" t="str">
        <v>Middle Age</v>
      </c>
      <c r="J310" t="str">
        <v>Dancer</v>
      </c>
      <c r="K310">
        <v>8757</v>
      </c>
      <c r="L310" t="str">
        <v>Single</v>
      </c>
      <c r="M310">
        <v>3</v>
      </c>
    </row>
    <row r="311" spans="4:13" x14ac:dyDescent="0.25">
      <c r="D311" t="str">
        <v>Martin</v>
      </c>
      <c r="E311" t="str">
        <v>Chapman</v>
      </c>
      <c r="F311" t="str">
        <v>Martin Chapman</v>
      </c>
      <c r="G311" t="str">
        <v>Male</v>
      </c>
      <c r="H311">
        <v>42</v>
      </c>
      <c r="I311" t="str">
        <v>Middle Age</v>
      </c>
      <c r="J311" t="str">
        <v>Programmer</v>
      </c>
      <c r="K311">
        <v>4247</v>
      </c>
      <c r="L311" t="str">
        <v>Married</v>
      </c>
      <c r="M311">
        <v>0</v>
      </c>
    </row>
    <row r="312" spans="4:13" x14ac:dyDescent="0.25">
      <c r="D312" t="str">
        <v>Arnold</v>
      </c>
      <c r="E312" t="str">
        <v>Robinson</v>
      </c>
      <c r="F312" t="str">
        <v>Arnold Robinson</v>
      </c>
      <c r="G312" t="str">
        <v>Male</v>
      </c>
      <c r="H312">
        <v>39</v>
      </c>
      <c r="I312" t="str">
        <v>Middle Age</v>
      </c>
      <c r="J312" t="str">
        <v>Social Worker</v>
      </c>
      <c r="K312">
        <v>7820</v>
      </c>
      <c r="L312" t="str">
        <v>Single</v>
      </c>
      <c r="M312">
        <v>1</v>
      </c>
    </row>
    <row r="313" spans="4:13" x14ac:dyDescent="0.25">
      <c r="D313" t="str">
        <v>James</v>
      </c>
      <c r="E313" t="str">
        <v>Johnston</v>
      </c>
      <c r="F313" t="str">
        <v>James Johnston</v>
      </c>
      <c r="G313" t="str">
        <v>Male</v>
      </c>
      <c r="H313">
        <v>41</v>
      </c>
      <c r="I313" t="str">
        <v>Middle Age</v>
      </c>
      <c r="J313" t="str">
        <v>Geologist</v>
      </c>
      <c r="K313">
        <v>7048</v>
      </c>
      <c r="L313" t="str">
        <v>Single</v>
      </c>
      <c r="M313">
        <v>5</v>
      </c>
    </row>
    <row r="314" spans="4:13" x14ac:dyDescent="0.25">
      <c r="D314" t="str">
        <v>Oliver</v>
      </c>
      <c r="E314" t="str">
        <v>Robinson</v>
      </c>
      <c r="F314" t="str">
        <v>Oliver Robinson</v>
      </c>
      <c r="G314" t="str">
        <v>Male</v>
      </c>
      <c r="H314">
        <v>60</v>
      </c>
      <c r="I314" t="str">
        <v>Old</v>
      </c>
      <c r="J314" t="str">
        <v>Carpenter</v>
      </c>
      <c r="K314">
        <v>2607</v>
      </c>
      <c r="L314" t="str">
        <v>Single</v>
      </c>
      <c r="M314">
        <v>0</v>
      </c>
    </row>
    <row r="315" spans="4:13" x14ac:dyDescent="0.25">
      <c r="D315" t="str">
        <v>Aiden</v>
      </c>
      <c r="E315" t="str">
        <v>Cameron</v>
      </c>
      <c r="F315" t="str">
        <v>Aiden Cameron</v>
      </c>
      <c r="G315" t="str">
        <v>Male</v>
      </c>
      <c r="H315">
        <v>60</v>
      </c>
      <c r="I315" t="str">
        <v>Old</v>
      </c>
      <c r="J315" t="str">
        <v>Engineer</v>
      </c>
      <c r="K315">
        <v>9242</v>
      </c>
      <c r="L315" t="str">
        <v>Single</v>
      </c>
      <c r="M315">
        <v>3</v>
      </c>
    </row>
    <row r="316" spans="4:13" x14ac:dyDescent="0.25">
      <c r="D316" t="str">
        <v>John</v>
      </c>
      <c r="E316" t="str">
        <v>Mason</v>
      </c>
      <c r="F316" t="str">
        <v>John Mason</v>
      </c>
      <c r="G316" t="str">
        <v>Male</v>
      </c>
      <c r="H316">
        <v>37</v>
      </c>
      <c r="I316" t="str">
        <v>Middle Age</v>
      </c>
      <c r="J316" t="str">
        <v>Insurer</v>
      </c>
      <c r="K316">
        <v>8788</v>
      </c>
      <c r="L316" t="str">
        <v>Married</v>
      </c>
      <c r="M316">
        <v>4</v>
      </c>
    </row>
    <row r="317" spans="4:13" x14ac:dyDescent="0.25">
      <c r="D317" t="str">
        <v>Justin</v>
      </c>
      <c r="E317" t="str">
        <v>Perry</v>
      </c>
      <c r="F317" t="str">
        <v>Justin Perry</v>
      </c>
      <c r="G317" t="str">
        <v>Male</v>
      </c>
      <c r="H317">
        <v>37</v>
      </c>
      <c r="I317" t="str">
        <v>Middle Age</v>
      </c>
      <c r="J317" t="str">
        <v>Economist</v>
      </c>
      <c r="K317">
        <v>4058</v>
      </c>
      <c r="L317" t="str">
        <v>Single</v>
      </c>
      <c r="M317">
        <v>0</v>
      </c>
    </row>
    <row r="318" spans="4:13" x14ac:dyDescent="0.25">
      <c r="D318" t="str">
        <v>Arnold</v>
      </c>
      <c r="E318" t="str">
        <v>Barnes</v>
      </c>
      <c r="F318" t="str">
        <v>Arnold Barnes</v>
      </c>
      <c r="G318" t="str">
        <v>Male</v>
      </c>
      <c r="H318">
        <v>50</v>
      </c>
      <c r="I318" t="str">
        <v>Middle Age</v>
      </c>
      <c r="J318" t="str">
        <v>Driver</v>
      </c>
      <c r="K318">
        <v>9834</v>
      </c>
      <c r="L318" t="str">
        <v>Single</v>
      </c>
      <c r="M318">
        <v>2</v>
      </c>
    </row>
    <row r="319" spans="4:13" x14ac:dyDescent="0.25">
      <c r="D319" t="str">
        <v>Jack</v>
      </c>
      <c r="E319" t="str">
        <v>Robinson</v>
      </c>
      <c r="F319" t="str">
        <v>Jack Robinson</v>
      </c>
      <c r="G319" t="str">
        <v>Male</v>
      </c>
      <c r="H319">
        <v>55</v>
      </c>
      <c r="I319" t="str">
        <v>Old</v>
      </c>
      <c r="J319" t="str">
        <v>Meteorologist</v>
      </c>
      <c r="K319">
        <v>2693</v>
      </c>
      <c r="L319" t="str">
        <v>Single</v>
      </c>
      <c r="M319">
        <v>4</v>
      </c>
    </row>
    <row r="320" spans="4:13" x14ac:dyDescent="0.25">
      <c r="D320" t="str">
        <v>Alford</v>
      </c>
      <c r="E320" t="str">
        <v>Hamilton</v>
      </c>
      <c r="F320" t="str">
        <v>Alford Hamilton</v>
      </c>
      <c r="G320" t="str">
        <v>Male</v>
      </c>
      <c r="H320">
        <v>36</v>
      </c>
      <c r="I320" t="str">
        <v>Middle Age</v>
      </c>
      <c r="J320" t="str">
        <v>Jeweller</v>
      </c>
      <c r="K320">
        <v>5829</v>
      </c>
      <c r="L320" t="str">
        <v>Married</v>
      </c>
      <c r="M320">
        <v>5</v>
      </c>
    </row>
    <row r="321" spans="4:13" x14ac:dyDescent="0.25">
      <c r="D321" t="str">
        <v>Jordan</v>
      </c>
      <c r="E321" t="str">
        <v>Allen</v>
      </c>
      <c r="F321" t="str">
        <v>Jordan Allen</v>
      </c>
      <c r="G321" t="str">
        <v>Male</v>
      </c>
      <c r="H321">
        <v>56</v>
      </c>
      <c r="I321" t="str">
        <v>Old</v>
      </c>
      <c r="J321" t="str">
        <v>Composer</v>
      </c>
      <c r="K321">
        <v>5825</v>
      </c>
      <c r="L321" t="str">
        <v>Single</v>
      </c>
      <c r="M321">
        <v>1</v>
      </c>
    </row>
    <row r="322" spans="4:13" x14ac:dyDescent="0.25">
      <c r="D322" t="str">
        <v>Bruce</v>
      </c>
      <c r="E322" t="str">
        <v>Wright</v>
      </c>
      <c r="F322" t="str">
        <v>Bruce Wright</v>
      </c>
      <c r="G322" t="str">
        <v>Male</v>
      </c>
      <c r="H322">
        <v>32</v>
      </c>
      <c r="I322" t="str">
        <v>Middle Age</v>
      </c>
      <c r="J322" t="str">
        <v>Meteorologist</v>
      </c>
      <c r="K322">
        <v>8829</v>
      </c>
      <c r="L322" t="str">
        <v>Single</v>
      </c>
      <c r="M322">
        <v>3</v>
      </c>
    </row>
    <row r="323" spans="4:13" x14ac:dyDescent="0.25">
      <c r="D323" t="str">
        <v>Jared</v>
      </c>
      <c r="E323" t="str">
        <v>Barnes</v>
      </c>
      <c r="F323" t="str">
        <v>Jared Barnes</v>
      </c>
      <c r="G323" t="str">
        <v>Male</v>
      </c>
      <c r="H323">
        <v>46</v>
      </c>
      <c r="I323" t="str">
        <v>Middle Age</v>
      </c>
      <c r="J323" t="str">
        <v>Fine Artist</v>
      </c>
      <c r="K323">
        <v>6678</v>
      </c>
      <c r="L323" t="str">
        <v>Single</v>
      </c>
      <c r="M323">
        <v>0</v>
      </c>
    </row>
    <row r="324" spans="4:13" x14ac:dyDescent="0.25">
      <c r="D324" t="str">
        <v>Arthur</v>
      </c>
      <c r="E324" t="str">
        <v>Smith</v>
      </c>
      <c r="F324" t="str">
        <v>Arthur Smith</v>
      </c>
      <c r="G324" t="str">
        <v>Male</v>
      </c>
      <c r="H324">
        <v>57</v>
      </c>
      <c r="I324" t="str">
        <v>Old</v>
      </c>
      <c r="J324" t="str">
        <v>Singer</v>
      </c>
      <c r="K324">
        <v>2395</v>
      </c>
      <c r="L324" t="str">
        <v>Married</v>
      </c>
      <c r="M324">
        <v>1</v>
      </c>
    </row>
    <row r="325" spans="4:13" x14ac:dyDescent="0.25">
      <c r="D325" t="str">
        <v>Mike</v>
      </c>
      <c r="E325" t="str">
        <v>Miller</v>
      </c>
      <c r="F325" t="str">
        <v>Mike Miller</v>
      </c>
      <c r="G325" t="str">
        <v>Male</v>
      </c>
      <c r="H325">
        <v>58</v>
      </c>
      <c r="I325" t="str">
        <v>Old</v>
      </c>
      <c r="J325" t="str">
        <v>Florist</v>
      </c>
      <c r="K325">
        <v>6952</v>
      </c>
      <c r="L325" t="str">
        <v>Married</v>
      </c>
      <c r="M325">
        <v>3</v>
      </c>
    </row>
    <row r="326" spans="4:13" x14ac:dyDescent="0.25">
      <c r="D326" t="str">
        <v>Chester</v>
      </c>
      <c r="E326" t="str">
        <v>Smith</v>
      </c>
      <c r="F326" t="str">
        <v>Chester Smith</v>
      </c>
      <c r="G326" t="str">
        <v>Male</v>
      </c>
      <c r="H326">
        <v>47</v>
      </c>
      <c r="I326" t="str">
        <v>Middle Age</v>
      </c>
      <c r="J326" t="str">
        <v>Photographer</v>
      </c>
      <c r="K326">
        <v>8464</v>
      </c>
      <c r="L326" t="str">
        <v>Married</v>
      </c>
      <c r="M326">
        <v>0</v>
      </c>
    </row>
    <row r="327" spans="4:13" x14ac:dyDescent="0.25">
      <c r="D327" t="str">
        <v>Thomas</v>
      </c>
      <c r="E327" t="str">
        <v>Chapman</v>
      </c>
      <c r="F327" t="str">
        <v>Thomas Chapman</v>
      </c>
      <c r="G327" t="str">
        <v>Male</v>
      </c>
      <c r="H327">
        <v>34</v>
      </c>
      <c r="I327" t="str">
        <v>Middle Age</v>
      </c>
      <c r="J327" t="str">
        <v>Journalist</v>
      </c>
      <c r="K327">
        <v>3115</v>
      </c>
      <c r="L327" t="str">
        <v>Single</v>
      </c>
      <c r="M327">
        <v>1</v>
      </c>
    </row>
    <row r="328" spans="4:13" x14ac:dyDescent="0.25">
      <c r="D328" t="str">
        <v>Arnold</v>
      </c>
      <c r="E328" t="str">
        <v>Johnston</v>
      </c>
      <c r="F328" t="str">
        <v>Arnold Johnston</v>
      </c>
      <c r="G328" t="str">
        <v>Male</v>
      </c>
      <c r="H328">
        <v>41</v>
      </c>
      <c r="I328" t="str">
        <v>Middle Age</v>
      </c>
      <c r="J328" t="str">
        <v>Singer</v>
      </c>
      <c r="K328">
        <v>9251</v>
      </c>
      <c r="L328" t="str">
        <v>Single</v>
      </c>
      <c r="M328">
        <v>0</v>
      </c>
    </row>
    <row r="329" spans="4:13" x14ac:dyDescent="0.25">
      <c r="D329" t="str">
        <v>Lyndon</v>
      </c>
      <c r="E329" t="str">
        <v>Murphy</v>
      </c>
      <c r="F329" t="str">
        <v>Lyndon Murphy</v>
      </c>
      <c r="G329" t="str">
        <v>Male</v>
      </c>
      <c r="H329">
        <v>56</v>
      </c>
      <c r="I329" t="str">
        <v>Old</v>
      </c>
      <c r="J329" t="str">
        <v>Singer</v>
      </c>
      <c r="K329">
        <v>4182</v>
      </c>
      <c r="L329" t="str">
        <v>Single</v>
      </c>
      <c r="M329">
        <v>5</v>
      </c>
    </row>
    <row r="330" spans="4:13" x14ac:dyDescent="0.25">
      <c r="D330" t="str">
        <v>Lyndon</v>
      </c>
      <c r="E330" t="str">
        <v>Fowler</v>
      </c>
      <c r="F330" t="str">
        <v>Lyndon Fowler</v>
      </c>
      <c r="G330" t="str">
        <v>Male</v>
      </c>
      <c r="H330">
        <v>49</v>
      </c>
      <c r="I330" t="str">
        <v>Middle Age</v>
      </c>
      <c r="J330" t="str">
        <v>Chemist</v>
      </c>
      <c r="K330">
        <v>9740</v>
      </c>
      <c r="L330" t="str">
        <v>Single</v>
      </c>
      <c r="M330">
        <v>1</v>
      </c>
    </row>
    <row r="331" spans="4:13" x14ac:dyDescent="0.25">
      <c r="D331" t="str">
        <v>Frederick</v>
      </c>
      <c r="E331" t="str">
        <v>Craig</v>
      </c>
      <c r="F331" t="str">
        <v>Frederick Craig</v>
      </c>
      <c r="G331" t="str">
        <v>Male</v>
      </c>
      <c r="H331">
        <v>49</v>
      </c>
      <c r="I331" t="str">
        <v>Middle Age</v>
      </c>
      <c r="J331" t="str">
        <v>Fashion Designer</v>
      </c>
      <c r="K331">
        <v>2538</v>
      </c>
      <c r="L331" t="str">
        <v>Married</v>
      </c>
      <c r="M331">
        <v>1</v>
      </c>
    </row>
    <row r="332" spans="4:13" x14ac:dyDescent="0.25">
      <c r="D332" t="str">
        <v>Ryan</v>
      </c>
      <c r="E332" t="str">
        <v>Bennett</v>
      </c>
      <c r="F332" t="str">
        <v>Ryan Bennett</v>
      </c>
      <c r="G332" t="str">
        <v>Male</v>
      </c>
      <c r="H332">
        <v>51</v>
      </c>
      <c r="I332" t="str">
        <v>Old</v>
      </c>
      <c r="J332" t="str">
        <v>Aeroplane Pilot</v>
      </c>
      <c r="K332">
        <v>8998</v>
      </c>
      <c r="L332" t="str">
        <v>Married</v>
      </c>
      <c r="M332">
        <v>0</v>
      </c>
    </row>
    <row r="333" spans="4:13" x14ac:dyDescent="0.25">
      <c r="D333" t="str">
        <v>Aiden</v>
      </c>
      <c r="E333" t="str">
        <v>Nelson</v>
      </c>
      <c r="F333" t="str">
        <v>Aiden Nelson</v>
      </c>
      <c r="G333" t="str">
        <v>Male</v>
      </c>
      <c r="H333">
        <v>45</v>
      </c>
      <c r="I333" t="str">
        <v>Middle Age</v>
      </c>
      <c r="J333" t="str">
        <v>Interpreter</v>
      </c>
      <c r="K333">
        <v>7865</v>
      </c>
      <c r="L333" t="str">
        <v>Single</v>
      </c>
      <c r="M333">
        <v>2</v>
      </c>
    </row>
    <row r="334" spans="4:13" x14ac:dyDescent="0.25">
      <c r="D334" t="str">
        <v>Byron</v>
      </c>
      <c r="E334" t="str">
        <v>Tucker</v>
      </c>
      <c r="F334" t="str">
        <v>Byron Tucker</v>
      </c>
      <c r="G334" t="str">
        <v>Male</v>
      </c>
      <c r="H334">
        <v>37</v>
      </c>
      <c r="I334" t="str">
        <v>Middle Age</v>
      </c>
      <c r="J334" t="str">
        <v>Biochemist</v>
      </c>
      <c r="K334">
        <v>5054</v>
      </c>
      <c r="L334" t="str">
        <v>Married</v>
      </c>
      <c r="M334">
        <v>5</v>
      </c>
    </row>
    <row r="335" spans="4:13" x14ac:dyDescent="0.25">
      <c r="D335" t="str">
        <v>Eddy</v>
      </c>
      <c r="E335" t="str">
        <v>Hamilton</v>
      </c>
      <c r="F335" t="str">
        <v>Eddy Hamilton</v>
      </c>
      <c r="G335" t="str">
        <v>Male</v>
      </c>
      <c r="H335">
        <v>58</v>
      </c>
      <c r="I335" t="str">
        <v>Old</v>
      </c>
      <c r="J335" t="str">
        <v>Salesman</v>
      </c>
      <c r="K335">
        <v>8153</v>
      </c>
      <c r="L335" t="str">
        <v>Married</v>
      </c>
      <c r="M335">
        <v>4</v>
      </c>
    </row>
    <row r="336" spans="4:13" x14ac:dyDescent="0.25">
      <c r="D336" t="str">
        <v>William</v>
      </c>
      <c r="E336" t="str">
        <v>Brown</v>
      </c>
      <c r="F336" t="str">
        <v>William Brown</v>
      </c>
      <c r="G336" t="str">
        <v>Male</v>
      </c>
      <c r="H336">
        <v>49</v>
      </c>
      <c r="I336" t="str">
        <v>Middle Age</v>
      </c>
      <c r="J336" t="str">
        <v>Astronomer</v>
      </c>
      <c r="K336">
        <v>3559</v>
      </c>
      <c r="L336" t="str">
        <v>Single</v>
      </c>
      <c r="M336">
        <v>5</v>
      </c>
    </row>
    <row r="337" spans="4:13" x14ac:dyDescent="0.25">
      <c r="D337" t="str">
        <v>Kellan</v>
      </c>
      <c r="E337" t="str">
        <v>Crawford</v>
      </c>
      <c r="F337" t="str">
        <v>Kellan Crawford</v>
      </c>
      <c r="G337" t="str">
        <v>Male</v>
      </c>
      <c r="H337">
        <v>47</v>
      </c>
      <c r="I337" t="str">
        <v>Middle Age</v>
      </c>
      <c r="J337" t="str">
        <v>Economist</v>
      </c>
      <c r="K337">
        <v>2901</v>
      </c>
      <c r="L337" t="str">
        <v>Single</v>
      </c>
      <c r="M337">
        <v>1</v>
      </c>
    </row>
    <row r="338" spans="4:13" x14ac:dyDescent="0.25">
      <c r="D338" t="str">
        <v>James</v>
      </c>
      <c r="E338" t="str">
        <v>Carroll</v>
      </c>
      <c r="F338" t="str">
        <v>James Carroll</v>
      </c>
      <c r="G338" t="str">
        <v>Male</v>
      </c>
      <c r="H338">
        <v>47</v>
      </c>
      <c r="I338" t="str">
        <v>Middle Age</v>
      </c>
      <c r="J338" t="str">
        <v>Jeweller</v>
      </c>
      <c r="K338">
        <v>634</v>
      </c>
      <c r="L338" t="str">
        <v>Married</v>
      </c>
      <c r="M338">
        <v>3</v>
      </c>
    </row>
    <row r="339" spans="4:13" x14ac:dyDescent="0.25">
      <c r="D339" t="str">
        <v>David</v>
      </c>
      <c r="E339" t="str">
        <v>Rogers</v>
      </c>
      <c r="F339" t="str">
        <v>David Rogers</v>
      </c>
      <c r="G339" t="str">
        <v>Male</v>
      </c>
      <c r="H339">
        <v>45</v>
      </c>
      <c r="I339" t="str">
        <v>Middle Age</v>
      </c>
      <c r="J339" t="str">
        <v>Veterinarian</v>
      </c>
      <c r="K339">
        <v>9990</v>
      </c>
      <c r="L339" t="str">
        <v>Married</v>
      </c>
      <c r="M339">
        <v>1</v>
      </c>
    </row>
    <row r="340" spans="4:13" x14ac:dyDescent="0.25">
      <c r="D340" t="str">
        <v>Leonardo</v>
      </c>
      <c r="E340" t="str">
        <v>Brooks</v>
      </c>
      <c r="F340" t="str">
        <v>Leonardo Brooks</v>
      </c>
      <c r="G340" t="str">
        <v>Male</v>
      </c>
      <c r="H340">
        <v>49</v>
      </c>
      <c r="I340" t="str">
        <v>Middle Age</v>
      </c>
      <c r="J340" t="str">
        <v>Carpenter</v>
      </c>
      <c r="K340">
        <v>4604</v>
      </c>
      <c r="L340" t="str">
        <v>Married</v>
      </c>
      <c r="M340">
        <v>5</v>
      </c>
    </row>
    <row r="341" spans="4:13" x14ac:dyDescent="0.25">
      <c r="D341" t="str">
        <v>Antony</v>
      </c>
      <c r="E341" t="str">
        <v>Higgins</v>
      </c>
      <c r="F341" t="str">
        <v>Antony Higgins</v>
      </c>
      <c r="G341" t="str">
        <v>Male</v>
      </c>
      <c r="H341">
        <v>43</v>
      </c>
      <c r="I341" t="str">
        <v>Middle Age</v>
      </c>
      <c r="J341" t="str">
        <v>Astronomer</v>
      </c>
      <c r="K341">
        <v>4254</v>
      </c>
      <c r="L341" t="str">
        <v>Single</v>
      </c>
      <c r="M341">
        <v>3</v>
      </c>
    </row>
    <row r="342" spans="4:13" x14ac:dyDescent="0.25">
      <c r="D342" t="str">
        <v>Luke</v>
      </c>
      <c r="E342" t="str">
        <v>Alexander</v>
      </c>
      <c r="F342" t="str">
        <v>Luke Alexander</v>
      </c>
      <c r="G342" t="str">
        <v>Male</v>
      </c>
      <c r="H342">
        <v>35</v>
      </c>
      <c r="I342" t="str">
        <v>Middle Age</v>
      </c>
      <c r="J342" t="str">
        <v>Meteorologist</v>
      </c>
      <c r="K342">
        <v>4400</v>
      </c>
      <c r="L342" t="str">
        <v>Married</v>
      </c>
      <c r="M342">
        <v>2</v>
      </c>
    </row>
    <row r="343" spans="4:13" x14ac:dyDescent="0.25">
      <c r="D343" t="str">
        <v>Max</v>
      </c>
      <c r="E343" t="str">
        <v>Tucker</v>
      </c>
      <c r="F343" t="str">
        <v>Max Tucker</v>
      </c>
      <c r="G343" t="str">
        <v>Male</v>
      </c>
      <c r="H343">
        <v>34</v>
      </c>
      <c r="I343" t="str">
        <v>Middle Age</v>
      </c>
      <c r="J343" t="str">
        <v>Interpreter</v>
      </c>
      <c r="K343">
        <v>1350</v>
      </c>
      <c r="L343" t="str">
        <v>Married</v>
      </c>
      <c r="M343">
        <v>0</v>
      </c>
    </row>
    <row r="344" spans="4:13" x14ac:dyDescent="0.25">
      <c r="D344" t="str">
        <v>Ned</v>
      </c>
      <c r="E344" t="str">
        <v>Morgan</v>
      </c>
      <c r="F344" t="str">
        <v>Ned Morgan</v>
      </c>
      <c r="G344" t="str">
        <v>Male</v>
      </c>
      <c r="H344">
        <v>43</v>
      </c>
      <c r="I344" t="str">
        <v>Middle Age</v>
      </c>
      <c r="J344" t="str">
        <v>Chef</v>
      </c>
      <c r="K344">
        <v>3378</v>
      </c>
      <c r="L344" t="str">
        <v>Married</v>
      </c>
      <c r="M344">
        <v>3</v>
      </c>
    </row>
    <row r="345" spans="4:13" x14ac:dyDescent="0.25">
      <c r="D345" t="str">
        <v>Frederick</v>
      </c>
      <c r="E345" t="str">
        <v>Henderson</v>
      </c>
      <c r="F345" t="str">
        <v>Frederick Henderson</v>
      </c>
      <c r="G345" t="str">
        <v>Male</v>
      </c>
      <c r="H345">
        <v>45</v>
      </c>
      <c r="I345" t="str">
        <v>Middle Age</v>
      </c>
      <c r="J345" t="str">
        <v>Driver</v>
      </c>
      <c r="K345">
        <v>1213</v>
      </c>
      <c r="L345" t="str">
        <v>Married</v>
      </c>
      <c r="M345">
        <v>5</v>
      </c>
    </row>
    <row r="346" spans="4:13" x14ac:dyDescent="0.25">
      <c r="D346" t="str">
        <v>Tony</v>
      </c>
      <c r="E346" t="str">
        <v>Douglas</v>
      </c>
      <c r="F346" t="str">
        <v>Tony Douglas</v>
      </c>
      <c r="G346" t="str">
        <v>Male</v>
      </c>
      <c r="H346">
        <v>45</v>
      </c>
      <c r="I346" t="str">
        <v>Middle Age</v>
      </c>
      <c r="J346" t="str">
        <v>Teacher</v>
      </c>
      <c r="K346">
        <v>6167</v>
      </c>
      <c r="L346" t="str">
        <v>Married</v>
      </c>
      <c r="M346">
        <v>0</v>
      </c>
    </row>
    <row r="347" spans="4:13" x14ac:dyDescent="0.25">
      <c r="D347" t="str">
        <v>Ted</v>
      </c>
      <c r="E347" t="str">
        <v>Foster</v>
      </c>
      <c r="F347" t="str">
        <v>Ted Foster</v>
      </c>
      <c r="G347" t="str">
        <v>Male</v>
      </c>
      <c r="H347">
        <v>35</v>
      </c>
      <c r="I347" t="str">
        <v>Middle Age</v>
      </c>
      <c r="J347" t="str">
        <v>Architect</v>
      </c>
      <c r="K347">
        <v>5036</v>
      </c>
      <c r="L347" t="str">
        <v>Married</v>
      </c>
      <c r="M347">
        <v>5</v>
      </c>
    </row>
    <row r="348" spans="4:13" x14ac:dyDescent="0.25">
      <c r="D348" t="str">
        <v>Adam</v>
      </c>
      <c r="E348" t="str">
        <v>Hunt</v>
      </c>
      <c r="F348" t="str">
        <v>Adam Hunt</v>
      </c>
      <c r="G348" t="str">
        <v>Male</v>
      </c>
      <c r="H348">
        <v>48</v>
      </c>
      <c r="I348" t="str">
        <v>Middle Age</v>
      </c>
      <c r="J348" t="str">
        <v>Interpreter</v>
      </c>
      <c r="K348">
        <v>3712</v>
      </c>
      <c r="L348" t="str">
        <v>Single</v>
      </c>
      <c r="M348">
        <v>0</v>
      </c>
    </row>
    <row r="349" spans="4:13" x14ac:dyDescent="0.25">
      <c r="D349" t="str">
        <v>Carlos</v>
      </c>
      <c r="E349" t="str">
        <v>Edwards</v>
      </c>
      <c r="F349" t="str">
        <v>Carlos Edwards</v>
      </c>
      <c r="G349" t="str">
        <v>Male</v>
      </c>
      <c r="H349">
        <v>52</v>
      </c>
      <c r="I349" t="str">
        <v>Old</v>
      </c>
      <c r="J349" t="str">
        <v>Lawyer</v>
      </c>
      <c r="K349">
        <v>5391</v>
      </c>
      <c r="L349" t="str">
        <v>Single</v>
      </c>
      <c r="M349">
        <v>4</v>
      </c>
    </row>
    <row r="350" spans="4:13" x14ac:dyDescent="0.25">
      <c r="D350" t="str">
        <v>Lyndon</v>
      </c>
      <c r="E350" t="str">
        <v>Kelley</v>
      </c>
      <c r="F350" t="str">
        <v>Lyndon Kelley</v>
      </c>
      <c r="G350" t="str">
        <v>Male</v>
      </c>
      <c r="H350">
        <v>46</v>
      </c>
      <c r="I350" t="str">
        <v>Middle Age</v>
      </c>
      <c r="J350" t="str">
        <v>Firefighter</v>
      </c>
      <c r="K350">
        <v>9186</v>
      </c>
      <c r="L350" t="str">
        <v>Single</v>
      </c>
      <c r="M350">
        <v>3</v>
      </c>
    </row>
    <row r="351" spans="4:13" x14ac:dyDescent="0.25">
      <c r="D351" t="str">
        <v>Bruce</v>
      </c>
      <c r="E351" t="str">
        <v>Ellis</v>
      </c>
      <c r="F351" t="str">
        <v>Bruce Ellis</v>
      </c>
      <c r="G351" t="str">
        <v>Male</v>
      </c>
      <c r="H351">
        <v>38</v>
      </c>
      <c r="I351" t="str">
        <v>Middle Age</v>
      </c>
      <c r="J351" t="str">
        <v>Producer</v>
      </c>
      <c r="K351">
        <v>4107</v>
      </c>
      <c r="L351" t="str">
        <v>Single</v>
      </c>
      <c r="M351">
        <v>4</v>
      </c>
    </row>
    <row r="352" spans="4:13" x14ac:dyDescent="0.25">
      <c r="D352" t="str">
        <v>Preston</v>
      </c>
      <c r="E352" t="str">
        <v>Harper</v>
      </c>
      <c r="F352" t="str">
        <v>Preston Harper</v>
      </c>
      <c r="G352" t="str">
        <v>Male</v>
      </c>
      <c r="H352">
        <v>60</v>
      </c>
      <c r="I352" t="str">
        <v>Old</v>
      </c>
      <c r="J352" t="str">
        <v>Interpreter</v>
      </c>
      <c r="K352">
        <v>2707</v>
      </c>
      <c r="L352" t="str">
        <v>Single</v>
      </c>
      <c r="M352">
        <v>5</v>
      </c>
    </row>
    <row r="353" spans="4:13" x14ac:dyDescent="0.25">
      <c r="D353" t="str">
        <v>Aldus</v>
      </c>
      <c r="E353" t="str">
        <v>Higgins</v>
      </c>
      <c r="F353" t="str">
        <v>Aldus Higgins</v>
      </c>
      <c r="G353" t="str">
        <v>Male</v>
      </c>
      <c r="H353">
        <v>55</v>
      </c>
      <c r="I353" t="str">
        <v>Old</v>
      </c>
      <c r="J353" t="str">
        <v>Economist</v>
      </c>
      <c r="K353">
        <v>5113</v>
      </c>
      <c r="L353" t="str">
        <v>Married</v>
      </c>
      <c r="M353">
        <v>5</v>
      </c>
    </row>
    <row r="354" spans="4:13" x14ac:dyDescent="0.25">
      <c r="D354" t="str">
        <v>Roman</v>
      </c>
      <c r="E354" t="str">
        <v>Cole</v>
      </c>
      <c r="F354" t="str">
        <v>Roman Cole</v>
      </c>
      <c r="G354" t="str">
        <v>Male</v>
      </c>
      <c r="H354">
        <v>50</v>
      </c>
      <c r="I354" t="str">
        <v>Middle Age</v>
      </c>
      <c r="J354" t="str">
        <v>Biochemist</v>
      </c>
      <c r="K354">
        <v>9241</v>
      </c>
      <c r="L354" t="str">
        <v>Single</v>
      </c>
      <c r="M354">
        <v>1</v>
      </c>
    </row>
    <row r="355" spans="4:13" x14ac:dyDescent="0.25">
      <c r="D355" t="str">
        <v>Derek</v>
      </c>
      <c r="E355" t="str">
        <v>Adams</v>
      </c>
      <c r="F355" t="str">
        <v>Derek Adams</v>
      </c>
      <c r="G355" t="str">
        <v>Male</v>
      </c>
      <c r="H355">
        <v>47</v>
      </c>
      <c r="I355" t="str">
        <v>Middle Age</v>
      </c>
      <c r="J355" t="str">
        <v>Police Officer</v>
      </c>
      <c r="K355">
        <v>1453</v>
      </c>
      <c r="L355" t="str">
        <v>Married</v>
      </c>
      <c r="M355">
        <v>0</v>
      </c>
    </row>
    <row r="356" spans="4:13" x14ac:dyDescent="0.25">
      <c r="D356" t="str">
        <v>Adison</v>
      </c>
      <c r="E356" t="str">
        <v>Elliott</v>
      </c>
      <c r="F356" t="str">
        <v>Adison Elliott</v>
      </c>
      <c r="G356" t="str">
        <v>Male</v>
      </c>
      <c r="H356">
        <v>55</v>
      </c>
      <c r="I356" t="str">
        <v>Old</v>
      </c>
      <c r="J356" t="str">
        <v>Veterinarian</v>
      </c>
      <c r="K356">
        <v>5293</v>
      </c>
      <c r="L356" t="str">
        <v>Married</v>
      </c>
      <c r="M356">
        <v>1</v>
      </c>
    </row>
    <row r="357" spans="4:13" x14ac:dyDescent="0.25">
      <c r="D357" t="str">
        <v>Byron</v>
      </c>
      <c r="E357" t="str">
        <v>Warren</v>
      </c>
      <c r="F357" t="str">
        <v>Byron Warren</v>
      </c>
      <c r="G357" t="str">
        <v>Male</v>
      </c>
      <c r="H357">
        <v>60</v>
      </c>
      <c r="I357" t="str">
        <v>Old</v>
      </c>
      <c r="J357" t="str">
        <v>Baker</v>
      </c>
      <c r="K357">
        <v>8826</v>
      </c>
      <c r="L357" t="str">
        <v>Married</v>
      </c>
      <c r="M357">
        <v>4</v>
      </c>
    </row>
    <row r="358" spans="4:13" x14ac:dyDescent="0.25">
      <c r="D358" t="str">
        <v>William</v>
      </c>
      <c r="E358" t="str">
        <v>Miller</v>
      </c>
      <c r="F358" t="str">
        <v>William Miller</v>
      </c>
      <c r="G358" t="str">
        <v>Male</v>
      </c>
      <c r="H358">
        <v>48</v>
      </c>
      <c r="I358" t="str">
        <v>Middle Age</v>
      </c>
      <c r="J358" t="str">
        <v>Auditor</v>
      </c>
      <c r="K358">
        <v>4235</v>
      </c>
      <c r="L358" t="str">
        <v>Married</v>
      </c>
      <c r="M358">
        <v>1</v>
      </c>
    </row>
    <row r="359" spans="4:13" x14ac:dyDescent="0.25">
      <c r="D359" t="str">
        <v>Edwin</v>
      </c>
      <c r="E359" t="str">
        <v>Crawford</v>
      </c>
      <c r="F359" t="str">
        <v>Edwin Crawford</v>
      </c>
      <c r="G359" t="str">
        <v>Male</v>
      </c>
      <c r="H359">
        <v>38</v>
      </c>
      <c r="I359" t="str">
        <v>Middle Age</v>
      </c>
      <c r="J359" t="str">
        <v>Programmer</v>
      </c>
      <c r="K359">
        <v>8864</v>
      </c>
      <c r="L359" t="str">
        <v>Single</v>
      </c>
      <c r="M359">
        <v>4</v>
      </c>
    </row>
    <row r="360" spans="4:13" x14ac:dyDescent="0.25">
      <c r="D360" t="str">
        <v>Reid</v>
      </c>
      <c r="E360" t="str">
        <v>Scott</v>
      </c>
      <c r="F360" t="str">
        <v>Reid Scott</v>
      </c>
      <c r="G360" t="str">
        <v>Male</v>
      </c>
      <c r="H360">
        <v>49</v>
      </c>
      <c r="I360" t="str">
        <v>Middle Age</v>
      </c>
      <c r="J360" t="str">
        <v>Meteorologist</v>
      </c>
      <c r="K360">
        <v>9999</v>
      </c>
      <c r="L360" t="str">
        <v>Single</v>
      </c>
      <c r="M360">
        <v>5</v>
      </c>
    </row>
    <row r="361" spans="4:13" x14ac:dyDescent="0.25">
      <c r="D361" t="str">
        <v>Aiden</v>
      </c>
      <c r="E361" t="str">
        <v>Foster</v>
      </c>
      <c r="F361" t="str">
        <v>Aiden Foster</v>
      </c>
      <c r="G361" t="str">
        <v>Male</v>
      </c>
      <c r="H361">
        <v>57</v>
      </c>
      <c r="I361" t="str">
        <v>Old</v>
      </c>
      <c r="J361" t="str">
        <v>Programmer</v>
      </c>
      <c r="K361">
        <v>7915</v>
      </c>
      <c r="L361" t="str">
        <v>Single</v>
      </c>
      <c r="M361">
        <v>2</v>
      </c>
    </row>
    <row r="362" spans="4:13" x14ac:dyDescent="0.25">
      <c r="D362" t="str">
        <v>Edgar</v>
      </c>
      <c r="E362" t="str">
        <v>Wilson</v>
      </c>
      <c r="F362" t="str">
        <v>Edgar Wilson</v>
      </c>
      <c r="G362" t="str">
        <v>Male</v>
      </c>
      <c r="H362">
        <v>49</v>
      </c>
      <c r="I362" t="str">
        <v>Middle Age</v>
      </c>
      <c r="J362" t="str">
        <v>Journalist</v>
      </c>
      <c r="K362">
        <v>2492</v>
      </c>
      <c r="L362" t="str">
        <v>Married</v>
      </c>
      <c r="M362">
        <v>5</v>
      </c>
    </row>
    <row r="363" spans="4:13" x14ac:dyDescent="0.25">
      <c r="D363" t="str">
        <v>Antony</v>
      </c>
      <c r="E363" t="str">
        <v>Roberts</v>
      </c>
      <c r="F363" t="str">
        <v>Antony Roberts</v>
      </c>
      <c r="G363" t="str">
        <v>Male</v>
      </c>
      <c r="H363">
        <v>45</v>
      </c>
      <c r="I363" t="str">
        <v>Middle Age</v>
      </c>
      <c r="J363" t="str">
        <v>Biochemist</v>
      </c>
      <c r="K363">
        <v>969</v>
      </c>
      <c r="L363" t="str">
        <v>Married</v>
      </c>
      <c r="M363">
        <v>3</v>
      </c>
    </row>
    <row r="364" spans="4:13" x14ac:dyDescent="0.25">
      <c r="D364" t="str">
        <v>Adison</v>
      </c>
      <c r="E364" t="str">
        <v>Hall</v>
      </c>
      <c r="F364" t="str">
        <v>Adison Hall</v>
      </c>
      <c r="G364" t="str">
        <v>Male</v>
      </c>
      <c r="H364">
        <v>45</v>
      </c>
      <c r="I364" t="str">
        <v>Middle Age</v>
      </c>
      <c r="J364" t="str">
        <v>Mechanic</v>
      </c>
      <c r="K364">
        <v>4854</v>
      </c>
      <c r="L364" t="str">
        <v>Married</v>
      </c>
      <c r="M364">
        <v>2</v>
      </c>
    </row>
    <row r="365" spans="4:13" x14ac:dyDescent="0.25">
      <c r="D365" t="str">
        <v>Steven</v>
      </c>
      <c r="E365" t="str">
        <v>Andrews</v>
      </c>
      <c r="F365" t="str">
        <v>Steven Andrews</v>
      </c>
      <c r="G365" t="str">
        <v>Male</v>
      </c>
      <c r="H365">
        <v>52</v>
      </c>
      <c r="I365" t="str">
        <v>Old</v>
      </c>
      <c r="J365" t="str">
        <v>Insurer</v>
      </c>
      <c r="K365">
        <v>9628</v>
      </c>
      <c r="L365" t="str">
        <v>Single</v>
      </c>
      <c r="M365">
        <v>0</v>
      </c>
    </row>
    <row r="366" spans="4:13" x14ac:dyDescent="0.25">
      <c r="D366" t="str">
        <v>Oscar</v>
      </c>
      <c r="E366" t="str">
        <v>Alexander</v>
      </c>
      <c r="F366" t="str">
        <v>Oscar Alexander</v>
      </c>
      <c r="G366" t="str">
        <v>Male</v>
      </c>
      <c r="H366">
        <v>44</v>
      </c>
      <c r="I366" t="str">
        <v>Middle Age</v>
      </c>
      <c r="J366" t="str">
        <v>Producer</v>
      </c>
      <c r="K366">
        <v>7500</v>
      </c>
      <c r="L366" t="str">
        <v>Married</v>
      </c>
      <c r="M366">
        <v>1</v>
      </c>
    </row>
    <row r="367" spans="4:13" x14ac:dyDescent="0.25">
      <c r="D367" t="str">
        <v>Lucas</v>
      </c>
      <c r="E367" t="str">
        <v>Jones</v>
      </c>
      <c r="F367" t="str">
        <v>Lucas Jones</v>
      </c>
      <c r="G367" t="str">
        <v>Male</v>
      </c>
      <c r="H367">
        <v>54</v>
      </c>
      <c r="I367" t="str">
        <v>Old</v>
      </c>
      <c r="J367" t="str">
        <v>Salesman</v>
      </c>
      <c r="K367">
        <v>7428</v>
      </c>
      <c r="L367" t="str">
        <v>Married</v>
      </c>
      <c r="M367">
        <v>1</v>
      </c>
    </row>
    <row r="368" spans="4:13" x14ac:dyDescent="0.25">
      <c r="D368" t="str">
        <v>Ryan</v>
      </c>
      <c r="E368" t="str">
        <v>Thomas</v>
      </c>
      <c r="F368" t="str">
        <v>Ryan Thomas</v>
      </c>
      <c r="G368" t="str">
        <v>Male</v>
      </c>
      <c r="H368">
        <v>60</v>
      </c>
      <c r="I368" t="str">
        <v>Old</v>
      </c>
      <c r="J368" t="str">
        <v>Carpenter</v>
      </c>
      <c r="K368">
        <v>7813</v>
      </c>
      <c r="L368" t="str">
        <v>Single</v>
      </c>
      <c r="M368">
        <v>4</v>
      </c>
    </row>
    <row r="369" spans="4:13" x14ac:dyDescent="0.25">
      <c r="D369" t="str">
        <v>Fenton</v>
      </c>
      <c r="E369" t="str">
        <v>Stewart</v>
      </c>
      <c r="F369" t="str">
        <v>Fenton Stewart</v>
      </c>
      <c r="G369" t="str">
        <v>Male</v>
      </c>
      <c r="H369">
        <v>53</v>
      </c>
      <c r="I369" t="str">
        <v>Old</v>
      </c>
      <c r="J369" t="str">
        <v>Programmer</v>
      </c>
      <c r="K369">
        <v>1777</v>
      </c>
      <c r="L369" t="str">
        <v>Single</v>
      </c>
      <c r="M369">
        <v>5</v>
      </c>
    </row>
    <row r="370" spans="4:13" x14ac:dyDescent="0.25">
      <c r="D370" t="str">
        <v>Aiden</v>
      </c>
      <c r="E370" t="str">
        <v>Chapman</v>
      </c>
      <c r="F370" t="str">
        <v>Aiden Chapman</v>
      </c>
      <c r="G370" t="str">
        <v>Male</v>
      </c>
      <c r="H370">
        <v>35</v>
      </c>
      <c r="I370" t="str">
        <v>Middle Age</v>
      </c>
      <c r="J370" t="str">
        <v>Historian</v>
      </c>
      <c r="K370">
        <v>1753</v>
      </c>
      <c r="L370" t="str">
        <v>Married</v>
      </c>
      <c r="M370">
        <v>1</v>
      </c>
    </row>
    <row r="371" spans="4:13" x14ac:dyDescent="0.25">
      <c r="D371" t="str">
        <v>Dexter</v>
      </c>
      <c r="E371" t="str">
        <v>Williams</v>
      </c>
      <c r="F371" t="str">
        <v>Dexter Williams</v>
      </c>
      <c r="G371" t="str">
        <v>Male</v>
      </c>
      <c r="H371">
        <v>58</v>
      </c>
      <c r="I371" t="str">
        <v>Old</v>
      </c>
      <c r="J371" t="str">
        <v>Insurer</v>
      </c>
      <c r="K371">
        <v>7075</v>
      </c>
      <c r="L371" t="str">
        <v>Single</v>
      </c>
      <c r="M371">
        <v>0</v>
      </c>
    </row>
  </sheetData>
  <autoFilter ref="D1:M371" xr:uid="{EA5101D5-36B1-4615-AA08-FC6BA5AC7F04}"/>
  <dataValidations count="1">
    <dataValidation type="list" allowBlank="1" showInputMessage="1" showErrorMessage="1" sqref="B2" xr:uid="{9EFED7EF-0C74-4287-8757-3B22F5FB2C39}">
      <formula1>"MALE,FEMALE"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updated sheet</vt:lpstr>
      <vt:lpstr>pivot</vt:lpstr>
      <vt:lpstr>Dashboard</vt:lpstr>
      <vt:lpstr>Observations</vt:lpstr>
      <vt:lpstr>Assignment</vt:lpstr>
      <vt:lpstr>Filter_function</vt:lpstr>
      <vt:lpstr>index match</vt:lpstr>
      <vt:lpstr>Filter</vt:lpstr>
      <vt:lpstr>Index_Match</vt:lpstr>
      <vt:lpstr>Sheet1</vt:lpstr>
      <vt:lpstr>FILTER AND 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Vinit Tiwari</dc:creator>
  <cp:lastModifiedBy>Vinit Tiwari</cp:lastModifiedBy>
  <dcterms:created xsi:type="dcterms:W3CDTF">2024-08-19T18:27:38Z</dcterms:created>
  <dcterms:modified xsi:type="dcterms:W3CDTF">2025-04-03T08:54:48Z</dcterms:modified>
</cp:coreProperties>
</file>